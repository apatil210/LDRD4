
<file path=[Content_Types].xml><?xml version="1.0" encoding="utf-8"?>
<Types xmlns="http://schemas.openxmlformats.org/package/2006/content-type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drawings/drawing2.xml" ContentType="application/vnd.openxmlformats-officedocument.drawing+xml"/>
  <Override PartName="/xl/comments2.xml" ContentType="application/vnd.openxmlformats-officedocument.spreadsheetml.comments+xml"/>
  <Override PartName="/xl/charts/chart4.xml" ContentType="application/vnd.openxmlformats-officedocument.drawingml.chart+xml"/>
  <Override PartName="/xl/charts/chart5.xml" ContentType="application/vnd.openxmlformats-officedocument.drawingml.chart+xml"/>
  <Override PartName="/xl/drawings/drawing3.xml" ContentType="application/vnd.openxmlformats-officedocument.drawing+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commentsmeta0" ContentType="application/binary"/>
  <Override PartName="/xl/commentsmeta1" ContentType="application/binary"/>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Users\apatil\Desktop\Energy-LDRD\Website\July152026\"/>
    </mc:Choice>
  </mc:AlternateContent>
  <xr:revisionPtr revIDLastSave="0" documentId="13_ncr:1_{854F3EE6-62FF-4A45-BC06-B5A7239E3BE1}" xr6:coauthVersionLast="47" xr6:coauthVersionMax="47" xr10:uidLastSave="{00000000-0000-0000-0000-000000000000}"/>
  <bookViews>
    <workbookView xWindow="-28920" yWindow="-120" windowWidth="29040" windowHeight="15720" xr2:uid="{00000000-000D-0000-FFFF-FFFF00000000}"/>
  </bookViews>
  <sheets>
    <sheet name="Process-level data" sheetId="1" r:id="rId1"/>
    <sheet name="Sheet2" sheetId="2" r:id="rId2"/>
    <sheet name="PieChartV2" sheetId="3" r:id="rId3"/>
    <sheet name="Cases" sheetId="4" r:id="rId4"/>
    <sheet name="Sheet1" sheetId="5" r:id="rId5"/>
  </sheets>
  <externalReferences>
    <externalReference r:id="rId6"/>
  </externalReferences>
  <definedNames>
    <definedName name="_xlnm._FilterDatabase" localSheetId="0" hidden="1">'Process-level data'!$A$3:$AV$548</definedName>
    <definedName name="Sources">[1]Sources!$A$2:$A$297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Q317" i="1" l="1"/>
  <c r="K523" i="1"/>
  <c r="K522" i="1"/>
  <c r="K517" i="1"/>
  <c r="K506" i="1"/>
  <c r="K499" i="1"/>
  <c r="K498" i="1"/>
  <c r="K493" i="1"/>
  <c r="K492" i="1"/>
  <c r="K490" i="1"/>
  <c r="K488" i="1"/>
  <c r="K485" i="1"/>
  <c r="K484" i="1"/>
  <c r="K482" i="1"/>
  <c r="K481" i="1"/>
  <c r="K465" i="1"/>
  <c r="K438" i="1"/>
  <c r="K431" i="1"/>
  <c r="K385" i="1"/>
  <c r="K373" i="1"/>
  <c r="K494" i="1"/>
  <c r="K354" i="1"/>
  <c r="K352" i="1"/>
  <c r="K351" i="1"/>
  <c r="K350" i="1"/>
  <c r="K347" i="1"/>
  <c r="K336" i="1"/>
  <c r="K334" i="1"/>
  <c r="K331" i="1"/>
  <c r="K324" i="1"/>
  <c r="K322" i="1"/>
  <c r="K321" i="1"/>
  <c r="K320" i="1"/>
  <c r="K432" i="1"/>
  <c r="K362" i="1"/>
  <c r="K359" i="1"/>
  <c r="K357" i="1"/>
  <c r="K353" i="1"/>
  <c r="K323" i="1"/>
  <c r="K318" i="1"/>
  <c r="K317" i="1"/>
  <c r="K316" i="1"/>
  <c r="K315" i="1"/>
  <c r="K314" i="1"/>
  <c r="K313" i="1"/>
  <c r="K312" i="1"/>
  <c r="K309" i="1"/>
  <c r="K300" i="1"/>
  <c r="K295" i="1"/>
  <c r="K293" i="1"/>
  <c r="K292" i="1"/>
  <c r="K290" i="1"/>
  <c r="K148" i="1"/>
  <c r="K147" i="1"/>
  <c r="K145" i="1"/>
  <c r="K7" i="1"/>
  <c r="K5" i="1"/>
  <c r="K6" i="1"/>
  <c r="K8" i="1"/>
  <c r="K9" i="1"/>
  <c r="K10" i="1"/>
  <c r="K17" i="1"/>
  <c r="K18" i="1"/>
  <c r="K24" i="1"/>
  <c r="K25" i="1"/>
  <c r="K31" i="1"/>
  <c r="K32" i="1"/>
  <c r="K38" i="1"/>
  <c r="K39" i="1"/>
  <c r="K42" i="1"/>
  <c r="K43" i="1"/>
  <c r="K47" i="1"/>
  <c r="K52" i="1"/>
  <c r="K54" i="1"/>
  <c r="K55" i="1"/>
  <c r="K56" i="1"/>
  <c r="K57" i="1"/>
  <c r="K58" i="1"/>
  <c r="K59" i="1"/>
  <c r="K60" i="1"/>
  <c r="K61" i="1"/>
  <c r="K62" i="1"/>
  <c r="K63" i="1"/>
  <c r="K64" i="1"/>
  <c r="K65" i="1"/>
  <c r="K66" i="1"/>
  <c r="K67" i="1"/>
  <c r="K68" i="1"/>
  <c r="K69" i="1"/>
  <c r="K70" i="1"/>
  <c r="K71" i="1"/>
  <c r="K72" i="1"/>
  <c r="K73" i="1"/>
  <c r="K74" i="1"/>
  <c r="K75" i="1"/>
  <c r="K77" i="1"/>
  <c r="K78" i="1"/>
  <c r="K79" i="1"/>
  <c r="K80" i="1"/>
  <c r="K81" i="1"/>
  <c r="K82" i="1"/>
  <c r="K83" i="1"/>
  <c r="K84" i="1"/>
  <c r="K85" i="1"/>
  <c r="K86" i="1"/>
  <c r="K87" i="1"/>
  <c r="K88" i="1"/>
  <c r="K89" i="1"/>
  <c r="K90" i="1"/>
  <c r="K91" i="1"/>
  <c r="K92" i="1"/>
  <c r="K93" i="1"/>
  <c r="K95" i="1"/>
  <c r="K96" i="1"/>
  <c r="K97" i="1"/>
  <c r="K98" i="1"/>
  <c r="K100" i="1"/>
  <c r="K101" i="1"/>
  <c r="K102" i="1"/>
  <c r="K103" i="1"/>
  <c r="K104" i="1"/>
  <c r="K106" i="1"/>
  <c r="K107" i="1"/>
  <c r="K108" i="1"/>
  <c r="K109" i="1"/>
  <c r="K112" i="1"/>
  <c r="K113" i="1"/>
  <c r="K114" i="1"/>
  <c r="K115" i="1"/>
  <c r="K116" i="1"/>
  <c r="K118" i="1"/>
  <c r="K119" i="1"/>
  <c r="K120" i="1"/>
  <c r="K121" i="1"/>
  <c r="K123" i="1"/>
  <c r="K124" i="1"/>
  <c r="K125" i="1"/>
  <c r="K126" i="1"/>
  <c r="K127" i="1"/>
  <c r="K129" i="1"/>
  <c r="K130" i="1"/>
  <c r="K131" i="1"/>
  <c r="K132" i="1"/>
  <c r="K137" i="1"/>
  <c r="K138" i="1"/>
  <c r="K139" i="1"/>
  <c r="K140" i="1"/>
  <c r="K141" i="1"/>
  <c r="K142" i="1"/>
  <c r="K144" i="1"/>
  <c r="K146" i="1"/>
  <c r="K150" i="1"/>
  <c r="K153" i="1"/>
  <c r="K155" i="1"/>
  <c r="K156" i="1"/>
  <c r="K157" i="1"/>
  <c r="K158" i="1"/>
  <c r="K160" i="1"/>
  <c r="K161" i="1"/>
  <c r="K162" i="1"/>
  <c r="K163" i="1"/>
  <c r="K164" i="1"/>
  <c r="K165" i="1"/>
  <c r="K166" i="1"/>
  <c r="K169" i="1"/>
  <c r="K170" i="1"/>
  <c r="K172" i="1"/>
  <c r="K173" i="1"/>
  <c r="K177" i="1"/>
  <c r="K178" i="1"/>
  <c r="K180" i="1"/>
  <c r="K181" i="1"/>
  <c r="K185" i="1"/>
  <c r="K186" i="1"/>
  <c r="K189" i="1"/>
  <c r="K190" i="1"/>
  <c r="K191" i="1"/>
  <c r="K192" i="1"/>
  <c r="K193" i="1"/>
  <c r="K194" i="1"/>
  <c r="K195" i="1"/>
  <c r="K196" i="1"/>
  <c r="K197" i="1"/>
  <c r="K198" i="1"/>
  <c r="K199" i="1"/>
  <c r="K200" i="1"/>
  <c r="K201" i="1"/>
  <c r="K202" i="1"/>
  <c r="K203" i="1"/>
  <c r="K204" i="1"/>
  <c r="K205" i="1"/>
  <c r="K206" i="1"/>
  <c r="K207" i="1"/>
  <c r="K208" i="1"/>
  <c r="K209" i="1"/>
  <c r="K210" i="1"/>
  <c r="K211" i="1"/>
  <c r="K212" i="1"/>
  <c r="K213" i="1"/>
  <c r="K214" i="1"/>
  <c r="K215" i="1"/>
  <c r="K216" i="1"/>
  <c r="K217" i="1"/>
  <c r="K218" i="1"/>
  <c r="K219" i="1"/>
  <c r="K220" i="1"/>
  <c r="K221" i="1"/>
  <c r="K222" i="1"/>
  <c r="K223" i="1"/>
  <c r="K224" i="1"/>
  <c r="K225" i="1"/>
  <c r="K226" i="1"/>
  <c r="K227" i="1"/>
  <c r="K228" i="1"/>
  <c r="K229" i="1"/>
  <c r="K230" i="1"/>
  <c r="K231" i="1"/>
  <c r="K234" i="1"/>
  <c r="K236" i="1"/>
  <c r="K237" i="1"/>
  <c r="K238" i="1"/>
  <c r="K239" i="1"/>
  <c r="K241" i="1"/>
  <c r="K243" i="1"/>
  <c r="K244" i="1"/>
  <c r="K245" i="1"/>
  <c r="K246" i="1"/>
  <c r="K249" i="1"/>
  <c r="K251" i="1"/>
  <c r="K254" i="1"/>
  <c r="K255" i="1"/>
  <c r="K257" i="1"/>
  <c r="K260" i="1"/>
  <c r="K263" i="1"/>
  <c r="K265" i="1"/>
  <c r="K266" i="1"/>
  <c r="K267" i="1"/>
  <c r="K270" i="1"/>
  <c r="K272" i="1"/>
  <c r="K273" i="1"/>
  <c r="K274" i="1"/>
  <c r="K275" i="1"/>
  <c r="K276" i="1"/>
  <c r="K277" i="1"/>
  <c r="K278" i="1"/>
  <c r="K279" i="1"/>
  <c r="K280" i="1"/>
  <c r="K281" i="1"/>
  <c r="K282" i="1"/>
  <c r="K283" i="1"/>
  <c r="K284" i="1"/>
  <c r="K285" i="1"/>
  <c r="K286" i="1"/>
  <c r="K287" i="1"/>
  <c r="K289" i="1"/>
  <c r="K291" i="1"/>
  <c r="K297" i="1"/>
  <c r="K298" i="1"/>
  <c r="K299" i="1"/>
  <c r="K303" i="1"/>
  <c r="K304" i="1"/>
  <c r="K305" i="1"/>
  <c r="K306" i="1"/>
  <c r="K307" i="1"/>
  <c r="K308" i="1"/>
  <c r="K310" i="1"/>
  <c r="K311" i="1"/>
  <c r="K327" i="1"/>
  <c r="K328" i="1"/>
  <c r="K329" i="1"/>
  <c r="K330" i="1"/>
  <c r="K332" i="1"/>
  <c r="K333" i="1"/>
  <c r="K338" i="1"/>
  <c r="K342" i="1"/>
  <c r="K344" i="1"/>
  <c r="K345" i="1"/>
  <c r="K358" i="1"/>
  <c r="K360" i="1"/>
  <c r="K366" i="1"/>
  <c r="K371" i="1"/>
  <c r="K374" i="1"/>
  <c r="K375" i="1"/>
  <c r="K376" i="1"/>
  <c r="K377" i="1"/>
  <c r="K378" i="1"/>
  <c r="K379" i="1"/>
  <c r="K380" i="1"/>
  <c r="K381" i="1"/>
  <c r="K386" i="1"/>
  <c r="K387" i="1"/>
  <c r="K388" i="1"/>
  <c r="K389" i="1"/>
  <c r="K390" i="1"/>
  <c r="K391" i="1"/>
  <c r="K392" i="1"/>
  <c r="K393" i="1"/>
  <c r="K394" i="1"/>
  <c r="K395" i="1"/>
  <c r="K396" i="1"/>
  <c r="K397" i="1"/>
  <c r="K398" i="1"/>
  <c r="K399" i="1"/>
  <c r="K400" i="1"/>
  <c r="K401" i="1"/>
  <c r="K402" i="1"/>
  <c r="K403" i="1"/>
  <c r="K404" i="1"/>
  <c r="K405" i="1"/>
  <c r="K406" i="1"/>
  <c r="K407" i="1"/>
  <c r="K408" i="1"/>
  <c r="K409" i="1"/>
  <c r="K410" i="1"/>
  <c r="K411" i="1"/>
  <c r="K412" i="1"/>
  <c r="K413" i="1"/>
  <c r="K414" i="1"/>
  <c r="K415" i="1"/>
  <c r="K416" i="1"/>
  <c r="K417" i="1"/>
  <c r="K418" i="1"/>
  <c r="K419" i="1"/>
  <c r="K420" i="1"/>
  <c r="K421" i="1"/>
  <c r="K422" i="1"/>
  <c r="K423" i="1"/>
  <c r="K424" i="1"/>
  <c r="K425" i="1"/>
  <c r="K426" i="1"/>
  <c r="K427" i="1"/>
  <c r="K428" i="1"/>
  <c r="K429" i="1"/>
  <c r="K435" i="1"/>
  <c r="K436" i="1"/>
  <c r="K437" i="1"/>
  <c r="K439" i="1"/>
  <c r="K440" i="1"/>
  <c r="K441" i="1"/>
  <c r="K448" i="1"/>
  <c r="K450" i="1"/>
  <c r="K451" i="1"/>
  <c r="K452" i="1"/>
  <c r="K453" i="1"/>
  <c r="K454" i="1"/>
  <c r="K455" i="1"/>
  <c r="K457" i="1"/>
  <c r="K458" i="1"/>
  <c r="K459" i="1"/>
  <c r="K460" i="1"/>
  <c r="K461" i="1"/>
  <c r="K462" i="1"/>
  <c r="K463" i="1"/>
  <c r="K466" i="1"/>
  <c r="K467" i="1"/>
  <c r="K468" i="1"/>
  <c r="K469" i="1"/>
  <c r="K470" i="1"/>
  <c r="K471" i="1"/>
  <c r="K472" i="1"/>
  <c r="K473" i="1"/>
  <c r="K480" i="1"/>
  <c r="K486" i="1"/>
  <c r="K500" i="1"/>
  <c r="K501" i="1"/>
  <c r="K502" i="1"/>
  <c r="K503" i="1"/>
  <c r="K504" i="1"/>
  <c r="K505" i="1"/>
  <c r="K507" i="1"/>
  <c r="K508" i="1"/>
  <c r="K509" i="1"/>
  <c r="K510" i="1"/>
  <c r="K511" i="1"/>
  <c r="K512" i="1"/>
  <c r="K513" i="1"/>
  <c r="K514" i="1"/>
  <c r="K515" i="1"/>
  <c r="K516" i="1"/>
  <c r="K520" i="1"/>
  <c r="K528" i="1"/>
  <c r="K529" i="1"/>
  <c r="K530" i="1"/>
  <c r="K531" i="1"/>
  <c r="K532" i="1"/>
  <c r="K533" i="1"/>
  <c r="K534" i="1"/>
  <c r="K535" i="1"/>
  <c r="K536" i="1"/>
  <c r="K538" i="1"/>
  <c r="K539" i="1"/>
  <c r="K540" i="1"/>
  <c r="K541" i="1"/>
  <c r="K542" i="1"/>
  <c r="K543" i="1"/>
  <c r="K544" i="1"/>
  <c r="K545" i="1"/>
  <c r="K546" i="1"/>
  <c r="K547" i="1"/>
  <c r="K548" i="1"/>
  <c r="K4" i="1"/>
  <c r="AU542" i="1" l="1"/>
  <c r="U5" i="1" l="1"/>
  <c r="V5" i="1"/>
  <c r="W5" i="1"/>
  <c r="X5" i="1"/>
  <c r="Y5" i="1"/>
  <c r="U6" i="1"/>
  <c r="V6" i="1"/>
  <c r="W6" i="1"/>
  <c r="X6" i="1"/>
  <c r="Y6" i="1"/>
  <c r="U7" i="1"/>
  <c r="V7" i="1"/>
  <c r="W7" i="1"/>
  <c r="X7" i="1"/>
  <c r="Y7" i="1"/>
  <c r="U8" i="1"/>
  <c r="V8" i="1"/>
  <c r="W8" i="1"/>
  <c r="X8" i="1"/>
  <c r="Y8" i="1"/>
  <c r="U9" i="1"/>
  <c r="V9" i="1"/>
  <c r="W9" i="1"/>
  <c r="X9" i="1"/>
  <c r="Y9" i="1"/>
  <c r="U10" i="1"/>
  <c r="V10" i="1"/>
  <c r="W10" i="1"/>
  <c r="X10" i="1"/>
  <c r="Y10" i="1"/>
  <c r="U11" i="1"/>
  <c r="V11" i="1"/>
  <c r="W11" i="1"/>
  <c r="X11" i="1"/>
  <c r="Y11" i="1"/>
  <c r="U12" i="1"/>
  <c r="V12" i="1"/>
  <c r="W12" i="1"/>
  <c r="X12" i="1"/>
  <c r="Y12" i="1"/>
  <c r="U13" i="1"/>
  <c r="V13" i="1"/>
  <c r="W13" i="1"/>
  <c r="X13" i="1"/>
  <c r="Y13" i="1"/>
  <c r="U14" i="1"/>
  <c r="V14" i="1"/>
  <c r="W14" i="1"/>
  <c r="X14" i="1"/>
  <c r="Y14" i="1"/>
  <c r="U15" i="1"/>
  <c r="V15" i="1"/>
  <c r="W15" i="1"/>
  <c r="X15" i="1"/>
  <c r="Y15" i="1"/>
  <c r="U16" i="1"/>
  <c r="V16" i="1"/>
  <c r="W16" i="1"/>
  <c r="X16" i="1"/>
  <c r="Y16" i="1"/>
  <c r="U17" i="1"/>
  <c r="V17" i="1"/>
  <c r="W17" i="1"/>
  <c r="X17" i="1"/>
  <c r="Y17" i="1"/>
  <c r="U18" i="1"/>
  <c r="V18" i="1"/>
  <c r="W18" i="1"/>
  <c r="X18" i="1"/>
  <c r="Y18" i="1"/>
  <c r="U19" i="1"/>
  <c r="V19" i="1"/>
  <c r="W19" i="1"/>
  <c r="X19" i="1"/>
  <c r="Y19" i="1"/>
  <c r="U20" i="1"/>
  <c r="V20" i="1"/>
  <c r="W20" i="1"/>
  <c r="X20" i="1"/>
  <c r="Y20" i="1"/>
  <c r="U21" i="1"/>
  <c r="V21" i="1"/>
  <c r="W21" i="1"/>
  <c r="X21" i="1"/>
  <c r="Y21" i="1"/>
  <c r="U22" i="1"/>
  <c r="V22" i="1"/>
  <c r="W22" i="1"/>
  <c r="X22" i="1"/>
  <c r="Y22" i="1"/>
  <c r="U23" i="1"/>
  <c r="V23" i="1"/>
  <c r="W23" i="1"/>
  <c r="X23" i="1"/>
  <c r="Y23" i="1"/>
  <c r="U24" i="1"/>
  <c r="V24" i="1"/>
  <c r="W24" i="1"/>
  <c r="X24" i="1"/>
  <c r="Y24" i="1"/>
  <c r="U25" i="1"/>
  <c r="V25" i="1"/>
  <c r="W25" i="1"/>
  <c r="X25" i="1"/>
  <c r="Y25" i="1"/>
  <c r="U26" i="1"/>
  <c r="V26" i="1"/>
  <c r="W26" i="1"/>
  <c r="X26" i="1"/>
  <c r="Y26" i="1"/>
  <c r="U27" i="1"/>
  <c r="V27" i="1"/>
  <c r="W27" i="1"/>
  <c r="X27" i="1"/>
  <c r="Y27" i="1"/>
  <c r="U28" i="1"/>
  <c r="V28" i="1"/>
  <c r="W28" i="1"/>
  <c r="X28" i="1"/>
  <c r="Y28" i="1"/>
  <c r="U29" i="1"/>
  <c r="V29" i="1"/>
  <c r="W29" i="1"/>
  <c r="X29" i="1"/>
  <c r="Y29" i="1"/>
  <c r="U30" i="1"/>
  <c r="V30" i="1"/>
  <c r="W30" i="1"/>
  <c r="X30" i="1"/>
  <c r="Y30" i="1"/>
  <c r="U31" i="1"/>
  <c r="V31" i="1"/>
  <c r="W31" i="1"/>
  <c r="X31" i="1"/>
  <c r="Y31" i="1"/>
  <c r="U32" i="1"/>
  <c r="V32" i="1"/>
  <c r="W32" i="1"/>
  <c r="X32" i="1"/>
  <c r="Y32" i="1"/>
  <c r="U33" i="1"/>
  <c r="V33" i="1"/>
  <c r="W33" i="1"/>
  <c r="X33" i="1"/>
  <c r="Y33" i="1"/>
  <c r="U34" i="1"/>
  <c r="V34" i="1"/>
  <c r="W34" i="1"/>
  <c r="X34" i="1"/>
  <c r="Y34" i="1"/>
  <c r="U35" i="1"/>
  <c r="V35" i="1"/>
  <c r="W35" i="1"/>
  <c r="X35" i="1"/>
  <c r="Y35" i="1"/>
  <c r="U36" i="1"/>
  <c r="V36" i="1"/>
  <c r="W36" i="1"/>
  <c r="X36" i="1"/>
  <c r="Y36" i="1"/>
  <c r="U37" i="1"/>
  <c r="V37" i="1"/>
  <c r="W37" i="1"/>
  <c r="X37" i="1"/>
  <c r="Y37" i="1"/>
  <c r="U38" i="1"/>
  <c r="V38" i="1"/>
  <c r="W38" i="1"/>
  <c r="X38" i="1"/>
  <c r="Y38" i="1"/>
  <c r="U39" i="1"/>
  <c r="V39" i="1"/>
  <c r="W39" i="1"/>
  <c r="X39" i="1"/>
  <c r="Y39" i="1"/>
  <c r="U40" i="1"/>
  <c r="V40" i="1"/>
  <c r="W40" i="1"/>
  <c r="X40" i="1"/>
  <c r="Y40" i="1"/>
  <c r="U41" i="1"/>
  <c r="V41" i="1"/>
  <c r="W41" i="1"/>
  <c r="X41" i="1"/>
  <c r="Y41" i="1"/>
  <c r="U42" i="1"/>
  <c r="V42" i="1"/>
  <c r="W42" i="1"/>
  <c r="X42" i="1"/>
  <c r="Y42" i="1"/>
  <c r="U43" i="1"/>
  <c r="V43" i="1"/>
  <c r="W43" i="1"/>
  <c r="X43" i="1"/>
  <c r="Y43" i="1"/>
  <c r="U44" i="1"/>
  <c r="V44" i="1"/>
  <c r="W44" i="1"/>
  <c r="X44" i="1"/>
  <c r="Y44" i="1"/>
  <c r="U45" i="1"/>
  <c r="V45" i="1"/>
  <c r="W45" i="1"/>
  <c r="X45" i="1"/>
  <c r="Y45" i="1"/>
  <c r="U46" i="1"/>
  <c r="V46" i="1"/>
  <c r="W46" i="1"/>
  <c r="X46" i="1"/>
  <c r="Y46" i="1"/>
  <c r="U47" i="1"/>
  <c r="V47" i="1"/>
  <c r="W47" i="1"/>
  <c r="X47" i="1"/>
  <c r="Y47" i="1"/>
  <c r="U48" i="1"/>
  <c r="V48" i="1"/>
  <c r="W48" i="1"/>
  <c r="X48" i="1"/>
  <c r="Y48" i="1"/>
  <c r="U49" i="1"/>
  <c r="V49" i="1"/>
  <c r="W49" i="1"/>
  <c r="X49" i="1"/>
  <c r="Y49" i="1"/>
  <c r="U50" i="1"/>
  <c r="V50" i="1"/>
  <c r="W50" i="1"/>
  <c r="X50" i="1"/>
  <c r="Y50" i="1"/>
  <c r="U51" i="1"/>
  <c r="V51" i="1"/>
  <c r="W51" i="1"/>
  <c r="X51" i="1"/>
  <c r="Y51" i="1"/>
  <c r="U52" i="1"/>
  <c r="V52" i="1"/>
  <c r="W52" i="1"/>
  <c r="X52" i="1"/>
  <c r="Y52" i="1"/>
  <c r="U53" i="1"/>
  <c r="V53" i="1"/>
  <c r="W53" i="1"/>
  <c r="X53" i="1"/>
  <c r="Y53" i="1"/>
  <c r="U54" i="1"/>
  <c r="V54" i="1"/>
  <c r="W54" i="1"/>
  <c r="X54" i="1"/>
  <c r="Y54" i="1"/>
  <c r="U55" i="1"/>
  <c r="V55" i="1"/>
  <c r="W55" i="1"/>
  <c r="X55" i="1"/>
  <c r="Y55" i="1"/>
  <c r="U56" i="1"/>
  <c r="V56" i="1"/>
  <c r="W56" i="1"/>
  <c r="X56" i="1"/>
  <c r="Y56" i="1"/>
  <c r="U57" i="1"/>
  <c r="V57" i="1"/>
  <c r="W57" i="1"/>
  <c r="X57" i="1"/>
  <c r="Y57" i="1"/>
  <c r="U58" i="1"/>
  <c r="V58" i="1"/>
  <c r="W58" i="1"/>
  <c r="X58" i="1"/>
  <c r="Y58" i="1"/>
  <c r="U59" i="1"/>
  <c r="V59" i="1"/>
  <c r="W59" i="1"/>
  <c r="X59" i="1"/>
  <c r="Y59" i="1"/>
  <c r="U60" i="1"/>
  <c r="V60" i="1"/>
  <c r="W60" i="1"/>
  <c r="X60" i="1"/>
  <c r="Y60" i="1"/>
  <c r="U61" i="1"/>
  <c r="V61" i="1"/>
  <c r="W61" i="1"/>
  <c r="X61" i="1"/>
  <c r="Y61" i="1"/>
  <c r="U62" i="1"/>
  <c r="V62" i="1"/>
  <c r="W62" i="1"/>
  <c r="X62" i="1"/>
  <c r="Y62" i="1"/>
  <c r="U63" i="1"/>
  <c r="V63" i="1"/>
  <c r="W63" i="1"/>
  <c r="X63" i="1"/>
  <c r="Y63" i="1"/>
  <c r="U64" i="1"/>
  <c r="V64" i="1"/>
  <c r="W64" i="1"/>
  <c r="X64" i="1"/>
  <c r="Y64" i="1"/>
  <c r="U65" i="1"/>
  <c r="V65" i="1"/>
  <c r="W65" i="1"/>
  <c r="X65" i="1"/>
  <c r="Y65" i="1"/>
  <c r="U66" i="1"/>
  <c r="V66" i="1"/>
  <c r="W66" i="1"/>
  <c r="X66" i="1"/>
  <c r="Y66" i="1"/>
  <c r="U67" i="1"/>
  <c r="V67" i="1"/>
  <c r="W67" i="1"/>
  <c r="X67" i="1"/>
  <c r="Y67" i="1"/>
  <c r="U68" i="1"/>
  <c r="V68" i="1"/>
  <c r="W68" i="1"/>
  <c r="X68" i="1"/>
  <c r="Y68" i="1"/>
  <c r="U69" i="1"/>
  <c r="V69" i="1"/>
  <c r="W69" i="1"/>
  <c r="X69" i="1"/>
  <c r="Y69" i="1"/>
  <c r="U70" i="1"/>
  <c r="V70" i="1"/>
  <c r="W70" i="1"/>
  <c r="X70" i="1"/>
  <c r="Y70" i="1"/>
  <c r="U71" i="1"/>
  <c r="V71" i="1"/>
  <c r="W71" i="1"/>
  <c r="X71" i="1"/>
  <c r="Y71" i="1"/>
  <c r="U72" i="1"/>
  <c r="V72" i="1"/>
  <c r="W72" i="1"/>
  <c r="X72" i="1"/>
  <c r="Y72" i="1"/>
  <c r="U73" i="1"/>
  <c r="V73" i="1"/>
  <c r="W73" i="1"/>
  <c r="X73" i="1"/>
  <c r="Y73" i="1"/>
  <c r="U74" i="1"/>
  <c r="V74" i="1"/>
  <c r="W74" i="1"/>
  <c r="X74" i="1"/>
  <c r="Y74" i="1"/>
  <c r="U75" i="1"/>
  <c r="V75" i="1"/>
  <c r="W75" i="1"/>
  <c r="X75" i="1"/>
  <c r="Y75" i="1"/>
  <c r="U76" i="1"/>
  <c r="V76" i="1"/>
  <c r="W76" i="1"/>
  <c r="X76" i="1"/>
  <c r="Y76" i="1"/>
  <c r="U77" i="1"/>
  <c r="V77" i="1"/>
  <c r="W77" i="1"/>
  <c r="X77" i="1"/>
  <c r="Y77" i="1"/>
  <c r="U78" i="1"/>
  <c r="V78" i="1"/>
  <c r="W78" i="1"/>
  <c r="X78" i="1"/>
  <c r="Y78" i="1"/>
  <c r="U79" i="1"/>
  <c r="V79" i="1"/>
  <c r="W79" i="1"/>
  <c r="X79" i="1"/>
  <c r="Y79" i="1"/>
  <c r="U80" i="1"/>
  <c r="V80" i="1"/>
  <c r="W80" i="1"/>
  <c r="X80" i="1"/>
  <c r="Y80" i="1"/>
  <c r="U81" i="1"/>
  <c r="V81" i="1"/>
  <c r="W81" i="1"/>
  <c r="X81" i="1"/>
  <c r="Y81" i="1"/>
  <c r="U82" i="1"/>
  <c r="V82" i="1"/>
  <c r="W82" i="1"/>
  <c r="X82" i="1"/>
  <c r="Y82" i="1"/>
  <c r="U83" i="1"/>
  <c r="V83" i="1"/>
  <c r="W83" i="1"/>
  <c r="X83" i="1"/>
  <c r="Y83" i="1"/>
  <c r="U84" i="1"/>
  <c r="V84" i="1"/>
  <c r="W84" i="1"/>
  <c r="X84" i="1"/>
  <c r="Y84" i="1"/>
  <c r="U85" i="1"/>
  <c r="V85" i="1"/>
  <c r="W85" i="1"/>
  <c r="X85" i="1"/>
  <c r="Y85" i="1"/>
  <c r="U86" i="1"/>
  <c r="V86" i="1"/>
  <c r="W86" i="1"/>
  <c r="X86" i="1"/>
  <c r="Y86" i="1"/>
  <c r="U87" i="1"/>
  <c r="V87" i="1"/>
  <c r="W87" i="1"/>
  <c r="X87" i="1"/>
  <c r="Y87" i="1"/>
  <c r="U88" i="1"/>
  <c r="V88" i="1"/>
  <c r="W88" i="1"/>
  <c r="X88" i="1"/>
  <c r="Y88" i="1"/>
  <c r="U89" i="1"/>
  <c r="V89" i="1"/>
  <c r="W89" i="1"/>
  <c r="X89" i="1"/>
  <c r="Y89" i="1"/>
  <c r="U90" i="1"/>
  <c r="V90" i="1"/>
  <c r="W90" i="1"/>
  <c r="X90" i="1"/>
  <c r="Y90" i="1"/>
  <c r="U91" i="1"/>
  <c r="V91" i="1"/>
  <c r="W91" i="1"/>
  <c r="X91" i="1"/>
  <c r="Y91" i="1"/>
  <c r="U92" i="1"/>
  <c r="V92" i="1"/>
  <c r="W92" i="1"/>
  <c r="X92" i="1"/>
  <c r="Y92" i="1"/>
  <c r="U93" i="1"/>
  <c r="V93" i="1"/>
  <c r="W93" i="1"/>
  <c r="X93" i="1"/>
  <c r="Y93" i="1"/>
  <c r="U94" i="1"/>
  <c r="V94" i="1"/>
  <c r="W94" i="1"/>
  <c r="X94" i="1"/>
  <c r="Y94" i="1"/>
  <c r="U95" i="1"/>
  <c r="V95" i="1"/>
  <c r="W95" i="1"/>
  <c r="X95" i="1"/>
  <c r="Y95" i="1"/>
  <c r="U96" i="1"/>
  <c r="V96" i="1"/>
  <c r="W96" i="1"/>
  <c r="X96" i="1"/>
  <c r="Y96" i="1"/>
  <c r="U97" i="1"/>
  <c r="V97" i="1"/>
  <c r="W97" i="1"/>
  <c r="X97" i="1"/>
  <c r="Y97" i="1"/>
  <c r="U98" i="1"/>
  <c r="V98" i="1"/>
  <c r="W98" i="1"/>
  <c r="X98" i="1"/>
  <c r="Y98" i="1"/>
  <c r="U99" i="1"/>
  <c r="V99" i="1"/>
  <c r="W99" i="1"/>
  <c r="X99" i="1"/>
  <c r="Y99" i="1"/>
  <c r="U100" i="1"/>
  <c r="V100" i="1"/>
  <c r="W100" i="1"/>
  <c r="X100" i="1"/>
  <c r="Y100" i="1"/>
  <c r="U101" i="1"/>
  <c r="V101" i="1"/>
  <c r="W101" i="1"/>
  <c r="X101" i="1"/>
  <c r="Y101" i="1"/>
  <c r="U102" i="1"/>
  <c r="V102" i="1"/>
  <c r="W102" i="1"/>
  <c r="X102" i="1"/>
  <c r="Y102" i="1"/>
  <c r="U103" i="1"/>
  <c r="V103" i="1"/>
  <c r="W103" i="1"/>
  <c r="X103" i="1"/>
  <c r="Y103" i="1"/>
  <c r="U104" i="1"/>
  <c r="V104" i="1"/>
  <c r="W104" i="1"/>
  <c r="X104" i="1"/>
  <c r="Y104" i="1"/>
  <c r="U105" i="1"/>
  <c r="V105" i="1"/>
  <c r="W105" i="1"/>
  <c r="X105" i="1"/>
  <c r="Y105" i="1"/>
  <c r="U106" i="1"/>
  <c r="V106" i="1"/>
  <c r="W106" i="1"/>
  <c r="X106" i="1"/>
  <c r="Y106" i="1"/>
  <c r="U107" i="1"/>
  <c r="V107" i="1"/>
  <c r="W107" i="1"/>
  <c r="X107" i="1"/>
  <c r="Y107" i="1"/>
  <c r="U108" i="1"/>
  <c r="V108" i="1"/>
  <c r="W108" i="1"/>
  <c r="X108" i="1"/>
  <c r="Y108" i="1"/>
  <c r="U109" i="1"/>
  <c r="V109" i="1"/>
  <c r="W109" i="1"/>
  <c r="X109" i="1"/>
  <c r="Y109" i="1"/>
  <c r="U110" i="1"/>
  <c r="V110" i="1"/>
  <c r="W110" i="1"/>
  <c r="X110" i="1"/>
  <c r="Y110" i="1"/>
  <c r="U111" i="1"/>
  <c r="V111" i="1"/>
  <c r="W111" i="1"/>
  <c r="X111" i="1"/>
  <c r="Y111" i="1"/>
  <c r="U112" i="1"/>
  <c r="V112" i="1"/>
  <c r="W112" i="1"/>
  <c r="X112" i="1"/>
  <c r="Y112" i="1"/>
  <c r="U113" i="1"/>
  <c r="V113" i="1"/>
  <c r="W113" i="1"/>
  <c r="X113" i="1"/>
  <c r="Y113" i="1"/>
  <c r="U114" i="1"/>
  <c r="V114" i="1"/>
  <c r="W114" i="1"/>
  <c r="X114" i="1"/>
  <c r="Y114" i="1"/>
  <c r="U115" i="1"/>
  <c r="V115" i="1"/>
  <c r="W115" i="1"/>
  <c r="X115" i="1"/>
  <c r="Y115" i="1"/>
  <c r="U116" i="1"/>
  <c r="V116" i="1"/>
  <c r="W116" i="1"/>
  <c r="X116" i="1"/>
  <c r="Y116" i="1"/>
  <c r="U117" i="1"/>
  <c r="V117" i="1"/>
  <c r="W117" i="1"/>
  <c r="X117" i="1"/>
  <c r="Y117" i="1"/>
  <c r="U118" i="1"/>
  <c r="V118" i="1"/>
  <c r="W118" i="1"/>
  <c r="X118" i="1"/>
  <c r="Y118" i="1"/>
  <c r="U119" i="1"/>
  <c r="V119" i="1"/>
  <c r="W119" i="1"/>
  <c r="X119" i="1"/>
  <c r="Y119" i="1"/>
  <c r="U120" i="1"/>
  <c r="V120" i="1"/>
  <c r="W120" i="1"/>
  <c r="X120" i="1"/>
  <c r="Y120" i="1"/>
  <c r="U121" i="1"/>
  <c r="V121" i="1"/>
  <c r="W121" i="1"/>
  <c r="X121" i="1"/>
  <c r="Y121" i="1"/>
  <c r="U122" i="1"/>
  <c r="V122" i="1"/>
  <c r="W122" i="1"/>
  <c r="X122" i="1"/>
  <c r="Y122" i="1"/>
  <c r="U123" i="1"/>
  <c r="V123" i="1"/>
  <c r="W123" i="1"/>
  <c r="X123" i="1"/>
  <c r="Y123" i="1"/>
  <c r="U124" i="1"/>
  <c r="V124" i="1"/>
  <c r="W124" i="1"/>
  <c r="X124" i="1"/>
  <c r="Y124" i="1"/>
  <c r="U125" i="1"/>
  <c r="V125" i="1"/>
  <c r="W125" i="1"/>
  <c r="X125" i="1"/>
  <c r="Y125" i="1"/>
  <c r="U126" i="1"/>
  <c r="V126" i="1"/>
  <c r="W126" i="1"/>
  <c r="X126" i="1"/>
  <c r="Y126" i="1"/>
  <c r="U127" i="1"/>
  <c r="V127" i="1"/>
  <c r="W127" i="1"/>
  <c r="X127" i="1"/>
  <c r="Y127" i="1"/>
  <c r="U128" i="1"/>
  <c r="V128" i="1"/>
  <c r="W128" i="1"/>
  <c r="X128" i="1"/>
  <c r="Y128" i="1"/>
  <c r="U129" i="1"/>
  <c r="V129" i="1"/>
  <c r="W129" i="1"/>
  <c r="X129" i="1"/>
  <c r="Y129" i="1"/>
  <c r="U130" i="1"/>
  <c r="V130" i="1"/>
  <c r="W130" i="1"/>
  <c r="X130" i="1"/>
  <c r="Y130" i="1"/>
  <c r="U131" i="1"/>
  <c r="V131" i="1"/>
  <c r="W131" i="1"/>
  <c r="X131" i="1"/>
  <c r="Y131" i="1"/>
  <c r="U132" i="1"/>
  <c r="V132" i="1"/>
  <c r="W132" i="1"/>
  <c r="X132" i="1"/>
  <c r="Y132" i="1"/>
  <c r="U133" i="1"/>
  <c r="V133" i="1"/>
  <c r="W133" i="1"/>
  <c r="X133" i="1"/>
  <c r="Y133" i="1"/>
  <c r="U134" i="1"/>
  <c r="V134" i="1"/>
  <c r="W134" i="1"/>
  <c r="X134" i="1"/>
  <c r="Y134" i="1"/>
  <c r="U135" i="1"/>
  <c r="V135" i="1"/>
  <c r="W135" i="1"/>
  <c r="X135" i="1"/>
  <c r="Y135" i="1"/>
  <c r="U136" i="1"/>
  <c r="V136" i="1"/>
  <c r="W136" i="1"/>
  <c r="X136" i="1"/>
  <c r="Y136" i="1"/>
  <c r="U137" i="1"/>
  <c r="V137" i="1"/>
  <c r="W137" i="1"/>
  <c r="X137" i="1"/>
  <c r="Y137" i="1"/>
  <c r="U138" i="1"/>
  <c r="V138" i="1"/>
  <c r="W138" i="1"/>
  <c r="X138" i="1"/>
  <c r="Y138" i="1"/>
  <c r="U139" i="1"/>
  <c r="V139" i="1"/>
  <c r="W139" i="1"/>
  <c r="X139" i="1"/>
  <c r="Y139" i="1"/>
  <c r="U140" i="1"/>
  <c r="V140" i="1"/>
  <c r="W140" i="1"/>
  <c r="X140" i="1"/>
  <c r="Y140" i="1"/>
  <c r="U141" i="1"/>
  <c r="V141" i="1"/>
  <c r="W141" i="1"/>
  <c r="X141" i="1"/>
  <c r="Y141" i="1"/>
  <c r="U142" i="1"/>
  <c r="V142" i="1"/>
  <c r="W142" i="1"/>
  <c r="X142" i="1"/>
  <c r="Y142" i="1"/>
  <c r="U143" i="1"/>
  <c r="V143" i="1"/>
  <c r="W143" i="1"/>
  <c r="X143" i="1"/>
  <c r="Y143" i="1"/>
  <c r="U144" i="1"/>
  <c r="V144" i="1"/>
  <c r="W144" i="1"/>
  <c r="X144" i="1"/>
  <c r="Y144" i="1"/>
  <c r="U145" i="1"/>
  <c r="V145" i="1"/>
  <c r="W145" i="1"/>
  <c r="X145" i="1"/>
  <c r="Y145" i="1"/>
  <c r="U146" i="1"/>
  <c r="V146" i="1"/>
  <c r="W146" i="1"/>
  <c r="X146" i="1"/>
  <c r="Y146" i="1"/>
  <c r="U147" i="1"/>
  <c r="V147" i="1"/>
  <c r="W147" i="1"/>
  <c r="X147" i="1"/>
  <c r="Y147" i="1"/>
  <c r="U148" i="1"/>
  <c r="V148" i="1"/>
  <c r="W148" i="1"/>
  <c r="X148" i="1"/>
  <c r="Y148" i="1"/>
  <c r="U149" i="1"/>
  <c r="V149" i="1"/>
  <c r="W149" i="1"/>
  <c r="X149" i="1"/>
  <c r="Y149" i="1"/>
  <c r="U150" i="1"/>
  <c r="V150" i="1"/>
  <c r="W150" i="1"/>
  <c r="X150" i="1"/>
  <c r="Y150" i="1"/>
  <c r="U151" i="1"/>
  <c r="V151" i="1"/>
  <c r="W151" i="1"/>
  <c r="X151" i="1"/>
  <c r="Y151" i="1"/>
  <c r="U152" i="1"/>
  <c r="V152" i="1"/>
  <c r="W152" i="1"/>
  <c r="X152" i="1"/>
  <c r="Y152" i="1"/>
  <c r="U153" i="1"/>
  <c r="V153" i="1"/>
  <c r="W153" i="1"/>
  <c r="X153" i="1"/>
  <c r="Y153" i="1"/>
  <c r="U154" i="1"/>
  <c r="V154" i="1"/>
  <c r="W154" i="1"/>
  <c r="X154" i="1"/>
  <c r="Y154" i="1"/>
  <c r="U155" i="1"/>
  <c r="V155" i="1"/>
  <c r="W155" i="1"/>
  <c r="X155" i="1"/>
  <c r="Y155" i="1"/>
  <c r="U156" i="1"/>
  <c r="V156" i="1"/>
  <c r="W156" i="1"/>
  <c r="X156" i="1"/>
  <c r="Y156" i="1"/>
  <c r="U157" i="1"/>
  <c r="V157" i="1"/>
  <c r="W157" i="1"/>
  <c r="X157" i="1"/>
  <c r="Y157" i="1"/>
  <c r="U158" i="1"/>
  <c r="V158" i="1"/>
  <c r="W158" i="1"/>
  <c r="X158" i="1"/>
  <c r="Y158" i="1"/>
  <c r="U159" i="1"/>
  <c r="V159" i="1"/>
  <c r="W159" i="1"/>
  <c r="X159" i="1"/>
  <c r="Y159" i="1"/>
  <c r="U160" i="1"/>
  <c r="V160" i="1"/>
  <c r="W160" i="1"/>
  <c r="X160" i="1"/>
  <c r="Y160" i="1"/>
  <c r="U161" i="1"/>
  <c r="V161" i="1"/>
  <c r="W161" i="1"/>
  <c r="X161" i="1"/>
  <c r="Y161" i="1"/>
  <c r="U162" i="1"/>
  <c r="V162" i="1"/>
  <c r="W162" i="1"/>
  <c r="X162" i="1"/>
  <c r="Y162" i="1"/>
  <c r="U163" i="1"/>
  <c r="V163" i="1"/>
  <c r="W163" i="1"/>
  <c r="X163" i="1"/>
  <c r="Y163" i="1"/>
  <c r="U164" i="1"/>
  <c r="V164" i="1"/>
  <c r="W164" i="1"/>
  <c r="X164" i="1"/>
  <c r="Y164" i="1"/>
  <c r="U165" i="1"/>
  <c r="V165" i="1"/>
  <c r="W165" i="1"/>
  <c r="X165" i="1"/>
  <c r="Y165" i="1"/>
  <c r="U166" i="1"/>
  <c r="V166" i="1"/>
  <c r="W166" i="1"/>
  <c r="X166" i="1"/>
  <c r="Y166" i="1"/>
  <c r="U167" i="1"/>
  <c r="V167" i="1"/>
  <c r="W167" i="1"/>
  <c r="X167" i="1"/>
  <c r="Y167" i="1"/>
  <c r="U168" i="1"/>
  <c r="V168" i="1"/>
  <c r="W168" i="1"/>
  <c r="X168" i="1"/>
  <c r="Y168" i="1"/>
  <c r="U169" i="1"/>
  <c r="V169" i="1"/>
  <c r="W169" i="1"/>
  <c r="X169" i="1"/>
  <c r="Y169" i="1"/>
  <c r="U170" i="1"/>
  <c r="V170" i="1"/>
  <c r="W170" i="1"/>
  <c r="X170" i="1"/>
  <c r="Y170" i="1"/>
  <c r="U171" i="1"/>
  <c r="V171" i="1"/>
  <c r="W171" i="1"/>
  <c r="X171" i="1"/>
  <c r="Y171" i="1"/>
  <c r="U172" i="1"/>
  <c r="V172" i="1"/>
  <c r="W172" i="1"/>
  <c r="X172" i="1"/>
  <c r="Y172" i="1"/>
  <c r="U173" i="1"/>
  <c r="V173" i="1"/>
  <c r="W173" i="1"/>
  <c r="X173" i="1"/>
  <c r="Y173" i="1"/>
  <c r="U174" i="1"/>
  <c r="V174" i="1"/>
  <c r="W174" i="1"/>
  <c r="X174" i="1"/>
  <c r="Y174" i="1"/>
  <c r="U175" i="1"/>
  <c r="V175" i="1"/>
  <c r="W175" i="1"/>
  <c r="X175" i="1"/>
  <c r="Y175" i="1"/>
  <c r="U176" i="1"/>
  <c r="V176" i="1"/>
  <c r="W176" i="1"/>
  <c r="X176" i="1"/>
  <c r="Y176" i="1"/>
  <c r="U177" i="1"/>
  <c r="V177" i="1"/>
  <c r="W177" i="1"/>
  <c r="X177" i="1"/>
  <c r="Y177" i="1"/>
  <c r="U178" i="1"/>
  <c r="V178" i="1"/>
  <c r="W178" i="1"/>
  <c r="X178" i="1"/>
  <c r="Y178" i="1"/>
  <c r="U179" i="1"/>
  <c r="V179" i="1"/>
  <c r="W179" i="1"/>
  <c r="X179" i="1"/>
  <c r="Y179" i="1"/>
  <c r="U180" i="1"/>
  <c r="V180" i="1"/>
  <c r="W180" i="1"/>
  <c r="X180" i="1"/>
  <c r="Y180" i="1"/>
  <c r="U181" i="1"/>
  <c r="V181" i="1"/>
  <c r="W181" i="1"/>
  <c r="X181" i="1"/>
  <c r="Y181" i="1"/>
  <c r="U182" i="1"/>
  <c r="V182" i="1"/>
  <c r="W182" i="1"/>
  <c r="X182" i="1"/>
  <c r="Y182" i="1"/>
  <c r="U183" i="1"/>
  <c r="V183" i="1"/>
  <c r="W183" i="1"/>
  <c r="X183" i="1"/>
  <c r="Y183" i="1"/>
  <c r="U184" i="1"/>
  <c r="V184" i="1"/>
  <c r="W184" i="1"/>
  <c r="X184" i="1"/>
  <c r="Y184" i="1"/>
  <c r="U185" i="1"/>
  <c r="V185" i="1"/>
  <c r="W185" i="1"/>
  <c r="X185" i="1"/>
  <c r="Y185" i="1"/>
  <c r="U186" i="1"/>
  <c r="V186" i="1"/>
  <c r="W186" i="1"/>
  <c r="X186" i="1"/>
  <c r="Y186" i="1"/>
  <c r="U187" i="1"/>
  <c r="V187" i="1"/>
  <c r="W187" i="1"/>
  <c r="X187" i="1"/>
  <c r="Y187" i="1"/>
  <c r="U188" i="1"/>
  <c r="V188" i="1"/>
  <c r="W188" i="1"/>
  <c r="X188" i="1"/>
  <c r="Y188" i="1"/>
  <c r="U189" i="1"/>
  <c r="V189" i="1"/>
  <c r="W189" i="1"/>
  <c r="X189" i="1"/>
  <c r="Y189" i="1"/>
  <c r="U190" i="1"/>
  <c r="V190" i="1"/>
  <c r="W190" i="1"/>
  <c r="X190" i="1"/>
  <c r="Y190" i="1"/>
  <c r="U191" i="1"/>
  <c r="V191" i="1"/>
  <c r="W191" i="1"/>
  <c r="X191" i="1"/>
  <c r="Y191" i="1"/>
  <c r="U192" i="1"/>
  <c r="V192" i="1"/>
  <c r="W192" i="1"/>
  <c r="X192" i="1"/>
  <c r="Y192" i="1"/>
  <c r="U193" i="1"/>
  <c r="V193" i="1"/>
  <c r="W193" i="1"/>
  <c r="X193" i="1"/>
  <c r="Y193" i="1"/>
  <c r="U194" i="1"/>
  <c r="V194" i="1"/>
  <c r="W194" i="1"/>
  <c r="X194" i="1"/>
  <c r="Y194" i="1"/>
  <c r="U195" i="1"/>
  <c r="V195" i="1"/>
  <c r="W195" i="1"/>
  <c r="X195" i="1"/>
  <c r="Y195" i="1"/>
  <c r="U196" i="1"/>
  <c r="V196" i="1"/>
  <c r="W196" i="1"/>
  <c r="X196" i="1"/>
  <c r="Y196" i="1"/>
  <c r="U197" i="1"/>
  <c r="V197" i="1"/>
  <c r="W197" i="1"/>
  <c r="X197" i="1"/>
  <c r="Y197" i="1"/>
  <c r="U198" i="1"/>
  <c r="V198" i="1"/>
  <c r="W198" i="1"/>
  <c r="X198" i="1"/>
  <c r="Y198" i="1"/>
  <c r="U199" i="1"/>
  <c r="V199" i="1"/>
  <c r="W199" i="1"/>
  <c r="X199" i="1"/>
  <c r="Y199" i="1"/>
  <c r="U200" i="1"/>
  <c r="V200" i="1"/>
  <c r="W200" i="1"/>
  <c r="X200" i="1"/>
  <c r="Y200" i="1"/>
  <c r="U201" i="1"/>
  <c r="V201" i="1"/>
  <c r="W201" i="1"/>
  <c r="X201" i="1"/>
  <c r="Y201" i="1"/>
  <c r="U202" i="1"/>
  <c r="V202" i="1"/>
  <c r="W202" i="1"/>
  <c r="X202" i="1"/>
  <c r="Y202" i="1"/>
  <c r="U203" i="1"/>
  <c r="V203" i="1"/>
  <c r="W203" i="1"/>
  <c r="X203" i="1"/>
  <c r="Y203" i="1"/>
  <c r="U204" i="1"/>
  <c r="V204" i="1"/>
  <c r="W204" i="1"/>
  <c r="X204" i="1"/>
  <c r="Y204" i="1"/>
  <c r="U205" i="1"/>
  <c r="V205" i="1"/>
  <c r="W205" i="1"/>
  <c r="X205" i="1"/>
  <c r="Y205" i="1"/>
  <c r="U206" i="1"/>
  <c r="V206" i="1"/>
  <c r="W206" i="1"/>
  <c r="X206" i="1"/>
  <c r="Y206" i="1"/>
  <c r="U207" i="1"/>
  <c r="V207" i="1"/>
  <c r="W207" i="1"/>
  <c r="X207" i="1"/>
  <c r="Y207" i="1"/>
  <c r="U208" i="1"/>
  <c r="V208" i="1"/>
  <c r="W208" i="1"/>
  <c r="X208" i="1"/>
  <c r="Y208" i="1"/>
  <c r="U209" i="1"/>
  <c r="V209" i="1"/>
  <c r="W209" i="1"/>
  <c r="X209" i="1"/>
  <c r="Y209" i="1"/>
  <c r="U210" i="1"/>
  <c r="V210" i="1"/>
  <c r="W210" i="1"/>
  <c r="X210" i="1"/>
  <c r="Y210" i="1"/>
  <c r="U211" i="1"/>
  <c r="V211" i="1"/>
  <c r="W211" i="1"/>
  <c r="X211" i="1"/>
  <c r="Y211" i="1"/>
  <c r="U212" i="1"/>
  <c r="V212" i="1"/>
  <c r="W212" i="1"/>
  <c r="X212" i="1"/>
  <c r="Y212" i="1"/>
  <c r="U213" i="1"/>
  <c r="V213" i="1"/>
  <c r="W213" i="1"/>
  <c r="X213" i="1"/>
  <c r="Y213" i="1"/>
  <c r="U214" i="1"/>
  <c r="V214" i="1"/>
  <c r="W214" i="1"/>
  <c r="X214" i="1"/>
  <c r="Y214" i="1"/>
  <c r="U215" i="1"/>
  <c r="V215" i="1"/>
  <c r="W215" i="1"/>
  <c r="X215" i="1"/>
  <c r="Y215" i="1"/>
  <c r="U216" i="1"/>
  <c r="V216" i="1"/>
  <c r="W216" i="1"/>
  <c r="X216" i="1"/>
  <c r="Y216" i="1"/>
  <c r="U217" i="1"/>
  <c r="V217" i="1"/>
  <c r="W217" i="1"/>
  <c r="X217" i="1"/>
  <c r="Y217" i="1"/>
  <c r="U218" i="1"/>
  <c r="V218" i="1"/>
  <c r="W218" i="1"/>
  <c r="X218" i="1"/>
  <c r="Y218" i="1"/>
  <c r="U219" i="1"/>
  <c r="V219" i="1"/>
  <c r="W219" i="1"/>
  <c r="X219" i="1"/>
  <c r="Y219" i="1"/>
  <c r="U220" i="1"/>
  <c r="V220" i="1"/>
  <c r="W220" i="1"/>
  <c r="X220" i="1"/>
  <c r="Y220" i="1"/>
  <c r="U221" i="1"/>
  <c r="V221" i="1"/>
  <c r="W221" i="1"/>
  <c r="X221" i="1"/>
  <c r="Y221" i="1"/>
  <c r="U222" i="1"/>
  <c r="V222" i="1"/>
  <c r="W222" i="1"/>
  <c r="X222" i="1"/>
  <c r="Y222" i="1"/>
  <c r="U223" i="1"/>
  <c r="V223" i="1"/>
  <c r="W223" i="1"/>
  <c r="X223" i="1"/>
  <c r="Y223" i="1"/>
  <c r="U224" i="1"/>
  <c r="V224" i="1"/>
  <c r="W224" i="1"/>
  <c r="X224" i="1"/>
  <c r="Y224" i="1"/>
  <c r="U225" i="1"/>
  <c r="V225" i="1"/>
  <c r="W225" i="1"/>
  <c r="X225" i="1"/>
  <c r="Y225" i="1"/>
  <c r="U226" i="1"/>
  <c r="V226" i="1"/>
  <c r="W226" i="1"/>
  <c r="X226" i="1"/>
  <c r="Y226" i="1"/>
  <c r="U227" i="1"/>
  <c r="V227" i="1"/>
  <c r="W227" i="1"/>
  <c r="X227" i="1"/>
  <c r="Y227" i="1"/>
  <c r="U228" i="1"/>
  <c r="V228" i="1"/>
  <c r="W228" i="1"/>
  <c r="X228" i="1"/>
  <c r="Y228" i="1"/>
  <c r="U229" i="1"/>
  <c r="V229" i="1"/>
  <c r="W229" i="1"/>
  <c r="X229" i="1"/>
  <c r="Y229" i="1"/>
  <c r="U230" i="1"/>
  <c r="V230" i="1"/>
  <c r="W230" i="1"/>
  <c r="X230" i="1"/>
  <c r="Y230" i="1"/>
  <c r="U231" i="1"/>
  <c r="V231" i="1"/>
  <c r="W231" i="1"/>
  <c r="X231" i="1"/>
  <c r="Y231" i="1"/>
  <c r="U232" i="1"/>
  <c r="V232" i="1"/>
  <c r="W232" i="1"/>
  <c r="X232" i="1"/>
  <c r="Y232" i="1"/>
  <c r="U233" i="1"/>
  <c r="V233" i="1"/>
  <c r="W233" i="1"/>
  <c r="X233" i="1"/>
  <c r="Y233" i="1"/>
  <c r="U234" i="1"/>
  <c r="V234" i="1"/>
  <c r="W234" i="1"/>
  <c r="X234" i="1"/>
  <c r="Y234" i="1"/>
  <c r="U235" i="1"/>
  <c r="V235" i="1"/>
  <c r="W235" i="1"/>
  <c r="X235" i="1"/>
  <c r="Y235" i="1"/>
  <c r="U236" i="1"/>
  <c r="V236" i="1"/>
  <c r="W236" i="1"/>
  <c r="X236" i="1"/>
  <c r="Y236" i="1"/>
  <c r="U237" i="1"/>
  <c r="V237" i="1"/>
  <c r="W237" i="1"/>
  <c r="X237" i="1"/>
  <c r="Y237" i="1"/>
  <c r="U238" i="1"/>
  <c r="V238" i="1"/>
  <c r="W238" i="1"/>
  <c r="X238" i="1"/>
  <c r="Y238" i="1"/>
  <c r="U239" i="1"/>
  <c r="V239" i="1"/>
  <c r="W239" i="1"/>
  <c r="X239" i="1"/>
  <c r="Y239" i="1"/>
  <c r="U240" i="1"/>
  <c r="V240" i="1"/>
  <c r="W240" i="1"/>
  <c r="X240" i="1"/>
  <c r="Y240" i="1"/>
  <c r="U241" i="1"/>
  <c r="V241" i="1"/>
  <c r="W241" i="1"/>
  <c r="X241" i="1"/>
  <c r="Y241" i="1"/>
  <c r="U242" i="1"/>
  <c r="V242" i="1"/>
  <c r="W242" i="1"/>
  <c r="X242" i="1"/>
  <c r="Y242" i="1"/>
  <c r="U243" i="1"/>
  <c r="V243" i="1"/>
  <c r="W243" i="1"/>
  <c r="X243" i="1"/>
  <c r="Y243" i="1"/>
  <c r="U244" i="1"/>
  <c r="V244" i="1"/>
  <c r="W244" i="1"/>
  <c r="X244" i="1"/>
  <c r="Y244" i="1"/>
  <c r="U245" i="1"/>
  <c r="V245" i="1"/>
  <c r="W245" i="1"/>
  <c r="X245" i="1"/>
  <c r="Y245" i="1"/>
  <c r="U246" i="1"/>
  <c r="V246" i="1"/>
  <c r="W246" i="1"/>
  <c r="X246" i="1"/>
  <c r="Y246" i="1"/>
  <c r="U247" i="1"/>
  <c r="V247" i="1"/>
  <c r="W247" i="1"/>
  <c r="X247" i="1"/>
  <c r="Y247" i="1"/>
  <c r="U248" i="1"/>
  <c r="V248" i="1"/>
  <c r="W248" i="1"/>
  <c r="X248" i="1"/>
  <c r="Y248" i="1"/>
  <c r="U249" i="1"/>
  <c r="V249" i="1"/>
  <c r="W249" i="1"/>
  <c r="X249" i="1"/>
  <c r="Y249" i="1"/>
  <c r="U250" i="1"/>
  <c r="V250" i="1"/>
  <c r="W250" i="1"/>
  <c r="X250" i="1"/>
  <c r="Y250" i="1"/>
  <c r="U251" i="1"/>
  <c r="V251" i="1"/>
  <c r="W251" i="1"/>
  <c r="X251" i="1"/>
  <c r="Y251" i="1"/>
  <c r="U252" i="1"/>
  <c r="V252" i="1"/>
  <c r="W252" i="1"/>
  <c r="X252" i="1"/>
  <c r="Y252" i="1"/>
  <c r="U253" i="1"/>
  <c r="V253" i="1"/>
  <c r="W253" i="1"/>
  <c r="X253" i="1"/>
  <c r="Y253" i="1"/>
  <c r="U254" i="1"/>
  <c r="V254" i="1"/>
  <c r="W254" i="1"/>
  <c r="X254" i="1"/>
  <c r="Y254" i="1"/>
  <c r="U255" i="1"/>
  <c r="V255" i="1"/>
  <c r="W255" i="1"/>
  <c r="X255" i="1"/>
  <c r="Y255" i="1"/>
  <c r="U256" i="1"/>
  <c r="V256" i="1"/>
  <c r="W256" i="1"/>
  <c r="X256" i="1"/>
  <c r="Y256" i="1"/>
  <c r="U257" i="1"/>
  <c r="V257" i="1"/>
  <c r="W257" i="1"/>
  <c r="X257" i="1"/>
  <c r="Y257" i="1"/>
  <c r="U258" i="1"/>
  <c r="V258" i="1"/>
  <c r="W258" i="1"/>
  <c r="X258" i="1"/>
  <c r="Y258" i="1"/>
  <c r="U259" i="1"/>
  <c r="V259" i="1"/>
  <c r="W259" i="1"/>
  <c r="X259" i="1"/>
  <c r="Y259" i="1"/>
  <c r="U260" i="1"/>
  <c r="V260" i="1"/>
  <c r="W260" i="1"/>
  <c r="X260" i="1"/>
  <c r="Y260" i="1"/>
  <c r="U261" i="1"/>
  <c r="V261" i="1"/>
  <c r="W261" i="1"/>
  <c r="X261" i="1"/>
  <c r="Y261" i="1"/>
  <c r="U262" i="1"/>
  <c r="V262" i="1"/>
  <c r="W262" i="1"/>
  <c r="X262" i="1"/>
  <c r="Y262" i="1"/>
  <c r="U263" i="1"/>
  <c r="V263" i="1"/>
  <c r="W263" i="1"/>
  <c r="X263" i="1"/>
  <c r="Y263" i="1"/>
  <c r="U264" i="1"/>
  <c r="V264" i="1"/>
  <c r="W264" i="1"/>
  <c r="X264" i="1"/>
  <c r="Y264" i="1"/>
  <c r="U265" i="1"/>
  <c r="V265" i="1"/>
  <c r="W265" i="1"/>
  <c r="X265" i="1"/>
  <c r="Y265" i="1"/>
  <c r="U266" i="1"/>
  <c r="V266" i="1"/>
  <c r="W266" i="1"/>
  <c r="X266" i="1"/>
  <c r="Y266" i="1"/>
  <c r="U267" i="1"/>
  <c r="V267" i="1"/>
  <c r="W267" i="1"/>
  <c r="X267" i="1"/>
  <c r="Y267" i="1"/>
  <c r="U268" i="1"/>
  <c r="V268" i="1"/>
  <c r="W268" i="1"/>
  <c r="X268" i="1"/>
  <c r="Y268" i="1"/>
  <c r="U269" i="1"/>
  <c r="V269" i="1"/>
  <c r="W269" i="1"/>
  <c r="X269" i="1"/>
  <c r="Y269" i="1"/>
  <c r="U270" i="1"/>
  <c r="V270" i="1"/>
  <c r="W270" i="1"/>
  <c r="X270" i="1"/>
  <c r="Y270" i="1"/>
  <c r="U271" i="1"/>
  <c r="V271" i="1"/>
  <c r="W271" i="1"/>
  <c r="X271" i="1"/>
  <c r="Y271" i="1"/>
  <c r="U272" i="1"/>
  <c r="V272" i="1"/>
  <c r="W272" i="1"/>
  <c r="X272" i="1"/>
  <c r="Y272" i="1"/>
  <c r="U273" i="1"/>
  <c r="V273" i="1"/>
  <c r="W273" i="1"/>
  <c r="X273" i="1"/>
  <c r="Y273" i="1"/>
  <c r="U274" i="1"/>
  <c r="V274" i="1"/>
  <c r="W274" i="1"/>
  <c r="X274" i="1"/>
  <c r="Y274" i="1"/>
  <c r="U275" i="1"/>
  <c r="V275" i="1"/>
  <c r="W275" i="1"/>
  <c r="X275" i="1"/>
  <c r="Y275" i="1"/>
  <c r="U276" i="1"/>
  <c r="V276" i="1"/>
  <c r="W276" i="1"/>
  <c r="X276" i="1"/>
  <c r="Y276" i="1"/>
  <c r="U277" i="1"/>
  <c r="V277" i="1"/>
  <c r="W277" i="1"/>
  <c r="X277" i="1"/>
  <c r="Y277" i="1"/>
  <c r="U278" i="1"/>
  <c r="V278" i="1"/>
  <c r="W278" i="1"/>
  <c r="X278" i="1"/>
  <c r="Y278" i="1"/>
  <c r="U279" i="1"/>
  <c r="V279" i="1"/>
  <c r="W279" i="1"/>
  <c r="X279" i="1"/>
  <c r="Y279" i="1"/>
  <c r="U280" i="1"/>
  <c r="V280" i="1"/>
  <c r="W280" i="1"/>
  <c r="X280" i="1"/>
  <c r="Y280" i="1"/>
  <c r="U281" i="1"/>
  <c r="V281" i="1"/>
  <c r="W281" i="1"/>
  <c r="X281" i="1"/>
  <c r="Y281" i="1"/>
  <c r="U282" i="1"/>
  <c r="V282" i="1"/>
  <c r="W282" i="1"/>
  <c r="X282" i="1"/>
  <c r="Y282" i="1"/>
  <c r="U283" i="1"/>
  <c r="V283" i="1"/>
  <c r="W283" i="1"/>
  <c r="X283" i="1"/>
  <c r="Y283" i="1"/>
  <c r="U284" i="1"/>
  <c r="V284" i="1"/>
  <c r="W284" i="1"/>
  <c r="X284" i="1"/>
  <c r="Y284" i="1"/>
  <c r="U285" i="1"/>
  <c r="V285" i="1"/>
  <c r="W285" i="1"/>
  <c r="X285" i="1"/>
  <c r="Y285" i="1"/>
  <c r="U286" i="1"/>
  <c r="V286" i="1"/>
  <c r="W286" i="1"/>
  <c r="X286" i="1"/>
  <c r="Y286" i="1"/>
  <c r="U287" i="1"/>
  <c r="V287" i="1"/>
  <c r="W287" i="1"/>
  <c r="X287" i="1"/>
  <c r="Y287" i="1"/>
  <c r="U288" i="1"/>
  <c r="V288" i="1"/>
  <c r="W288" i="1"/>
  <c r="X288" i="1"/>
  <c r="Y288" i="1"/>
  <c r="U289" i="1"/>
  <c r="V289" i="1"/>
  <c r="W289" i="1"/>
  <c r="X289" i="1"/>
  <c r="Y289" i="1"/>
  <c r="U290" i="1"/>
  <c r="V290" i="1"/>
  <c r="W290" i="1"/>
  <c r="X290" i="1"/>
  <c r="Y290" i="1"/>
  <c r="U291" i="1"/>
  <c r="V291" i="1"/>
  <c r="W291" i="1"/>
  <c r="X291" i="1"/>
  <c r="Y291" i="1"/>
  <c r="U292" i="1"/>
  <c r="V292" i="1"/>
  <c r="W292" i="1"/>
  <c r="X292" i="1"/>
  <c r="Y292" i="1"/>
  <c r="U293" i="1"/>
  <c r="V293" i="1"/>
  <c r="W293" i="1"/>
  <c r="X293" i="1"/>
  <c r="Y293" i="1"/>
  <c r="U294" i="1"/>
  <c r="V294" i="1"/>
  <c r="W294" i="1"/>
  <c r="X294" i="1"/>
  <c r="Y294" i="1"/>
  <c r="U295" i="1"/>
  <c r="V295" i="1"/>
  <c r="W295" i="1"/>
  <c r="X295" i="1"/>
  <c r="Y295" i="1"/>
  <c r="U296" i="1"/>
  <c r="V296" i="1"/>
  <c r="W296" i="1"/>
  <c r="X296" i="1"/>
  <c r="Y296" i="1"/>
  <c r="U297" i="1"/>
  <c r="V297" i="1"/>
  <c r="W297" i="1"/>
  <c r="X297" i="1"/>
  <c r="Y297" i="1"/>
  <c r="U298" i="1"/>
  <c r="V298" i="1"/>
  <c r="W298" i="1"/>
  <c r="X298" i="1"/>
  <c r="Y298" i="1"/>
  <c r="U299" i="1"/>
  <c r="V299" i="1"/>
  <c r="W299" i="1"/>
  <c r="X299" i="1"/>
  <c r="Y299" i="1"/>
  <c r="U300" i="1"/>
  <c r="V300" i="1"/>
  <c r="W300" i="1"/>
  <c r="X300" i="1"/>
  <c r="Y300" i="1"/>
  <c r="U301" i="1"/>
  <c r="V301" i="1"/>
  <c r="W301" i="1"/>
  <c r="X301" i="1"/>
  <c r="Y301" i="1"/>
  <c r="U302" i="1"/>
  <c r="V302" i="1"/>
  <c r="W302" i="1"/>
  <c r="X302" i="1"/>
  <c r="Y302" i="1"/>
  <c r="U303" i="1"/>
  <c r="V303" i="1"/>
  <c r="W303" i="1"/>
  <c r="X303" i="1"/>
  <c r="Y303" i="1"/>
  <c r="U304" i="1"/>
  <c r="V304" i="1"/>
  <c r="W304" i="1"/>
  <c r="X304" i="1"/>
  <c r="Y304" i="1"/>
  <c r="U305" i="1"/>
  <c r="V305" i="1"/>
  <c r="W305" i="1"/>
  <c r="X305" i="1"/>
  <c r="Y305" i="1"/>
  <c r="U306" i="1"/>
  <c r="V306" i="1"/>
  <c r="W306" i="1"/>
  <c r="X306" i="1"/>
  <c r="Y306" i="1"/>
  <c r="U307" i="1"/>
  <c r="V307" i="1"/>
  <c r="W307" i="1"/>
  <c r="X307" i="1"/>
  <c r="Y307" i="1"/>
  <c r="U308" i="1"/>
  <c r="V308" i="1"/>
  <c r="W308" i="1"/>
  <c r="X308" i="1"/>
  <c r="Y308" i="1"/>
  <c r="U309" i="1"/>
  <c r="V309" i="1"/>
  <c r="W309" i="1"/>
  <c r="X309" i="1"/>
  <c r="Y309" i="1"/>
  <c r="U310" i="1"/>
  <c r="V310" i="1"/>
  <c r="W310" i="1"/>
  <c r="X310" i="1"/>
  <c r="Y310" i="1"/>
  <c r="U311" i="1"/>
  <c r="V311" i="1"/>
  <c r="W311" i="1"/>
  <c r="X311" i="1"/>
  <c r="Y311" i="1"/>
  <c r="U312" i="1"/>
  <c r="V312" i="1"/>
  <c r="W312" i="1"/>
  <c r="X312" i="1"/>
  <c r="Y312" i="1"/>
  <c r="U313" i="1"/>
  <c r="V313" i="1"/>
  <c r="W313" i="1"/>
  <c r="X313" i="1"/>
  <c r="Y313" i="1"/>
  <c r="U314" i="1"/>
  <c r="V314" i="1"/>
  <c r="W314" i="1"/>
  <c r="X314" i="1"/>
  <c r="Y314" i="1"/>
  <c r="U315" i="1"/>
  <c r="V315" i="1"/>
  <c r="W315" i="1"/>
  <c r="X315" i="1"/>
  <c r="Y315" i="1"/>
  <c r="U316" i="1"/>
  <c r="V316" i="1"/>
  <c r="W316" i="1"/>
  <c r="X316" i="1"/>
  <c r="Y316" i="1"/>
  <c r="U317" i="1"/>
  <c r="V317" i="1"/>
  <c r="W317" i="1"/>
  <c r="X317" i="1"/>
  <c r="Y317" i="1"/>
  <c r="U318" i="1"/>
  <c r="V318" i="1"/>
  <c r="W318" i="1"/>
  <c r="X318" i="1"/>
  <c r="Y318" i="1"/>
  <c r="U319" i="1"/>
  <c r="V319" i="1"/>
  <c r="W319" i="1"/>
  <c r="X319" i="1"/>
  <c r="Y319" i="1"/>
  <c r="U320" i="1"/>
  <c r="V320" i="1"/>
  <c r="W320" i="1"/>
  <c r="X320" i="1"/>
  <c r="Y320" i="1"/>
  <c r="U321" i="1"/>
  <c r="V321" i="1"/>
  <c r="W321" i="1"/>
  <c r="X321" i="1"/>
  <c r="Y321" i="1"/>
  <c r="U322" i="1"/>
  <c r="V322" i="1"/>
  <c r="W322" i="1"/>
  <c r="X322" i="1"/>
  <c r="Y322" i="1"/>
  <c r="U323" i="1"/>
  <c r="V323" i="1"/>
  <c r="W323" i="1"/>
  <c r="X323" i="1"/>
  <c r="Y323" i="1"/>
  <c r="U324" i="1"/>
  <c r="V324" i="1"/>
  <c r="W324" i="1"/>
  <c r="X324" i="1"/>
  <c r="Y324" i="1"/>
  <c r="U325" i="1"/>
  <c r="V325" i="1"/>
  <c r="W325" i="1"/>
  <c r="X325" i="1"/>
  <c r="Y325" i="1"/>
  <c r="U326" i="1"/>
  <c r="V326" i="1"/>
  <c r="W326" i="1"/>
  <c r="X326" i="1"/>
  <c r="Y326" i="1"/>
  <c r="U327" i="1"/>
  <c r="V327" i="1"/>
  <c r="W327" i="1"/>
  <c r="X327" i="1"/>
  <c r="Y327" i="1"/>
  <c r="U328" i="1"/>
  <c r="V328" i="1"/>
  <c r="W328" i="1"/>
  <c r="X328" i="1"/>
  <c r="Y328" i="1"/>
  <c r="U329" i="1"/>
  <c r="V329" i="1"/>
  <c r="W329" i="1"/>
  <c r="X329" i="1"/>
  <c r="Y329" i="1"/>
  <c r="U330" i="1"/>
  <c r="V330" i="1"/>
  <c r="W330" i="1"/>
  <c r="X330" i="1"/>
  <c r="Y330" i="1"/>
  <c r="U331" i="1"/>
  <c r="V331" i="1"/>
  <c r="W331" i="1"/>
  <c r="X331" i="1"/>
  <c r="Y331" i="1"/>
  <c r="U332" i="1"/>
  <c r="V332" i="1"/>
  <c r="W332" i="1"/>
  <c r="X332" i="1"/>
  <c r="Y332" i="1"/>
  <c r="U333" i="1"/>
  <c r="V333" i="1"/>
  <c r="W333" i="1"/>
  <c r="X333" i="1"/>
  <c r="Y333" i="1"/>
  <c r="U334" i="1"/>
  <c r="V334" i="1"/>
  <c r="W334" i="1"/>
  <c r="X334" i="1"/>
  <c r="Y334" i="1"/>
  <c r="U335" i="1"/>
  <c r="V335" i="1"/>
  <c r="W335" i="1"/>
  <c r="X335" i="1"/>
  <c r="Y335" i="1"/>
  <c r="U336" i="1"/>
  <c r="V336" i="1"/>
  <c r="W336" i="1"/>
  <c r="X336" i="1"/>
  <c r="Y336" i="1"/>
  <c r="U337" i="1"/>
  <c r="V337" i="1"/>
  <c r="W337" i="1"/>
  <c r="X337" i="1"/>
  <c r="Y337" i="1"/>
  <c r="U338" i="1"/>
  <c r="V338" i="1"/>
  <c r="W338" i="1"/>
  <c r="X338" i="1"/>
  <c r="Y338" i="1"/>
  <c r="U339" i="1"/>
  <c r="V339" i="1"/>
  <c r="W339" i="1"/>
  <c r="X339" i="1"/>
  <c r="Y339" i="1"/>
  <c r="U340" i="1"/>
  <c r="V340" i="1"/>
  <c r="W340" i="1"/>
  <c r="X340" i="1"/>
  <c r="Y340" i="1"/>
  <c r="U341" i="1"/>
  <c r="V341" i="1"/>
  <c r="W341" i="1"/>
  <c r="X341" i="1"/>
  <c r="Y341" i="1"/>
  <c r="U342" i="1"/>
  <c r="V342" i="1"/>
  <c r="W342" i="1"/>
  <c r="X342" i="1"/>
  <c r="Y342" i="1"/>
  <c r="U343" i="1"/>
  <c r="V343" i="1"/>
  <c r="W343" i="1"/>
  <c r="X343" i="1"/>
  <c r="Y343" i="1"/>
  <c r="U344" i="1"/>
  <c r="V344" i="1"/>
  <c r="W344" i="1"/>
  <c r="X344" i="1"/>
  <c r="Y344" i="1"/>
  <c r="U345" i="1"/>
  <c r="V345" i="1"/>
  <c r="W345" i="1"/>
  <c r="X345" i="1"/>
  <c r="Y345" i="1"/>
  <c r="U346" i="1"/>
  <c r="V346" i="1"/>
  <c r="W346" i="1"/>
  <c r="X346" i="1"/>
  <c r="Y346" i="1"/>
  <c r="U347" i="1"/>
  <c r="V347" i="1"/>
  <c r="W347" i="1"/>
  <c r="X347" i="1"/>
  <c r="Y347" i="1"/>
  <c r="U348" i="1"/>
  <c r="V348" i="1"/>
  <c r="W348" i="1"/>
  <c r="X348" i="1"/>
  <c r="Y348" i="1"/>
  <c r="U349" i="1"/>
  <c r="V349" i="1"/>
  <c r="W349" i="1"/>
  <c r="X349" i="1"/>
  <c r="Y349" i="1"/>
  <c r="U350" i="1"/>
  <c r="V350" i="1"/>
  <c r="W350" i="1"/>
  <c r="X350" i="1"/>
  <c r="Y350" i="1"/>
  <c r="U351" i="1"/>
  <c r="V351" i="1"/>
  <c r="W351" i="1"/>
  <c r="X351" i="1"/>
  <c r="Y351" i="1"/>
  <c r="U352" i="1"/>
  <c r="V352" i="1"/>
  <c r="W352" i="1"/>
  <c r="X352" i="1"/>
  <c r="Y352" i="1"/>
  <c r="U353" i="1"/>
  <c r="V353" i="1"/>
  <c r="W353" i="1"/>
  <c r="X353" i="1"/>
  <c r="Y353" i="1"/>
  <c r="U354" i="1"/>
  <c r="V354" i="1"/>
  <c r="W354" i="1"/>
  <c r="X354" i="1"/>
  <c r="Y354" i="1"/>
  <c r="U355" i="1"/>
  <c r="V355" i="1"/>
  <c r="W355" i="1"/>
  <c r="X355" i="1"/>
  <c r="Y355" i="1"/>
  <c r="U356" i="1"/>
  <c r="V356" i="1"/>
  <c r="W356" i="1"/>
  <c r="X356" i="1"/>
  <c r="Y356" i="1"/>
  <c r="U357" i="1"/>
  <c r="V357" i="1"/>
  <c r="W357" i="1"/>
  <c r="X357" i="1"/>
  <c r="Y357" i="1"/>
  <c r="U358" i="1"/>
  <c r="V358" i="1"/>
  <c r="W358" i="1"/>
  <c r="X358" i="1"/>
  <c r="Y358" i="1"/>
  <c r="U359" i="1"/>
  <c r="V359" i="1"/>
  <c r="W359" i="1"/>
  <c r="X359" i="1"/>
  <c r="Y359" i="1"/>
  <c r="U360" i="1"/>
  <c r="V360" i="1"/>
  <c r="W360" i="1"/>
  <c r="X360" i="1"/>
  <c r="Y360" i="1"/>
  <c r="U361" i="1"/>
  <c r="V361" i="1"/>
  <c r="W361" i="1"/>
  <c r="X361" i="1"/>
  <c r="Y361" i="1"/>
  <c r="U362" i="1"/>
  <c r="V362" i="1"/>
  <c r="W362" i="1"/>
  <c r="X362" i="1"/>
  <c r="Y362" i="1"/>
  <c r="U363" i="1"/>
  <c r="V363" i="1"/>
  <c r="W363" i="1"/>
  <c r="X363" i="1"/>
  <c r="Y363" i="1"/>
  <c r="U364" i="1"/>
  <c r="V364" i="1"/>
  <c r="W364" i="1"/>
  <c r="X364" i="1"/>
  <c r="Y364" i="1"/>
  <c r="U365" i="1"/>
  <c r="V365" i="1"/>
  <c r="W365" i="1"/>
  <c r="X365" i="1"/>
  <c r="Y365" i="1"/>
  <c r="U366" i="1"/>
  <c r="V366" i="1"/>
  <c r="W366" i="1"/>
  <c r="X366" i="1"/>
  <c r="Y366" i="1"/>
  <c r="U367" i="1"/>
  <c r="V367" i="1"/>
  <c r="W367" i="1"/>
  <c r="X367" i="1"/>
  <c r="Y367" i="1"/>
  <c r="U368" i="1"/>
  <c r="V368" i="1"/>
  <c r="W368" i="1"/>
  <c r="X368" i="1"/>
  <c r="Y368" i="1"/>
  <c r="U369" i="1"/>
  <c r="V369" i="1"/>
  <c r="W369" i="1"/>
  <c r="X369" i="1"/>
  <c r="Y369" i="1"/>
  <c r="U370" i="1"/>
  <c r="V370" i="1"/>
  <c r="W370" i="1"/>
  <c r="X370" i="1"/>
  <c r="Y370" i="1"/>
  <c r="U371" i="1"/>
  <c r="V371" i="1"/>
  <c r="W371" i="1"/>
  <c r="X371" i="1"/>
  <c r="Y371" i="1"/>
  <c r="U372" i="1"/>
  <c r="V372" i="1"/>
  <c r="W372" i="1"/>
  <c r="X372" i="1"/>
  <c r="Y372" i="1"/>
  <c r="U373" i="1"/>
  <c r="V373" i="1"/>
  <c r="W373" i="1"/>
  <c r="X373" i="1"/>
  <c r="Y373" i="1"/>
  <c r="U374" i="1"/>
  <c r="V374" i="1"/>
  <c r="W374" i="1"/>
  <c r="X374" i="1"/>
  <c r="Y374" i="1"/>
  <c r="U375" i="1"/>
  <c r="V375" i="1"/>
  <c r="W375" i="1"/>
  <c r="X375" i="1"/>
  <c r="Y375" i="1"/>
  <c r="U376" i="1"/>
  <c r="V376" i="1"/>
  <c r="W376" i="1"/>
  <c r="X376" i="1"/>
  <c r="Y376" i="1"/>
  <c r="U377" i="1"/>
  <c r="V377" i="1"/>
  <c r="W377" i="1"/>
  <c r="X377" i="1"/>
  <c r="Y377" i="1"/>
  <c r="U378" i="1"/>
  <c r="V378" i="1"/>
  <c r="W378" i="1"/>
  <c r="X378" i="1"/>
  <c r="Y378" i="1"/>
  <c r="U379" i="1"/>
  <c r="V379" i="1"/>
  <c r="W379" i="1"/>
  <c r="X379" i="1"/>
  <c r="Y379" i="1"/>
  <c r="U380" i="1"/>
  <c r="V380" i="1"/>
  <c r="W380" i="1"/>
  <c r="X380" i="1"/>
  <c r="Y380" i="1"/>
  <c r="U381" i="1"/>
  <c r="V381" i="1"/>
  <c r="W381" i="1"/>
  <c r="X381" i="1"/>
  <c r="Y381" i="1"/>
  <c r="U382" i="1"/>
  <c r="V382" i="1"/>
  <c r="W382" i="1"/>
  <c r="X382" i="1"/>
  <c r="Y382" i="1"/>
  <c r="U383" i="1"/>
  <c r="V383" i="1"/>
  <c r="W383" i="1"/>
  <c r="X383" i="1"/>
  <c r="Y383" i="1"/>
  <c r="U384" i="1"/>
  <c r="V384" i="1"/>
  <c r="W384" i="1"/>
  <c r="X384" i="1"/>
  <c r="Y384" i="1"/>
  <c r="U385" i="1"/>
  <c r="V385" i="1"/>
  <c r="W385" i="1"/>
  <c r="X385" i="1"/>
  <c r="Y385" i="1"/>
  <c r="U386" i="1"/>
  <c r="V386" i="1"/>
  <c r="W386" i="1"/>
  <c r="X386" i="1"/>
  <c r="Y386" i="1"/>
  <c r="U387" i="1"/>
  <c r="V387" i="1"/>
  <c r="W387" i="1"/>
  <c r="X387" i="1"/>
  <c r="Y387" i="1"/>
  <c r="U388" i="1"/>
  <c r="V388" i="1"/>
  <c r="W388" i="1"/>
  <c r="X388" i="1"/>
  <c r="Y388" i="1"/>
  <c r="U389" i="1"/>
  <c r="V389" i="1"/>
  <c r="W389" i="1"/>
  <c r="X389" i="1"/>
  <c r="Y389" i="1"/>
  <c r="U390" i="1"/>
  <c r="V390" i="1"/>
  <c r="W390" i="1"/>
  <c r="X390" i="1"/>
  <c r="Y390" i="1"/>
  <c r="U391" i="1"/>
  <c r="V391" i="1"/>
  <c r="W391" i="1"/>
  <c r="X391" i="1"/>
  <c r="Y391" i="1"/>
  <c r="U392" i="1"/>
  <c r="V392" i="1"/>
  <c r="W392" i="1"/>
  <c r="X392" i="1"/>
  <c r="Y392" i="1"/>
  <c r="U393" i="1"/>
  <c r="V393" i="1"/>
  <c r="W393" i="1"/>
  <c r="X393" i="1"/>
  <c r="Y393" i="1"/>
  <c r="U394" i="1"/>
  <c r="V394" i="1"/>
  <c r="W394" i="1"/>
  <c r="X394" i="1"/>
  <c r="Y394" i="1"/>
  <c r="U395" i="1"/>
  <c r="V395" i="1"/>
  <c r="W395" i="1"/>
  <c r="X395" i="1"/>
  <c r="Y395" i="1"/>
  <c r="U396" i="1"/>
  <c r="V396" i="1"/>
  <c r="W396" i="1"/>
  <c r="X396" i="1"/>
  <c r="Y396" i="1"/>
  <c r="U397" i="1"/>
  <c r="V397" i="1"/>
  <c r="W397" i="1"/>
  <c r="X397" i="1"/>
  <c r="Y397" i="1"/>
  <c r="U398" i="1"/>
  <c r="V398" i="1"/>
  <c r="W398" i="1"/>
  <c r="X398" i="1"/>
  <c r="Y398" i="1"/>
  <c r="U399" i="1"/>
  <c r="V399" i="1"/>
  <c r="W399" i="1"/>
  <c r="X399" i="1"/>
  <c r="Y399" i="1"/>
  <c r="U400" i="1"/>
  <c r="V400" i="1"/>
  <c r="W400" i="1"/>
  <c r="X400" i="1"/>
  <c r="Y400" i="1"/>
  <c r="U401" i="1"/>
  <c r="V401" i="1"/>
  <c r="W401" i="1"/>
  <c r="X401" i="1"/>
  <c r="Y401" i="1"/>
  <c r="U402" i="1"/>
  <c r="V402" i="1"/>
  <c r="W402" i="1"/>
  <c r="X402" i="1"/>
  <c r="Y402" i="1"/>
  <c r="U403" i="1"/>
  <c r="V403" i="1"/>
  <c r="W403" i="1"/>
  <c r="X403" i="1"/>
  <c r="Y403" i="1"/>
  <c r="U404" i="1"/>
  <c r="V404" i="1"/>
  <c r="W404" i="1"/>
  <c r="X404" i="1"/>
  <c r="Y404" i="1"/>
  <c r="U405" i="1"/>
  <c r="V405" i="1"/>
  <c r="W405" i="1"/>
  <c r="X405" i="1"/>
  <c r="Y405" i="1"/>
  <c r="U406" i="1"/>
  <c r="V406" i="1"/>
  <c r="W406" i="1"/>
  <c r="X406" i="1"/>
  <c r="Y406" i="1"/>
  <c r="U407" i="1"/>
  <c r="V407" i="1"/>
  <c r="W407" i="1"/>
  <c r="X407" i="1"/>
  <c r="Y407" i="1"/>
  <c r="U408" i="1"/>
  <c r="V408" i="1"/>
  <c r="W408" i="1"/>
  <c r="X408" i="1"/>
  <c r="Y408" i="1"/>
  <c r="U409" i="1"/>
  <c r="V409" i="1"/>
  <c r="W409" i="1"/>
  <c r="X409" i="1"/>
  <c r="Y409" i="1"/>
  <c r="U410" i="1"/>
  <c r="V410" i="1"/>
  <c r="W410" i="1"/>
  <c r="X410" i="1"/>
  <c r="Y410" i="1"/>
  <c r="U411" i="1"/>
  <c r="V411" i="1"/>
  <c r="W411" i="1"/>
  <c r="X411" i="1"/>
  <c r="Y411" i="1"/>
  <c r="U412" i="1"/>
  <c r="V412" i="1"/>
  <c r="W412" i="1"/>
  <c r="X412" i="1"/>
  <c r="Y412" i="1"/>
  <c r="U413" i="1"/>
  <c r="V413" i="1"/>
  <c r="W413" i="1"/>
  <c r="X413" i="1"/>
  <c r="Y413" i="1"/>
  <c r="U414" i="1"/>
  <c r="V414" i="1"/>
  <c r="W414" i="1"/>
  <c r="X414" i="1"/>
  <c r="Y414" i="1"/>
  <c r="U415" i="1"/>
  <c r="V415" i="1"/>
  <c r="W415" i="1"/>
  <c r="X415" i="1"/>
  <c r="Y415" i="1"/>
  <c r="U416" i="1"/>
  <c r="V416" i="1"/>
  <c r="W416" i="1"/>
  <c r="X416" i="1"/>
  <c r="Y416" i="1"/>
  <c r="U417" i="1"/>
  <c r="V417" i="1"/>
  <c r="W417" i="1"/>
  <c r="X417" i="1"/>
  <c r="Y417" i="1"/>
  <c r="U418" i="1"/>
  <c r="V418" i="1"/>
  <c r="W418" i="1"/>
  <c r="X418" i="1"/>
  <c r="Y418" i="1"/>
  <c r="U419" i="1"/>
  <c r="V419" i="1"/>
  <c r="W419" i="1"/>
  <c r="X419" i="1"/>
  <c r="Y419" i="1"/>
  <c r="U420" i="1"/>
  <c r="V420" i="1"/>
  <c r="W420" i="1"/>
  <c r="X420" i="1"/>
  <c r="Y420" i="1"/>
  <c r="U421" i="1"/>
  <c r="V421" i="1"/>
  <c r="W421" i="1"/>
  <c r="X421" i="1"/>
  <c r="Y421" i="1"/>
  <c r="U422" i="1"/>
  <c r="V422" i="1"/>
  <c r="W422" i="1"/>
  <c r="X422" i="1"/>
  <c r="Y422" i="1"/>
  <c r="U423" i="1"/>
  <c r="V423" i="1"/>
  <c r="W423" i="1"/>
  <c r="X423" i="1"/>
  <c r="Y423" i="1"/>
  <c r="U424" i="1"/>
  <c r="V424" i="1"/>
  <c r="W424" i="1"/>
  <c r="X424" i="1"/>
  <c r="Y424" i="1"/>
  <c r="U425" i="1"/>
  <c r="V425" i="1"/>
  <c r="W425" i="1"/>
  <c r="X425" i="1"/>
  <c r="Y425" i="1"/>
  <c r="U426" i="1"/>
  <c r="V426" i="1"/>
  <c r="W426" i="1"/>
  <c r="X426" i="1"/>
  <c r="Y426" i="1"/>
  <c r="U427" i="1"/>
  <c r="V427" i="1"/>
  <c r="W427" i="1"/>
  <c r="X427" i="1"/>
  <c r="Y427" i="1"/>
  <c r="U428" i="1"/>
  <c r="V428" i="1"/>
  <c r="W428" i="1"/>
  <c r="X428" i="1"/>
  <c r="Y428" i="1"/>
  <c r="U429" i="1"/>
  <c r="V429" i="1"/>
  <c r="W429" i="1"/>
  <c r="X429" i="1"/>
  <c r="Y429" i="1"/>
  <c r="U430" i="1"/>
  <c r="V430" i="1"/>
  <c r="W430" i="1"/>
  <c r="X430" i="1"/>
  <c r="Y430" i="1"/>
  <c r="U431" i="1"/>
  <c r="V431" i="1"/>
  <c r="W431" i="1"/>
  <c r="X431" i="1"/>
  <c r="Y431" i="1"/>
  <c r="U432" i="1"/>
  <c r="V432" i="1"/>
  <c r="W432" i="1"/>
  <c r="X432" i="1"/>
  <c r="Y432" i="1"/>
  <c r="U433" i="1"/>
  <c r="V433" i="1"/>
  <c r="W433" i="1"/>
  <c r="X433" i="1"/>
  <c r="Y433" i="1"/>
  <c r="U434" i="1"/>
  <c r="V434" i="1"/>
  <c r="W434" i="1"/>
  <c r="X434" i="1"/>
  <c r="Y434" i="1"/>
  <c r="U435" i="1"/>
  <c r="V435" i="1"/>
  <c r="W435" i="1"/>
  <c r="X435" i="1"/>
  <c r="Y435" i="1"/>
  <c r="U436" i="1"/>
  <c r="V436" i="1"/>
  <c r="W436" i="1"/>
  <c r="X436" i="1"/>
  <c r="Y436" i="1"/>
  <c r="U437" i="1"/>
  <c r="V437" i="1"/>
  <c r="W437" i="1"/>
  <c r="X437" i="1"/>
  <c r="Y437" i="1"/>
  <c r="U438" i="1"/>
  <c r="V438" i="1"/>
  <c r="W438" i="1"/>
  <c r="X438" i="1"/>
  <c r="Y438" i="1"/>
  <c r="U439" i="1"/>
  <c r="V439" i="1"/>
  <c r="W439" i="1"/>
  <c r="X439" i="1"/>
  <c r="Y439" i="1"/>
  <c r="U440" i="1"/>
  <c r="V440" i="1"/>
  <c r="W440" i="1"/>
  <c r="X440" i="1"/>
  <c r="Y440" i="1"/>
  <c r="U441" i="1"/>
  <c r="V441" i="1"/>
  <c r="W441" i="1"/>
  <c r="X441" i="1"/>
  <c r="Y441" i="1"/>
  <c r="U442" i="1"/>
  <c r="V442" i="1"/>
  <c r="W442" i="1"/>
  <c r="X442" i="1"/>
  <c r="Y442" i="1"/>
  <c r="U443" i="1"/>
  <c r="V443" i="1"/>
  <c r="W443" i="1"/>
  <c r="X443" i="1"/>
  <c r="Y443" i="1"/>
  <c r="U444" i="1"/>
  <c r="V444" i="1"/>
  <c r="W444" i="1"/>
  <c r="X444" i="1"/>
  <c r="Y444" i="1"/>
  <c r="U445" i="1"/>
  <c r="V445" i="1"/>
  <c r="W445" i="1"/>
  <c r="X445" i="1"/>
  <c r="Y445" i="1"/>
  <c r="U446" i="1"/>
  <c r="V446" i="1"/>
  <c r="W446" i="1"/>
  <c r="X446" i="1"/>
  <c r="Y446" i="1"/>
  <c r="U447" i="1"/>
  <c r="V447" i="1"/>
  <c r="W447" i="1"/>
  <c r="X447" i="1"/>
  <c r="Y447" i="1"/>
  <c r="U448" i="1"/>
  <c r="V448" i="1"/>
  <c r="W448" i="1"/>
  <c r="X448" i="1"/>
  <c r="Y448" i="1"/>
  <c r="U449" i="1"/>
  <c r="V449" i="1"/>
  <c r="W449" i="1"/>
  <c r="X449" i="1"/>
  <c r="Y449" i="1"/>
  <c r="U450" i="1"/>
  <c r="V450" i="1"/>
  <c r="W450" i="1"/>
  <c r="X450" i="1"/>
  <c r="Y450" i="1"/>
  <c r="U451" i="1"/>
  <c r="V451" i="1"/>
  <c r="W451" i="1"/>
  <c r="X451" i="1"/>
  <c r="Y451" i="1"/>
  <c r="U452" i="1"/>
  <c r="V452" i="1"/>
  <c r="W452" i="1"/>
  <c r="X452" i="1"/>
  <c r="Y452" i="1"/>
  <c r="U453" i="1"/>
  <c r="V453" i="1"/>
  <c r="W453" i="1"/>
  <c r="X453" i="1"/>
  <c r="Y453" i="1"/>
  <c r="U454" i="1"/>
  <c r="V454" i="1"/>
  <c r="W454" i="1"/>
  <c r="X454" i="1"/>
  <c r="Y454" i="1"/>
  <c r="U455" i="1"/>
  <c r="V455" i="1"/>
  <c r="W455" i="1"/>
  <c r="X455" i="1"/>
  <c r="Y455" i="1"/>
  <c r="U456" i="1"/>
  <c r="V456" i="1"/>
  <c r="W456" i="1"/>
  <c r="X456" i="1"/>
  <c r="Y456" i="1"/>
  <c r="U457" i="1"/>
  <c r="V457" i="1"/>
  <c r="W457" i="1"/>
  <c r="X457" i="1"/>
  <c r="Y457" i="1"/>
  <c r="U458" i="1"/>
  <c r="V458" i="1"/>
  <c r="W458" i="1"/>
  <c r="X458" i="1"/>
  <c r="Y458" i="1"/>
  <c r="U459" i="1"/>
  <c r="V459" i="1"/>
  <c r="W459" i="1"/>
  <c r="X459" i="1"/>
  <c r="Y459" i="1"/>
  <c r="U460" i="1"/>
  <c r="V460" i="1"/>
  <c r="W460" i="1"/>
  <c r="X460" i="1"/>
  <c r="Y460" i="1"/>
  <c r="U461" i="1"/>
  <c r="V461" i="1"/>
  <c r="W461" i="1"/>
  <c r="X461" i="1"/>
  <c r="Y461" i="1"/>
  <c r="U462" i="1"/>
  <c r="V462" i="1"/>
  <c r="W462" i="1"/>
  <c r="X462" i="1"/>
  <c r="Y462" i="1"/>
  <c r="U463" i="1"/>
  <c r="V463" i="1"/>
  <c r="W463" i="1"/>
  <c r="X463" i="1"/>
  <c r="Y463" i="1"/>
  <c r="U464" i="1"/>
  <c r="V464" i="1"/>
  <c r="W464" i="1"/>
  <c r="X464" i="1"/>
  <c r="Y464" i="1"/>
  <c r="U465" i="1"/>
  <c r="V465" i="1"/>
  <c r="W465" i="1"/>
  <c r="X465" i="1"/>
  <c r="Y465" i="1"/>
  <c r="U466" i="1"/>
  <c r="V466" i="1"/>
  <c r="W466" i="1"/>
  <c r="X466" i="1"/>
  <c r="Y466" i="1"/>
  <c r="U467" i="1"/>
  <c r="V467" i="1"/>
  <c r="W467" i="1"/>
  <c r="X467" i="1"/>
  <c r="Y467" i="1"/>
  <c r="U468" i="1"/>
  <c r="V468" i="1"/>
  <c r="W468" i="1"/>
  <c r="X468" i="1"/>
  <c r="Y468" i="1"/>
  <c r="U469" i="1"/>
  <c r="V469" i="1"/>
  <c r="W469" i="1"/>
  <c r="X469" i="1"/>
  <c r="Y469" i="1"/>
  <c r="U470" i="1"/>
  <c r="V470" i="1"/>
  <c r="W470" i="1"/>
  <c r="X470" i="1"/>
  <c r="Y470" i="1"/>
  <c r="U471" i="1"/>
  <c r="V471" i="1"/>
  <c r="W471" i="1"/>
  <c r="X471" i="1"/>
  <c r="Y471" i="1"/>
  <c r="U472" i="1"/>
  <c r="V472" i="1"/>
  <c r="W472" i="1"/>
  <c r="X472" i="1"/>
  <c r="Y472" i="1"/>
  <c r="U473" i="1"/>
  <c r="V473" i="1"/>
  <c r="W473" i="1"/>
  <c r="X473" i="1"/>
  <c r="Y473" i="1"/>
  <c r="U474" i="1"/>
  <c r="V474" i="1"/>
  <c r="W474" i="1"/>
  <c r="X474" i="1"/>
  <c r="Y474" i="1"/>
  <c r="U475" i="1"/>
  <c r="V475" i="1"/>
  <c r="W475" i="1"/>
  <c r="X475" i="1"/>
  <c r="Y475" i="1"/>
  <c r="U476" i="1"/>
  <c r="V476" i="1"/>
  <c r="W476" i="1"/>
  <c r="X476" i="1"/>
  <c r="Y476" i="1"/>
  <c r="U477" i="1"/>
  <c r="V477" i="1"/>
  <c r="W477" i="1"/>
  <c r="X477" i="1"/>
  <c r="Y477" i="1"/>
  <c r="U478" i="1"/>
  <c r="V478" i="1"/>
  <c r="W478" i="1"/>
  <c r="X478" i="1"/>
  <c r="Y478" i="1"/>
  <c r="U479" i="1"/>
  <c r="V479" i="1"/>
  <c r="W479" i="1"/>
  <c r="X479" i="1"/>
  <c r="Y479" i="1"/>
  <c r="U480" i="1"/>
  <c r="V480" i="1"/>
  <c r="W480" i="1"/>
  <c r="X480" i="1"/>
  <c r="Y480" i="1"/>
  <c r="U481" i="1"/>
  <c r="V481" i="1"/>
  <c r="W481" i="1"/>
  <c r="X481" i="1"/>
  <c r="Y481" i="1"/>
  <c r="U482" i="1"/>
  <c r="V482" i="1"/>
  <c r="W482" i="1"/>
  <c r="X482" i="1"/>
  <c r="Y482" i="1"/>
  <c r="U483" i="1"/>
  <c r="V483" i="1"/>
  <c r="W483" i="1"/>
  <c r="X483" i="1"/>
  <c r="Y483" i="1"/>
  <c r="U484" i="1"/>
  <c r="V484" i="1"/>
  <c r="W484" i="1"/>
  <c r="X484" i="1"/>
  <c r="Y484" i="1"/>
  <c r="U485" i="1"/>
  <c r="V485" i="1"/>
  <c r="W485" i="1"/>
  <c r="X485" i="1"/>
  <c r="Y485" i="1"/>
  <c r="U486" i="1"/>
  <c r="V486" i="1"/>
  <c r="W486" i="1"/>
  <c r="X486" i="1"/>
  <c r="Y486" i="1"/>
  <c r="U487" i="1"/>
  <c r="V487" i="1"/>
  <c r="W487" i="1"/>
  <c r="X487" i="1"/>
  <c r="Y487" i="1"/>
  <c r="U488" i="1"/>
  <c r="V488" i="1"/>
  <c r="W488" i="1"/>
  <c r="X488" i="1"/>
  <c r="Y488" i="1"/>
  <c r="U489" i="1"/>
  <c r="V489" i="1"/>
  <c r="W489" i="1"/>
  <c r="X489" i="1"/>
  <c r="Y489" i="1"/>
  <c r="U490" i="1"/>
  <c r="V490" i="1"/>
  <c r="W490" i="1"/>
  <c r="X490" i="1"/>
  <c r="Y490" i="1"/>
  <c r="U491" i="1"/>
  <c r="V491" i="1"/>
  <c r="W491" i="1"/>
  <c r="X491" i="1"/>
  <c r="Y491" i="1"/>
  <c r="U492" i="1"/>
  <c r="V492" i="1"/>
  <c r="W492" i="1"/>
  <c r="X492" i="1"/>
  <c r="Y492" i="1"/>
  <c r="U493" i="1"/>
  <c r="V493" i="1"/>
  <c r="W493" i="1"/>
  <c r="X493" i="1"/>
  <c r="Y493" i="1"/>
  <c r="U494" i="1"/>
  <c r="V494" i="1"/>
  <c r="W494" i="1"/>
  <c r="X494" i="1"/>
  <c r="Y494" i="1"/>
  <c r="U495" i="1"/>
  <c r="V495" i="1"/>
  <c r="W495" i="1"/>
  <c r="X495" i="1"/>
  <c r="Y495" i="1"/>
  <c r="U496" i="1"/>
  <c r="V496" i="1"/>
  <c r="W496" i="1"/>
  <c r="X496" i="1"/>
  <c r="Y496" i="1"/>
  <c r="U497" i="1"/>
  <c r="V497" i="1"/>
  <c r="W497" i="1"/>
  <c r="X497" i="1"/>
  <c r="Y497" i="1"/>
  <c r="U498" i="1"/>
  <c r="V498" i="1"/>
  <c r="W498" i="1"/>
  <c r="X498" i="1"/>
  <c r="Y498" i="1"/>
  <c r="U499" i="1"/>
  <c r="V499" i="1"/>
  <c r="W499" i="1"/>
  <c r="X499" i="1"/>
  <c r="Y499" i="1"/>
  <c r="U500" i="1"/>
  <c r="V500" i="1"/>
  <c r="W500" i="1"/>
  <c r="X500" i="1"/>
  <c r="Y500" i="1"/>
  <c r="U501" i="1"/>
  <c r="V501" i="1"/>
  <c r="W501" i="1"/>
  <c r="X501" i="1"/>
  <c r="Y501" i="1"/>
  <c r="U502" i="1"/>
  <c r="V502" i="1"/>
  <c r="W502" i="1"/>
  <c r="X502" i="1"/>
  <c r="Y502" i="1"/>
  <c r="U503" i="1"/>
  <c r="V503" i="1"/>
  <c r="W503" i="1"/>
  <c r="X503" i="1"/>
  <c r="Y503" i="1"/>
  <c r="U504" i="1"/>
  <c r="V504" i="1"/>
  <c r="W504" i="1"/>
  <c r="X504" i="1"/>
  <c r="Y504" i="1"/>
  <c r="U505" i="1"/>
  <c r="V505" i="1"/>
  <c r="W505" i="1"/>
  <c r="X505" i="1"/>
  <c r="Y505" i="1"/>
  <c r="U506" i="1"/>
  <c r="V506" i="1"/>
  <c r="W506" i="1"/>
  <c r="X506" i="1"/>
  <c r="Y506" i="1"/>
  <c r="U507" i="1"/>
  <c r="V507" i="1"/>
  <c r="W507" i="1"/>
  <c r="X507" i="1"/>
  <c r="Y507" i="1"/>
  <c r="U508" i="1"/>
  <c r="V508" i="1"/>
  <c r="W508" i="1"/>
  <c r="X508" i="1"/>
  <c r="Y508" i="1"/>
  <c r="U509" i="1"/>
  <c r="V509" i="1"/>
  <c r="W509" i="1"/>
  <c r="X509" i="1"/>
  <c r="Y509" i="1"/>
  <c r="U510" i="1"/>
  <c r="V510" i="1"/>
  <c r="W510" i="1"/>
  <c r="X510" i="1"/>
  <c r="Y510" i="1"/>
  <c r="U511" i="1"/>
  <c r="V511" i="1"/>
  <c r="W511" i="1"/>
  <c r="X511" i="1"/>
  <c r="Y511" i="1"/>
  <c r="U512" i="1"/>
  <c r="V512" i="1"/>
  <c r="W512" i="1"/>
  <c r="X512" i="1"/>
  <c r="Y512" i="1"/>
  <c r="U513" i="1"/>
  <c r="V513" i="1"/>
  <c r="W513" i="1"/>
  <c r="X513" i="1"/>
  <c r="Y513" i="1"/>
  <c r="U514" i="1"/>
  <c r="V514" i="1"/>
  <c r="W514" i="1"/>
  <c r="X514" i="1"/>
  <c r="Y514" i="1"/>
  <c r="U515" i="1"/>
  <c r="V515" i="1"/>
  <c r="W515" i="1"/>
  <c r="X515" i="1"/>
  <c r="Y515" i="1"/>
  <c r="U516" i="1"/>
  <c r="V516" i="1"/>
  <c r="W516" i="1"/>
  <c r="X516" i="1"/>
  <c r="Y516" i="1"/>
  <c r="U517" i="1"/>
  <c r="V517" i="1"/>
  <c r="W517" i="1"/>
  <c r="X517" i="1"/>
  <c r="Y517" i="1"/>
  <c r="U518" i="1"/>
  <c r="V518" i="1"/>
  <c r="W518" i="1"/>
  <c r="X518" i="1"/>
  <c r="Y518" i="1"/>
  <c r="U519" i="1"/>
  <c r="V519" i="1"/>
  <c r="W519" i="1"/>
  <c r="X519" i="1"/>
  <c r="Y519" i="1"/>
  <c r="U520" i="1"/>
  <c r="V520" i="1"/>
  <c r="W520" i="1"/>
  <c r="X520" i="1"/>
  <c r="Y520" i="1"/>
  <c r="U521" i="1"/>
  <c r="V521" i="1"/>
  <c r="W521" i="1"/>
  <c r="X521" i="1"/>
  <c r="Y521" i="1"/>
  <c r="U522" i="1"/>
  <c r="V522" i="1"/>
  <c r="W522" i="1"/>
  <c r="X522" i="1"/>
  <c r="Y522" i="1"/>
  <c r="U523" i="1"/>
  <c r="V523" i="1"/>
  <c r="W523" i="1"/>
  <c r="X523" i="1"/>
  <c r="Y523" i="1"/>
  <c r="U524" i="1"/>
  <c r="V524" i="1"/>
  <c r="W524" i="1"/>
  <c r="X524" i="1"/>
  <c r="Y524" i="1"/>
  <c r="U525" i="1"/>
  <c r="V525" i="1"/>
  <c r="W525" i="1"/>
  <c r="X525" i="1"/>
  <c r="Y525" i="1"/>
  <c r="U526" i="1"/>
  <c r="V526" i="1"/>
  <c r="W526" i="1"/>
  <c r="X526" i="1"/>
  <c r="Y526" i="1"/>
  <c r="U527" i="1"/>
  <c r="V527" i="1"/>
  <c r="W527" i="1"/>
  <c r="X527" i="1"/>
  <c r="Y527" i="1"/>
  <c r="U528" i="1"/>
  <c r="V528" i="1"/>
  <c r="W528" i="1"/>
  <c r="X528" i="1"/>
  <c r="Y528" i="1"/>
  <c r="U529" i="1"/>
  <c r="V529" i="1"/>
  <c r="W529" i="1"/>
  <c r="X529" i="1"/>
  <c r="Y529" i="1"/>
  <c r="U530" i="1"/>
  <c r="V530" i="1"/>
  <c r="W530" i="1"/>
  <c r="X530" i="1"/>
  <c r="Y530" i="1"/>
  <c r="U531" i="1"/>
  <c r="V531" i="1"/>
  <c r="W531" i="1"/>
  <c r="X531" i="1"/>
  <c r="Y531" i="1"/>
  <c r="U532" i="1"/>
  <c r="V532" i="1"/>
  <c r="W532" i="1"/>
  <c r="X532" i="1"/>
  <c r="Y532" i="1"/>
  <c r="U533" i="1"/>
  <c r="V533" i="1"/>
  <c r="W533" i="1"/>
  <c r="X533" i="1"/>
  <c r="Y533" i="1"/>
  <c r="U534" i="1"/>
  <c r="V534" i="1"/>
  <c r="W534" i="1"/>
  <c r="X534" i="1"/>
  <c r="Y534" i="1"/>
  <c r="U535" i="1"/>
  <c r="V535" i="1"/>
  <c r="W535" i="1"/>
  <c r="X535" i="1"/>
  <c r="Y535" i="1"/>
  <c r="U536" i="1"/>
  <c r="V536" i="1"/>
  <c r="W536" i="1"/>
  <c r="X536" i="1"/>
  <c r="Y536" i="1"/>
  <c r="U537" i="1"/>
  <c r="V537" i="1"/>
  <c r="W537" i="1"/>
  <c r="X537" i="1"/>
  <c r="Y537" i="1"/>
  <c r="U538" i="1"/>
  <c r="V538" i="1"/>
  <c r="W538" i="1"/>
  <c r="X538" i="1"/>
  <c r="Y538" i="1"/>
  <c r="U539" i="1"/>
  <c r="V539" i="1"/>
  <c r="W539" i="1"/>
  <c r="X539" i="1"/>
  <c r="Y539" i="1"/>
  <c r="U540" i="1"/>
  <c r="V540" i="1"/>
  <c r="W540" i="1"/>
  <c r="X540" i="1"/>
  <c r="Y540" i="1"/>
  <c r="U541" i="1"/>
  <c r="V541" i="1"/>
  <c r="W541" i="1"/>
  <c r="X541" i="1"/>
  <c r="Y541" i="1"/>
  <c r="V4" i="1"/>
  <c r="W4" i="1"/>
  <c r="X4" i="1"/>
  <c r="Y4" i="1"/>
  <c r="U4" i="1"/>
  <c r="Z543" i="1"/>
  <c r="U543" i="1" s="1"/>
  <c r="AA543" i="1"/>
  <c r="V543" i="1" s="1"/>
  <c r="AB543" i="1"/>
  <c r="W543" i="1" s="1"/>
  <c r="AC543" i="1"/>
  <c r="X543" i="1" s="1"/>
  <c r="AD543" i="1"/>
  <c r="Y543" i="1" s="1"/>
  <c r="Z544" i="1"/>
  <c r="U544" i="1" s="1"/>
  <c r="AA544" i="1"/>
  <c r="V544" i="1" s="1"/>
  <c r="AB544" i="1"/>
  <c r="W544" i="1" s="1"/>
  <c r="AC544" i="1"/>
  <c r="X544" i="1" s="1"/>
  <c r="AD544" i="1"/>
  <c r="Y544" i="1" s="1"/>
  <c r="Z545" i="1"/>
  <c r="U545" i="1" s="1"/>
  <c r="AA545" i="1"/>
  <c r="V545" i="1" s="1"/>
  <c r="AB545" i="1"/>
  <c r="W545" i="1" s="1"/>
  <c r="AC545" i="1"/>
  <c r="X545" i="1" s="1"/>
  <c r="AD545" i="1"/>
  <c r="Y545" i="1" s="1"/>
  <c r="Z546" i="1"/>
  <c r="U546" i="1" s="1"/>
  <c r="AA546" i="1"/>
  <c r="V546" i="1" s="1"/>
  <c r="AB546" i="1"/>
  <c r="W546" i="1" s="1"/>
  <c r="AC546" i="1"/>
  <c r="X546" i="1" s="1"/>
  <c r="AD546" i="1"/>
  <c r="Y546" i="1" s="1"/>
  <c r="Z547" i="1"/>
  <c r="U547" i="1" s="1"/>
  <c r="AA547" i="1"/>
  <c r="V547" i="1" s="1"/>
  <c r="AB547" i="1"/>
  <c r="W547" i="1" s="1"/>
  <c r="AC547" i="1"/>
  <c r="X547" i="1" s="1"/>
  <c r="AD547" i="1"/>
  <c r="Y547" i="1" s="1"/>
  <c r="Z548" i="1"/>
  <c r="U548" i="1" s="1"/>
  <c r="AA548" i="1"/>
  <c r="V548" i="1" s="1"/>
  <c r="AB548" i="1"/>
  <c r="W548" i="1" s="1"/>
  <c r="AC548" i="1"/>
  <c r="X548" i="1" s="1"/>
  <c r="AD548" i="1"/>
  <c r="Y548" i="1" s="1"/>
  <c r="AA542" i="1"/>
  <c r="V542" i="1" s="1"/>
  <c r="AB542" i="1"/>
  <c r="W542" i="1" s="1"/>
  <c r="AC542" i="1"/>
  <c r="X542" i="1" s="1"/>
  <c r="AD542" i="1"/>
  <c r="Y542" i="1" s="1"/>
  <c r="Z542" i="1"/>
  <c r="U542" i="1" s="1"/>
  <c r="AN7" i="1" l="1"/>
  <c r="AU189" i="1"/>
  <c r="AV189" i="1"/>
  <c r="AW189" i="1"/>
  <c r="AX189" i="1"/>
  <c r="AY189" i="1"/>
  <c r="AU190" i="1"/>
  <c r="AV190" i="1"/>
  <c r="AW190" i="1"/>
  <c r="AX190" i="1"/>
  <c r="AY190" i="1"/>
  <c r="AU191" i="1"/>
  <c r="AV191" i="1"/>
  <c r="AW191" i="1"/>
  <c r="AX191" i="1"/>
  <c r="AY191" i="1"/>
  <c r="AU192" i="1"/>
  <c r="AV192" i="1"/>
  <c r="AW192" i="1"/>
  <c r="AX192" i="1"/>
  <c r="AY192" i="1"/>
  <c r="AU193" i="1"/>
  <c r="AV193" i="1"/>
  <c r="AW193" i="1"/>
  <c r="AX193" i="1"/>
  <c r="AY193" i="1"/>
  <c r="AU194" i="1"/>
  <c r="AV194" i="1"/>
  <c r="AW194" i="1"/>
  <c r="AX194" i="1"/>
  <c r="AY194" i="1"/>
  <c r="AU195" i="1"/>
  <c r="AV195" i="1"/>
  <c r="AW195" i="1"/>
  <c r="AX195" i="1"/>
  <c r="AY195" i="1"/>
  <c r="AU196" i="1"/>
  <c r="AV196" i="1"/>
  <c r="AW196" i="1"/>
  <c r="AX196" i="1"/>
  <c r="AY196" i="1"/>
  <c r="AU197" i="1"/>
  <c r="AV197" i="1"/>
  <c r="AW197" i="1"/>
  <c r="AX197" i="1"/>
  <c r="AY197" i="1"/>
  <c r="AU198" i="1"/>
  <c r="AV198" i="1"/>
  <c r="AW198" i="1"/>
  <c r="AX198" i="1"/>
  <c r="AY198" i="1"/>
  <c r="AU199" i="1"/>
  <c r="AV199" i="1"/>
  <c r="AW199" i="1"/>
  <c r="AX199" i="1"/>
  <c r="AY199" i="1"/>
  <c r="AU200" i="1"/>
  <c r="AV200" i="1"/>
  <c r="AW200" i="1"/>
  <c r="AX200" i="1"/>
  <c r="AY200" i="1"/>
  <c r="AU201" i="1"/>
  <c r="AV201" i="1"/>
  <c r="AW201" i="1"/>
  <c r="AX201" i="1"/>
  <c r="AY201" i="1"/>
  <c r="AU202" i="1"/>
  <c r="AV202" i="1"/>
  <c r="AW202" i="1"/>
  <c r="AX202" i="1"/>
  <c r="AY202" i="1"/>
  <c r="AU203" i="1"/>
  <c r="AV203" i="1"/>
  <c r="AW203" i="1"/>
  <c r="AX203" i="1"/>
  <c r="AY203" i="1"/>
  <c r="AU204" i="1"/>
  <c r="AV204" i="1"/>
  <c r="AW204" i="1"/>
  <c r="AX204" i="1"/>
  <c r="AY204" i="1"/>
  <c r="AU205" i="1"/>
  <c r="AV205" i="1"/>
  <c r="AW205" i="1"/>
  <c r="AX205" i="1"/>
  <c r="AY205" i="1"/>
  <c r="AU206" i="1"/>
  <c r="AV206" i="1"/>
  <c r="AW206" i="1"/>
  <c r="AX206" i="1"/>
  <c r="AY206" i="1"/>
  <c r="AU207" i="1"/>
  <c r="AV207" i="1"/>
  <c r="AW207" i="1"/>
  <c r="AX207" i="1"/>
  <c r="AY207" i="1"/>
  <c r="AU208" i="1"/>
  <c r="AV208" i="1"/>
  <c r="AW208" i="1"/>
  <c r="AX208" i="1"/>
  <c r="AY208" i="1"/>
  <c r="AU209" i="1"/>
  <c r="AV209" i="1"/>
  <c r="AW209" i="1"/>
  <c r="AX209" i="1"/>
  <c r="AY209" i="1"/>
  <c r="AU210" i="1"/>
  <c r="AV210" i="1"/>
  <c r="AW210" i="1"/>
  <c r="AX210" i="1"/>
  <c r="AY210" i="1"/>
  <c r="AU211" i="1"/>
  <c r="AV211" i="1"/>
  <c r="AW211" i="1"/>
  <c r="AX211" i="1"/>
  <c r="AY211" i="1"/>
  <c r="AU212" i="1"/>
  <c r="AV212" i="1"/>
  <c r="AW212" i="1"/>
  <c r="AX212" i="1"/>
  <c r="AY212" i="1"/>
  <c r="AU213" i="1"/>
  <c r="AV213" i="1"/>
  <c r="AW213" i="1"/>
  <c r="AX213" i="1"/>
  <c r="AY213" i="1"/>
  <c r="AU214" i="1"/>
  <c r="AV214" i="1"/>
  <c r="AW214" i="1"/>
  <c r="AX214" i="1"/>
  <c r="AY214" i="1"/>
  <c r="AU215" i="1"/>
  <c r="AV215" i="1"/>
  <c r="AW215" i="1"/>
  <c r="AX215" i="1"/>
  <c r="AY215" i="1"/>
  <c r="AU216" i="1"/>
  <c r="AV216" i="1"/>
  <c r="AW216" i="1"/>
  <c r="AX216" i="1"/>
  <c r="AY216" i="1"/>
  <c r="AU217" i="1"/>
  <c r="AV217" i="1"/>
  <c r="AW217" i="1"/>
  <c r="AX217" i="1"/>
  <c r="AY217" i="1"/>
  <c r="AU218" i="1"/>
  <c r="AV218" i="1"/>
  <c r="AW218" i="1"/>
  <c r="AX218" i="1"/>
  <c r="AY218" i="1"/>
  <c r="AU219" i="1"/>
  <c r="AV219" i="1"/>
  <c r="AW219" i="1"/>
  <c r="AX219" i="1"/>
  <c r="AY219" i="1"/>
  <c r="AU220" i="1"/>
  <c r="AV220" i="1"/>
  <c r="AW220" i="1"/>
  <c r="AX220" i="1"/>
  <c r="AY220" i="1"/>
  <c r="AU274" i="1"/>
  <c r="AV469" i="1"/>
  <c r="AW469" i="1"/>
  <c r="AX469" i="1"/>
  <c r="AY469" i="1"/>
  <c r="AV470" i="1"/>
  <c r="AW470" i="1"/>
  <c r="AX470" i="1"/>
  <c r="AY470" i="1"/>
  <c r="AV471" i="1"/>
  <c r="AW471" i="1"/>
  <c r="AX471" i="1"/>
  <c r="AY471" i="1"/>
  <c r="AV472" i="1"/>
  <c r="AW472" i="1"/>
  <c r="AX472" i="1"/>
  <c r="AY472" i="1"/>
  <c r="AV473" i="1"/>
  <c r="AW473" i="1"/>
  <c r="AX473" i="1"/>
  <c r="AY473" i="1"/>
  <c r="AV474" i="1"/>
  <c r="AW474" i="1"/>
  <c r="AX474" i="1"/>
  <c r="AY474" i="1"/>
  <c r="AV475" i="1"/>
  <c r="AW475" i="1"/>
  <c r="AX475" i="1"/>
  <c r="AY475" i="1"/>
  <c r="AV476" i="1"/>
  <c r="AW476" i="1"/>
  <c r="AX476" i="1"/>
  <c r="AY476" i="1"/>
  <c r="AV477" i="1"/>
  <c r="AW477" i="1"/>
  <c r="AX477" i="1"/>
  <c r="AY477" i="1"/>
  <c r="AV478" i="1"/>
  <c r="AW478" i="1"/>
  <c r="AX478" i="1"/>
  <c r="AY478" i="1"/>
  <c r="AV479" i="1"/>
  <c r="AW479" i="1"/>
  <c r="AX479" i="1"/>
  <c r="AY479" i="1"/>
  <c r="AU524" i="1"/>
  <c r="AV524" i="1"/>
  <c r="AW524" i="1"/>
  <c r="AX524" i="1"/>
  <c r="AY524" i="1"/>
  <c r="AU525" i="1"/>
  <c r="AV525" i="1"/>
  <c r="AW525" i="1"/>
  <c r="AX525" i="1"/>
  <c r="AY525" i="1"/>
  <c r="AU526" i="1"/>
  <c r="AV526" i="1"/>
  <c r="AW526" i="1"/>
  <c r="AX526" i="1"/>
  <c r="AY526" i="1"/>
  <c r="AU527" i="1"/>
  <c r="AV527" i="1"/>
  <c r="AW527" i="1"/>
  <c r="AX527" i="1"/>
  <c r="AY527" i="1"/>
  <c r="AU528" i="1"/>
  <c r="AV528" i="1"/>
  <c r="AW528" i="1"/>
  <c r="AX528" i="1"/>
  <c r="AY528" i="1"/>
  <c r="AU529" i="1"/>
  <c r="AV529" i="1"/>
  <c r="AW529" i="1"/>
  <c r="AX529" i="1"/>
  <c r="AY529" i="1"/>
  <c r="AU530" i="1"/>
  <c r="AV530" i="1"/>
  <c r="AW530" i="1"/>
  <c r="AX530" i="1"/>
  <c r="AY530" i="1"/>
  <c r="AU531" i="1"/>
  <c r="AV531" i="1"/>
  <c r="AW531" i="1"/>
  <c r="AX531" i="1"/>
  <c r="AY531" i="1"/>
  <c r="AU532" i="1"/>
  <c r="AV532" i="1"/>
  <c r="AW532" i="1"/>
  <c r="AX532" i="1"/>
  <c r="AY532" i="1"/>
  <c r="AU533" i="1"/>
  <c r="AV533" i="1"/>
  <c r="AW533" i="1"/>
  <c r="AX533" i="1"/>
  <c r="AY533" i="1"/>
  <c r="AU534" i="1"/>
  <c r="AV534" i="1"/>
  <c r="AW534" i="1"/>
  <c r="AX534" i="1"/>
  <c r="AY534" i="1"/>
  <c r="AU535" i="1"/>
  <c r="AV535" i="1"/>
  <c r="AW535" i="1"/>
  <c r="AX535" i="1"/>
  <c r="AY535" i="1"/>
  <c r="AU536" i="1"/>
  <c r="AV536" i="1"/>
  <c r="AW536" i="1"/>
  <c r="AX536" i="1"/>
  <c r="AY536" i="1"/>
  <c r="AV542" i="1"/>
  <c r="AW542" i="1"/>
  <c r="AX542" i="1"/>
  <c r="AY542" i="1"/>
  <c r="AV543" i="1"/>
  <c r="AW543" i="1"/>
  <c r="AX543" i="1"/>
  <c r="AY543" i="1"/>
  <c r="AV544" i="1"/>
  <c r="AW544" i="1"/>
  <c r="AX544" i="1"/>
  <c r="AY544" i="1"/>
  <c r="AV545" i="1"/>
  <c r="AW545" i="1"/>
  <c r="AX545" i="1"/>
  <c r="AY545" i="1"/>
  <c r="AV546" i="1"/>
  <c r="AX546" i="1"/>
  <c r="AY546" i="1"/>
  <c r="AV547" i="1"/>
  <c r="AW547" i="1"/>
  <c r="AY547" i="1"/>
  <c r="AV548" i="1"/>
  <c r="AW548" i="1"/>
  <c r="AX548" i="1"/>
  <c r="AY548" i="1"/>
  <c r="AM189" i="1" l="1"/>
  <c r="AN189" i="1"/>
  <c r="AO189" i="1"/>
  <c r="AP189" i="1"/>
  <c r="AQ189" i="1"/>
  <c r="AM190" i="1"/>
  <c r="AN190" i="1"/>
  <c r="AO190" i="1"/>
  <c r="AP190" i="1"/>
  <c r="AQ190" i="1"/>
  <c r="AM191" i="1"/>
  <c r="AN191" i="1"/>
  <c r="AO191" i="1"/>
  <c r="AP191" i="1"/>
  <c r="AQ191" i="1"/>
  <c r="AM192" i="1"/>
  <c r="AN192" i="1"/>
  <c r="AO192" i="1"/>
  <c r="AP192" i="1"/>
  <c r="AQ192" i="1"/>
  <c r="AM193" i="1"/>
  <c r="AN193" i="1"/>
  <c r="AO193" i="1"/>
  <c r="AP193" i="1"/>
  <c r="AQ193" i="1"/>
  <c r="AM194" i="1"/>
  <c r="AN194" i="1"/>
  <c r="AO194" i="1"/>
  <c r="AP194" i="1"/>
  <c r="AQ194" i="1"/>
  <c r="AM195" i="1"/>
  <c r="AN195" i="1"/>
  <c r="AO195" i="1"/>
  <c r="AP195" i="1"/>
  <c r="AQ195" i="1"/>
  <c r="AM196" i="1"/>
  <c r="AN196" i="1"/>
  <c r="AO196" i="1"/>
  <c r="AP196" i="1"/>
  <c r="AQ196" i="1"/>
  <c r="AM197" i="1"/>
  <c r="AN197" i="1"/>
  <c r="AO197" i="1"/>
  <c r="AP197" i="1"/>
  <c r="AQ197" i="1"/>
  <c r="AM198" i="1"/>
  <c r="AN198" i="1"/>
  <c r="AO198" i="1"/>
  <c r="AP198" i="1"/>
  <c r="AQ198" i="1"/>
  <c r="AM199" i="1"/>
  <c r="AN199" i="1"/>
  <c r="AO199" i="1"/>
  <c r="AP199" i="1"/>
  <c r="AQ199" i="1"/>
  <c r="AM200" i="1"/>
  <c r="AN200" i="1"/>
  <c r="AO200" i="1"/>
  <c r="AP200" i="1"/>
  <c r="AQ200" i="1"/>
  <c r="AM201" i="1"/>
  <c r="AN201" i="1"/>
  <c r="AO201" i="1"/>
  <c r="AP201" i="1"/>
  <c r="AQ201" i="1"/>
  <c r="AM202" i="1"/>
  <c r="AN202" i="1"/>
  <c r="AO202" i="1"/>
  <c r="AP202" i="1"/>
  <c r="AQ202" i="1"/>
  <c r="AM203" i="1"/>
  <c r="AN203" i="1"/>
  <c r="AO203" i="1"/>
  <c r="AP203" i="1"/>
  <c r="AQ203" i="1"/>
  <c r="AM204" i="1"/>
  <c r="AN204" i="1"/>
  <c r="AO204" i="1"/>
  <c r="AP204" i="1"/>
  <c r="AQ204" i="1"/>
  <c r="AM205" i="1"/>
  <c r="AN205" i="1"/>
  <c r="AO205" i="1"/>
  <c r="AP205" i="1"/>
  <c r="AQ205" i="1"/>
  <c r="AM206" i="1"/>
  <c r="AN206" i="1"/>
  <c r="AO206" i="1"/>
  <c r="AP206" i="1"/>
  <c r="AQ206" i="1"/>
  <c r="AM207" i="1"/>
  <c r="AN207" i="1"/>
  <c r="AO207" i="1"/>
  <c r="AP207" i="1"/>
  <c r="AQ207" i="1"/>
  <c r="AM208" i="1"/>
  <c r="AN208" i="1"/>
  <c r="AO208" i="1"/>
  <c r="AP208" i="1"/>
  <c r="AQ208" i="1"/>
  <c r="AM209" i="1"/>
  <c r="AN209" i="1"/>
  <c r="AO209" i="1"/>
  <c r="AP209" i="1"/>
  <c r="AQ209" i="1"/>
  <c r="AM210" i="1"/>
  <c r="AN210" i="1"/>
  <c r="AO210" i="1"/>
  <c r="AP210" i="1"/>
  <c r="AQ210" i="1"/>
  <c r="AM211" i="1"/>
  <c r="AN211" i="1"/>
  <c r="AO211" i="1"/>
  <c r="AP211" i="1"/>
  <c r="AQ211" i="1"/>
  <c r="AM212" i="1"/>
  <c r="AN212" i="1"/>
  <c r="AO212" i="1"/>
  <c r="AP212" i="1"/>
  <c r="AQ212" i="1"/>
  <c r="AM213" i="1"/>
  <c r="AN213" i="1"/>
  <c r="AO213" i="1"/>
  <c r="AP213" i="1"/>
  <c r="AQ213" i="1"/>
  <c r="AM214" i="1"/>
  <c r="AN214" i="1"/>
  <c r="AO214" i="1"/>
  <c r="AP214" i="1"/>
  <c r="AQ214" i="1"/>
  <c r="AM215" i="1"/>
  <c r="AN215" i="1"/>
  <c r="AO215" i="1"/>
  <c r="AP215" i="1"/>
  <c r="AQ215" i="1"/>
  <c r="AM216" i="1"/>
  <c r="AN216" i="1"/>
  <c r="AO216" i="1"/>
  <c r="AP216" i="1"/>
  <c r="AQ216" i="1"/>
  <c r="AM217" i="1"/>
  <c r="AN217" i="1"/>
  <c r="AO217" i="1"/>
  <c r="AP217" i="1"/>
  <c r="AQ217" i="1"/>
  <c r="AM218" i="1"/>
  <c r="AN218" i="1"/>
  <c r="AO218" i="1"/>
  <c r="AP218" i="1"/>
  <c r="AQ218" i="1"/>
  <c r="AM219" i="1"/>
  <c r="AN219" i="1"/>
  <c r="AO219" i="1"/>
  <c r="AP219" i="1"/>
  <c r="AQ219" i="1"/>
  <c r="AM220" i="1"/>
  <c r="AN220" i="1"/>
  <c r="AO220" i="1"/>
  <c r="AP220" i="1"/>
  <c r="AQ220" i="1"/>
  <c r="AM274" i="1"/>
  <c r="AN469" i="1"/>
  <c r="AO469" i="1"/>
  <c r="AP469" i="1"/>
  <c r="AQ469" i="1"/>
  <c r="AN470" i="1"/>
  <c r="AO470" i="1"/>
  <c r="AP470" i="1"/>
  <c r="AQ470" i="1"/>
  <c r="AN471" i="1"/>
  <c r="AO471" i="1"/>
  <c r="AP471" i="1"/>
  <c r="AQ471" i="1"/>
  <c r="AN472" i="1"/>
  <c r="AO472" i="1"/>
  <c r="AP472" i="1"/>
  <c r="AQ472" i="1"/>
  <c r="AN473" i="1"/>
  <c r="AO473" i="1"/>
  <c r="AP473" i="1"/>
  <c r="AQ473" i="1"/>
  <c r="AN474" i="1"/>
  <c r="AO474" i="1"/>
  <c r="AP474" i="1"/>
  <c r="AQ474" i="1"/>
  <c r="AN475" i="1"/>
  <c r="AO475" i="1"/>
  <c r="AP475" i="1"/>
  <c r="AQ475" i="1"/>
  <c r="AN476" i="1"/>
  <c r="AO476" i="1"/>
  <c r="AP476" i="1"/>
  <c r="AQ476" i="1"/>
  <c r="AN477" i="1"/>
  <c r="AO477" i="1"/>
  <c r="AP477" i="1"/>
  <c r="AQ477" i="1"/>
  <c r="AN478" i="1"/>
  <c r="AO478" i="1"/>
  <c r="AP478" i="1"/>
  <c r="AQ478" i="1"/>
  <c r="AN479" i="1"/>
  <c r="AO479" i="1"/>
  <c r="AP479" i="1"/>
  <c r="AQ479" i="1"/>
  <c r="AM524" i="1"/>
  <c r="AN524" i="1"/>
  <c r="AO524" i="1"/>
  <c r="AP524" i="1"/>
  <c r="AQ524" i="1"/>
  <c r="AM525" i="1"/>
  <c r="AN525" i="1"/>
  <c r="AO525" i="1"/>
  <c r="AP525" i="1"/>
  <c r="AQ525" i="1"/>
  <c r="AM526" i="1"/>
  <c r="AN526" i="1"/>
  <c r="AO526" i="1"/>
  <c r="AP526" i="1"/>
  <c r="AQ526" i="1"/>
  <c r="AM527" i="1"/>
  <c r="AN527" i="1"/>
  <c r="AO527" i="1"/>
  <c r="AP527" i="1"/>
  <c r="AQ527" i="1"/>
  <c r="AM528" i="1"/>
  <c r="AN528" i="1"/>
  <c r="AO528" i="1"/>
  <c r="AP528" i="1"/>
  <c r="AQ528" i="1"/>
  <c r="AM529" i="1"/>
  <c r="AN529" i="1"/>
  <c r="AO529" i="1"/>
  <c r="AP529" i="1"/>
  <c r="AQ529" i="1"/>
  <c r="AM530" i="1"/>
  <c r="AN530" i="1"/>
  <c r="AO530" i="1"/>
  <c r="AP530" i="1"/>
  <c r="AQ530" i="1"/>
  <c r="AM531" i="1"/>
  <c r="AN531" i="1"/>
  <c r="AO531" i="1"/>
  <c r="AP531" i="1"/>
  <c r="AQ531" i="1"/>
  <c r="AM532" i="1"/>
  <c r="AN532" i="1"/>
  <c r="AO532" i="1"/>
  <c r="AP532" i="1"/>
  <c r="AQ532" i="1"/>
  <c r="AM533" i="1"/>
  <c r="AN533" i="1"/>
  <c r="AO533" i="1"/>
  <c r="AP533" i="1"/>
  <c r="AQ533" i="1"/>
  <c r="AM534" i="1"/>
  <c r="AN534" i="1"/>
  <c r="AO534" i="1"/>
  <c r="AP534" i="1"/>
  <c r="AQ534" i="1"/>
  <c r="AM535" i="1"/>
  <c r="AN535" i="1"/>
  <c r="AO535" i="1"/>
  <c r="AP535" i="1"/>
  <c r="AQ535" i="1"/>
  <c r="AM536" i="1"/>
  <c r="AN536" i="1"/>
  <c r="AO536" i="1"/>
  <c r="AP536" i="1"/>
  <c r="AQ536" i="1"/>
  <c r="AN542" i="1"/>
  <c r="AQ542" i="1"/>
  <c r="AN543" i="1"/>
  <c r="AP543" i="1"/>
  <c r="AQ543" i="1"/>
  <c r="AN544" i="1"/>
  <c r="AQ544" i="1"/>
  <c r="AN545" i="1"/>
  <c r="AO545" i="1"/>
  <c r="AQ545" i="1"/>
  <c r="AN546" i="1"/>
  <c r="AP546" i="1"/>
  <c r="AQ546" i="1"/>
  <c r="AN547" i="1"/>
  <c r="AO547" i="1"/>
  <c r="AQ547" i="1"/>
  <c r="AN548" i="1"/>
  <c r="AQ548" i="1"/>
  <c r="N25" i="5"/>
  <c r="K25" i="5"/>
  <c r="O25" i="5" s="1"/>
  <c r="J25" i="5"/>
  <c r="I25" i="5"/>
  <c r="M25" i="5" s="1"/>
  <c r="D25" i="5"/>
  <c r="K24" i="5"/>
  <c r="O24" i="5" s="1"/>
  <c r="I24" i="5"/>
  <c r="M24" i="5" s="1"/>
  <c r="E24" i="5"/>
  <c r="J24" i="5" s="1"/>
  <c r="N24" i="5" s="1"/>
  <c r="K23" i="5"/>
  <c r="O23" i="5" s="1"/>
  <c r="J23" i="5"/>
  <c r="N23" i="5" s="1"/>
  <c r="I23" i="5"/>
  <c r="M23" i="5" s="1"/>
  <c r="F23" i="5"/>
  <c r="D23" i="5"/>
  <c r="N22" i="5"/>
  <c r="K22" i="5"/>
  <c r="O22" i="5" s="1"/>
  <c r="J22" i="5"/>
  <c r="I22" i="5"/>
  <c r="M22" i="5" s="1"/>
  <c r="D22" i="5"/>
  <c r="K21" i="5"/>
  <c r="O21" i="5" s="1"/>
  <c r="J21" i="5"/>
  <c r="N21" i="5" s="1"/>
  <c r="I21" i="5"/>
  <c r="M21" i="5" s="1"/>
  <c r="F21" i="5"/>
  <c r="K20" i="5"/>
  <c r="O20" i="5" s="1"/>
  <c r="J20" i="5"/>
  <c r="N20" i="5" s="1"/>
  <c r="I20" i="5"/>
  <c r="M20" i="5" s="1"/>
  <c r="F20" i="5"/>
  <c r="D20" i="5"/>
  <c r="N19" i="5"/>
  <c r="K19" i="5"/>
  <c r="O19" i="5" s="1"/>
  <c r="J19" i="5"/>
  <c r="I19" i="5"/>
  <c r="D19" i="5"/>
  <c r="K12" i="5"/>
  <c r="O12" i="5" s="1"/>
  <c r="J12" i="5"/>
  <c r="N12" i="5" s="1"/>
  <c r="I12" i="5"/>
  <c r="M12" i="5" s="1"/>
  <c r="O11" i="5"/>
  <c r="M11" i="5"/>
  <c r="K11" i="5"/>
  <c r="J11" i="5"/>
  <c r="N11" i="5" s="1"/>
  <c r="I11" i="5"/>
  <c r="O10" i="5"/>
  <c r="M10" i="5"/>
  <c r="K10" i="5"/>
  <c r="J10" i="5"/>
  <c r="N10" i="5" s="1"/>
  <c r="I10" i="5"/>
  <c r="O9" i="5"/>
  <c r="N9" i="5"/>
  <c r="K9" i="5"/>
  <c r="J9" i="5"/>
  <c r="I9" i="5"/>
  <c r="M9" i="5" s="1"/>
  <c r="K8" i="5"/>
  <c r="O8" i="5" s="1"/>
  <c r="J8" i="5"/>
  <c r="N8" i="5" s="1"/>
  <c r="I8" i="5"/>
  <c r="M8" i="5" s="1"/>
  <c r="O7" i="5"/>
  <c r="N7" i="5"/>
  <c r="M7" i="5"/>
  <c r="K7" i="5"/>
  <c r="J7" i="5"/>
  <c r="I7" i="5"/>
  <c r="O6" i="5"/>
  <c r="K6" i="5"/>
  <c r="J6" i="5"/>
  <c r="N6" i="5" s="1"/>
  <c r="I6" i="5"/>
  <c r="M6" i="5" s="1"/>
  <c r="O5" i="5"/>
  <c r="N5" i="5"/>
  <c r="K5" i="5"/>
  <c r="J5" i="5"/>
  <c r="I5" i="5"/>
  <c r="M5" i="5" s="1"/>
  <c r="K4" i="5"/>
  <c r="O4" i="5" s="1"/>
  <c r="J4" i="5"/>
  <c r="N4" i="5" s="1"/>
  <c r="I4" i="5"/>
  <c r="E52" i="4"/>
  <c r="D52" i="4"/>
  <c r="E51" i="4" s="1"/>
  <c r="D51" i="4"/>
  <c r="E50" i="4"/>
  <c r="D50" i="4"/>
  <c r="D49" i="4"/>
  <c r="E49" i="4" s="1"/>
  <c r="D46" i="4"/>
  <c r="E45" i="4"/>
  <c r="D45" i="4"/>
  <c r="D44" i="4"/>
  <c r="E44" i="4" s="1"/>
  <c r="D43" i="4"/>
  <c r="D42" i="4"/>
  <c r="D40" i="4"/>
  <c r="D39" i="4"/>
  <c r="D38" i="4"/>
  <c r="D35" i="4"/>
  <c r="I28" i="4"/>
  <c r="I27" i="4"/>
  <c r="I26" i="4"/>
  <c r="I29" i="4" s="1"/>
  <c r="I22" i="4"/>
  <c r="J22" i="4" s="1"/>
  <c r="I21" i="4"/>
  <c r="J21" i="4" s="1"/>
  <c r="I20" i="4"/>
  <c r="I23" i="4" s="1"/>
  <c r="R95" i="3"/>
  <c r="R94" i="3"/>
  <c r="R93" i="3"/>
  <c r="R92" i="3"/>
  <c r="R91" i="3"/>
  <c r="Z90" i="3"/>
  <c r="X90" i="3"/>
  <c r="R90" i="3"/>
  <c r="R89" i="3"/>
  <c r="R88" i="3"/>
  <c r="R87" i="3"/>
  <c r="Z86" i="3"/>
  <c r="X86" i="3"/>
  <c r="R86" i="3"/>
  <c r="R85" i="3"/>
  <c r="R84" i="3"/>
  <c r="R83" i="3"/>
  <c r="R82" i="3"/>
  <c r="X81" i="3"/>
  <c r="R81" i="3"/>
  <c r="Z80" i="3"/>
  <c r="R80" i="3"/>
  <c r="R79" i="3"/>
  <c r="R78" i="3"/>
  <c r="R75" i="3"/>
  <c r="R74" i="3"/>
  <c r="X73" i="3"/>
  <c r="R73" i="3"/>
  <c r="Z72" i="3"/>
  <c r="R72" i="3"/>
  <c r="R71" i="3"/>
  <c r="R70" i="3"/>
  <c r="R68" i="3"/>
  <c r="R67" i="3"/>
  <c r="R66" i="3"/>
  <c r="R65" i="3"/>
  <c r="R64" i="3"/>
  <c r="R63" i="3"/>
  <c r="X62" i="3"/>
  <c r="R62" i="3"/>
  <c r="X61" i="3"/>
  <c r="R61" i="3"/>
  <c r="R60" i="3"/>
  <c r="R59" i="3"/>
  <c r="R58" i="3"/>
  <c r="R57" i="3"/>
  <c r="R56" i="3"/>
  <c r="R55" i="3"/>
  <c r="Z54" i="3"/>
  <c r="X54" i="3"/>
  <c r="R54" i="3"/>
  <c r="Z53" i="3"/>
  <c r="R53" i="3"/>
  <c r="R51" i="3"/>
  <c r="R50" i="3"/>
  <c r="R49" i="3"/>
  <c r="Z48" i="3"/>
  <c r="X48" i="3"/>
  <c r="R47" i="3"/>
  <c r="R46" i="3"/>
  <c r="R45" i="3"/>
  <c r="Z44" i="3"/>
  <c r="R44" i="3"/>
  <c r="R43" i="3"/>
  <c r="X42" i="3"/>
  <c r="R42" i="3"/>
  <c r="R41" i="3"/>
  <c r="Z40" i="3"/>
  <c r="R40" i="3"/>
  <c r="R39" i="3"/>
  <c r="Z38" i="3"/>
  <c r="R38" i="3"/>
  <c r="R37" i="3"/>
  <c r="R36" i="3"/>
  <c r="X35" i="3"/>
  <c r="R35" i="3"/>
  <c r="R34" i="3"/>
  <c r="R33" i="3"/>
  <c r="R32" i="3"/>
  <c r="Z31" i="3"/>
  <c r="X31" i="3"/>
  <c r="R31" i="3"/>
  <c r="R30" i="3"/>
  <c r="R29" i="3"/>
  <c r="R28" i="3"/>
  <c r="R27" i="3"/>
  <c r="X26" i="3"/>
  <c r="R26" i="3"/>
  <c r="Z25" i="3"/>
  <c r="X25" i="3"/>
  <c r="R24" i="3"/>
  <c r="R23" i="3"/>
  <c r="R22" i="3"/>
  <c r="R21" i="3"/>
  <c r="R20" i="3"/>
  <c r="R19" i="3"/>
  <c r="R18" i="3"/>
  <c r="X17" i="3"/>
  <c r="R17" i="3"/>
  <c r="Z16" i="3"/>
  <c r="R16" i="3"/>
  <c r="X15" i="3"/>
  <c r="R15" i="3"/>
  <c r="R14" i="3"/>
  <c r="N14" i="3"/>
  <c r="L14" i="3"/>
  <c r="R13" i="3"/>
  <c r="L13" i="3"/>
  <c r="L15" i="3" s="1"/>
  <c r="N15" i="3" s="1"/>
  <c r="K13" i="3"/>
  <c r="R12" i="3"/>
  <c r="N12" i="3"/>
  <c r="X11" i="3"/>
  <c r="R11" i="3"/>
  <c r="N11" i="3"/>
  <c r="L11" i="3"/>
  <c r="X10" i="3"/>
  <c r="R10" i="3"/>
  <c r="N10" i="3"/>
  <c r="R9" i="3"/>
  <c r="X8" i="3"/>
  <c r="R8" i="3"/>
  <c r="R7" i="3"/>
  <c r="R6" i="3"/>
  <c r="R5" i="3"/>
  <c r="K5" i="3"/>
  <c r="X19" i="3" s="1"/>
  <c r="K4" i="3"/>
  <c r="C52" i="2"/>
  <c r="C51" i="2"/>
  <c r="C50" i="2"/>
  <c r="AP548" i="1"/>
  <c r="AO548" i="1"/>
  <c r="AX547" i="1"/>
  <c r="AP544" i="1"/>
  <c r="AW546" i="1"/>
  <c r="AU543" i="1"/>
  <c r="AP542" i="1"/>
  <c r="AO542" i="1"/>
  <c r="F515" i="1"/>
  <c r="F514" i="1"/>
  <c r="F513" i="1"/>
  <c r="F512" i="1"/>
  <c r="F511" i="1"/>
  <c r="F510" i="1"/>
  <c r="F509" i="1"/>
  <c r="F491" i="1"/>
  <c r="F490" i="1"/>
  <c r="G411" i="1"/>
  <c r="G410" i="1"/>
  <c r="E410" i="1"/>
  <c r="E409" i="1"/>
  <c r="E408" i="1"/>
  <c r="F405" i="1"/>
  <c r="E403" i="1"/>
  <c r="E402" i="1"/>
  <c r="B395" i="1"/>
  <c r="B393" i="1"/>
  <c r="B394" i="1" s="1"/>
  <c r="B391" i="1"/>
  <c r="B358" i="1"/>
  <c r="B357" i="1" s="1"/>
  <c r="H337" i="1"/>
  <c r="B337" i="1"/>
  <c r="G336" i="1"/>
  <c r="G337" i="1" s="1"/>
  <c r="G338" i="1" s="1"/>
  <c r="G339" i="1" s="1"/>
  <c r="G340" i="1" s="1"/>
  <c r="G341" i="1" s="1"/>
  <c r="B335" i="1"/>
  <c r="AF334" i="1"/>
  <c r="AF333" i="1"/>
  <c r="AE333" i="1"/>
  <c r="J327" i="1"/>
  <c r="J325" i="1"/>
  <c r="T282" i="1"/>
  <c r="T281" i="1"/>
  <c r="J83" i="1"/>
  <c r="T42" i="1"/>
  <c r="AO24" i="1" l="1"/>
  <c r="AW24" i="1"/>
  <c r="AP381" i="1"/>
  <c r="AX381" i="1"/>
  <c r="AQ75" i="1"/>
  <c r="AY75" i="1"/>
  <c r="AQ19" i="1"/>
  <c r="AY19" i="1"/>
  <c r="AP42" i="1"/>
  <c r="AX42" i="1"/>
  <c r="AP63" i="1"/>
  <c r="AX63" i="1"/>
  <c r="AO80" i="1"/>
  <c r="AW80" i="1"/>
  <c r="AO148" i="1"/>
  <c r="AW148" i="1"/>
  <c r="AO157" i="1"/>
  <c r="AW157" i="1"/>
  <c r="AN176" i="1"/>
  <c r="AV176" i="1"/>
  <c r="AQ184" i="1"/>
  <c r="AY184" i="1"/>
  <c r="AN235" i="1"/>
  <c r="AV235" i="1"/>
  <c r="AP245" i="1"/>
  <c r="AX245" i="1"/>
  <c r="AN268" i="1"/>
  <c r="AV268" i="1"/>
  <c r="AN285" i="1"/>
  <c r="AV285" i="1"/>
  <c r="AO331" i="1"/>
  <c r="AW331" i="1"/>
  <c r="AN335" i="1"/>
  <c r="AV335" i="1"/>
  <c r="AN344" i="1"/>
  <c r="AV344" i="1"/>
  <c r="AP348" i="1"/>
  <c r="AX348" i="1"/>
  <c r="AO353" i="1"/>
  <c r="AW353" i="1"/>
  <c r="AO368" i="1"/>
  <c r="AW368" i="1"/>
  <c r="AQ372" i="1"/>
  <c r="AY372" i="1"/>
  <c r="AN377" i="1"/>
  <c r="AV377" i="1"/>
  <c r="AN421" i="1"/>
  <c r="AV421" i="1"/>
  <c r="AO434" i="1"/>
  <c r="AW434" i="1"/>
  <c r="AQ438" i="1"/>
  <c r="AY438" i="1"/>
  <c r="AN443" i="1"/>
  <c r="AV443" i="1"/>
  <c r="AP447" i="1"/>
  <c r="AX447" i="1"/>
  <c r="AO456" i="1"/>
  <c r="AW456" i="1"/>
  <c r="AQ460" i="1"/>
  <c r="AY460" i="1"/>
  <c r="AN465" i="1"/>
  <c r="AV465" i="1"/>
  <c r="AM469" i="1"/>
  <c r="AU469" i="1"/>
  <c r="AO495" i="1"/>
  <c r="AW495" i="1"/>
  <c r="AN518" i="1"/>
  <c r="AV518" i="1"/>
  <c r="AP522" i="1"/>
  <c r="AX522" i="1"/>
  <c r="AQ539" i="1"/>
  <c r="AY539" i="1"/>
  <c r="AO5" i="1"/>
  <c r="AW5" i="1"/>
  <c r="AP10" i="1"/>
  <c r="AX10" i="1"/>
  <c r="AO15" i="1"/>
  <c r="AW15" i="1"/>
  <c r="AP24" i="1"/>
  <c r="AX24" i="1"/>
  <c r="AQ33" i="1"/>
  <c r="AY33" i="1"/>
  <c r="AP38" i="1"/>
  <c r="AX38" i="1"/>
  <c r="AO43" i="1"/>
  <c r="AW43" i="1"/>
  <c r="AP48" i="1"/>
  <c r="AX48" i="1"/>
  <c r="AN70" i="1"/>
  <c r="AV70" i="1"/>
  <c r="AP80" i="1"/>
  <c r="AX80" i="1"/>
  <c r="AQ90" i="1"/>
  <c r="AY90" i="1"/>
  <c r="AO123" i="1"/>
  <c r="AW123" i="1"/>
  <c r="AO139" i="1"/>
  <c r="AW139" i="1"/>
  <c r="AN144" i="1"/>
  <c r="AV144" i="1"/>
  <c r="AP148" i="1"/>
  <c r="AX148" i="1"/>
  <c r="AP157" i="1"/>
  <c r="AX157" i="1"/>
  <c r="AN222" i="1"/>
  <c r="AV222" i="1"/>
  <c r="AP226" i="1"/>
  <c r="AX226" i="1"/>
  <c r="AP235" i="1"/>
  <c r="AX235" i="1"/>
  <c r="AP240" i="1"/>
  <c r="AX240" i="1"/>
  <c r="AQ245" i="1"/>
  <c r="AY245" i="1"/>
  <c r="AQ250" i="1"/>
  <c r="AY250" i="1"/>
  <c r="AO255" i="1"/>
  <c r="AW255" i="1"/>
  <c r="AO260" i="1"/>
  <c r="AW260" i="1"/>
  <c r="AO268" i="1"/>
  <c r="AW268" i="1"/>
  <c r="AP272" i="1"/>
  <c r="AX272" i="1"/>
  <c r="AO276" i="1"/>
  <c r="AW276" i="1"/>
  <c r="AN280" i="1"/>
  <c r="AV280" i="1"/>
  <c r="AP285" i="1"/>
  <c r="AX285" i="1"/>
  <c r="AQ323" i="1"/>
  <c r="AY323" i="1"/>
  <c r="AP335" i="1"/>
  <c r="AX335" i="1"/>
  <c r="AN339" i="1"/>
  <c r="AV339" i="1"/>
  <c r="AO344" i="1"/>
  <c r="AW344" i="1"/>
  <c r="AQ348" i="1"/>
  <c r="AY348" i="1"/>
  <c r="AP353" i="1"/>
  <c r="AX353" i="1"/>
  <c r="AP368" i="1"/>
  <c r="AX368" i="1"/>
  <c r="AO377" i="1"/>
  <c r="AW377" i="1"/>
  <c r="AQ381" i="1"/>
  <c r="AY381" i="1"/>
  <c r="AN386" i="1"/>
  <c r="AV386" i="1"/>
  <c r="AN400" i="1"/>
  <c r="AV400" i="1"/>
  <c r="AN430" i="1"/>
  <c r="AV430" i="1"/>
  <c r="AP434" i="1"/>
  <c r="AX434" i="1"/>
  <c r="AO443" i="1"/>
  <c r="AW443" i="1"/>
  <c r="AQ447" i="1"/>
  <c r="AY447" i="1"/>
  <c r="AN452" i="1"/>
  <c r="AV452" i="1"/>
  <c r="AP456" i="1"/>
  <c r="AX456" i="1"/>
  <c r="AO465" i="1"/>
  <c r="AW465" i="1"/>
  <c r="AQ495" i="1"/>
  <c r="AY495" i="1"/>
  <c r="AO518" i="1"/>
  <c r="AW518" i="1"/>
  <c r="AQ522" i="1"/>
  <c r="AY522" i="1"/>
  <c r="AP5" i="1"/>
  <c r="AX5" i="1"/>
  <c r="AQ10" i="1"/>
  <c r="AY10" i="1"/>
  <c r="AP15" i="1"/>
  <c r="AX15" i="1"/>
  <c r="AN20" i="1"/>
  <c r="AV20" i="1"/>
  <c r="AQ24" i="1"/>
  <c r="AY24" i="1"/>
  <c r="AN29" i="1"/>
  <c r="AV29" i="1"/>
  <c r="AQ38" i="1"/>
  <c r="AY38" i="1"/>
  <c r="AQ48" i="1"/>
  <c r="AY48" i="1"/>
  <c r="AN54" i="1"/>
  <c r="AV54" i="1"/>
  <c r="AN59" i="1"/>
  <c r="AV59" i="1"/>
  <c r="AN64" i="1"/>
  <c r="AV64" i="1"/>
  <c r="AP70" i="1"/>
  <c r="AX70" i="1"/>
  <c r="AQ80" i="1"/>
  <c r="AY80" i="1"/>
  <c r="AN85" i="1"/>
  <c r="AV85" i="1"/>
  <c r="AP101" i="1"/>
  <c r="AX101" i="1"/>
  <c r="AN135" i="1"/>
  <c r="AV135" i="1"/>
  <c r="AP139" i="1"/>
  <c r="AX139" i="1"/>
  <c r="AO144" i="1"/>
  <c r="AW144" i="1"/>
  <c r="AQ148" i="1"/>
  <c r="AY148" i="1"/>
  <c r="AN153" i="1"/>
  <c r="AV153" i="1"/>
  <c r="AN166" i="1"/>
  <c r="AV166" i="1"/>
  <c r="AQ177" i="1"/>
  <c r="AY177" i="1"/>
  <c r="AN185" i="1"/>
  <c r="AV185" i="1"/>
  <c r="AO222" i="1"/>
  <c r="AW222" i="1"/>
  <c r="AQ226" i="1"/>
  <c r="AY226" i="1"/>
  <c r="AN231" i="1"/>
  <c r="AV231" i="1"/>
  <c r="AQ235" i="1"/>
  <c r="AY235" i="1"/>
  <c r="AQ240" i="1"/>
  <c r="AY240" i="1"/>
  <c r="AN255" i="1"/>
  <c r="AV255" i="1"/>
  <c r="AN260" i="1"/>
  <c r="AV260" i="1"/>
  <c r="AP268" i="1"/>
  <c r="AX268" i="1"/>
  <c r="AQ272" i="1"/>
  <c r="AY272" i="1"/>
  <c r="AP276" i="1"/>
  <c r="AX276" i="1"/>
  <c r="AO280" i="1"/>
  <c r="AW280" i="1"/>
  <c r="AQ285" i="1"/>
  <c r="AY285" i="1"/>
  <c r="AN331" i="1"/>
  <c r="AV331" i="1"/>
  <c r="AQ335" i="1"/>
  <c r="AY335" i="1"/>
  <c r="AP339" i="1"/>
  <c r="AX339" i="1"/>
  <c r="AP344" i="1"/>
  <c r="AX344" i="1"/>
  <c r="AQ349" i="1"/>
  <c r="AY349" i="1"/>
  <c r="AQ353" i="1"/>
  <c r="AY353" i="1"/>
  <c r="AQ368" i="1"/>
  <c r="AY368" i="1"/>
  <c r="AN373" i="1"/>
  <c r="AV373" i="1"/>
  <c r="AP377" i="1"/>
  <c r="AX377" i="1"/>
  <c r="AO386" i="1"/>
  <c r="AW386" i="1"/>
  <c r="AN395" i="1"/>
  <c r="AV395" i="1"/>
  <c r="AO430" i="1"/>
  <c r="AW430" i="1"/>
  <c r="AQ434" i="1"/>
  <c r="AY434" i="1"/>
  <c r="AN439" i="1"/>
  <c r="AV439" i="1"/>
  <c r="AP443" i="1"/>
  <c r="AX443" i="1"/>
  <c r="AO452" i="1"/>
  <c r="AW452" i="1"/>
  <c r="AQ456" i="1"/>
  <c r="AY456" i="1"/>
  <c r="AN461" i="1"/>
  <c r="AV461" i="1"/>
  <c r="AP465" i="1"/>
  <c r="AX465" i="1"/>
  <c r="AM475" i="1"/>
  <c r="AU475" i="1"/>
  <c r="AQ481" i="1"/>
  <c r="AY481" i="1"/>
  <c r="AO496" i="1"/>
  <c r="AW496" i="1"/>
  <c r="AP518" i="1"/>
  <c r="AX518" i="1"/>
  <c r="AN540" i="1"/>
  <c r="AV540" i="1"/>
  <c r="AN6" i="1"/>
  <c r="AV6" i="1"/>
  <c r="AN11" i="1"/>
  <c r="AV11" i="1"/>
  <c r="AQ15" i="1"/>
  <c r="AY15" i="1"/>
  <c r="AO20" i="1"/>
  <c r="AW20" i="1"/>
  <c r="AO29" i="1"/>
  <c r="AW29" i="1"/>
  <c r="AN34" i="1"/>
  <c r="AV34" i="1"/>
  <c r="AN43" i="1"/>
  <c r="AV43" i="1"/>
  <c r="AO54" i="1"/>
  <c r="AW54" i="1"/>
  <c r="AO59" i="1"/>
  <c r="AW59" i="1"/>
  <c r="AP64" i="1"/>
  <c r="AX64" i="1"/>
  <c r="AQ70" i="1"/>
  <c r="AY70" i="1"/>
  <c r="AN76" i="1"/>
  <c r="AV76" i="1"/>
  <c r="AM81" i="1"/>
  <c r="AU81" i="1"/>
  <c r="AO85" i="1"/>
  <c r="AW85" i="1"/>
  <c r="AO113" i="1"/>
  <c r="AW113" i="1"/>
  <c r="AP124" i="1"/>
  <c r="AX124" i="1"/>
  <c r="AO135" i="1"/>
  <c r="AW135" i="1"/>
  <c r="AQ139" i="1"/>
  <c r="AY139" i="1"/>
  <c r="AP144" i="1"/>
  <c r="AX144" i="1"/>
  <c r="AO153" i="1"/>
  <c r="AW153" i="1"/>
  <c r="AN158" i="1"/>
  <c r="AV158" i="1"/>
  <c r="AO185" i="1"/>
  <c r="AW185" i="1"/>
  <c r="AP222" i="1"/>
  <c r="AX222" i="1"/>
  <c r="AO231" i="1"/>
  <c r="AW231" i="1"/>
  <c r="AN246" i="1"/>
  <c r="AV246" i="1"/>
  <c r="AN251" i="1"/>
  <c r="AV251" i="1"/>
  <c r="AP255" i="1"/>
  <c r="AX255" i="1"/>
  <c r="AP260" i="1"/>
  <c r="AX260" i="1"/>
  <c r="AQ268" i="1"/>
  <c r="AY268" i="1"/>
  <c r="AQ276" i="1"/>
  <c r="AY276" i="1"/>
  <c r="AP280" i="1"/>
  <c r="AX280" i="1"/>
  <c r="AP331" i="1"/>
  <c r="AX331" i="1"/>
  <c r="AQ339" i="1"/>
  <c r="AY339" i="1"/>
  <c r="AN349" i="1"/>
  <c r="AV349" i="1"/>
  <c r="AO373" i="1"/>
  <c r="AW373" i="1"/>
  <c r="AQ377" i="1"/>
  <c r="AY377" i="1"/>
  <c r="AN382" i="1"/>
  <c r="AV382" i="1"/>
  <c r="AP386" i="1"/>
  <c r="AX386" i="1"/>
  <c r="AN391" i="1"/>
  <c r="AV391" i="1"/>
  <c r="AN401" i="1"/>
  <c r="AV401" i="1"/>
  <c r="AP430" i="1"/>
  <c r="AX430" i="1"/>
  <c r="AO439" i="1"/>
  <c r="AW439" i="1"/>
  <c r="AQ443" i="1"/>
  <c r="AY443" i="1"/>
  <c r="AN448" i="1"/>
  <c r="AV448" i="1"/>
  <c r="AP452" i="1"/>
  <c r="AX452" i="1"/>
  <c r="AO461" i="1"/>
  <c r="AW461" i="1"/>
  <c r="AQ465" i="1"/>
  <c r="AY465" i="1"/>
  <c r="AN496" i="1"/>
  <c r="AV496" i="1"/>
  <c r="AQ518" i="1"/>
  <c r="AY518" i="1"/>
  <c r="AN523" i="1"/>
  <c r="AV523" i="1"/>
  <c r="AO540" i="1"/>
  <c r="AW540" i="1"/>
  <c r="AN345" i="1"/>
  <c r="AV345" i="1"/>
  <c r="AN38" i="1"/>
  <c r="AV38" i="1"/>
  <c r="AQ89" i="1"/>
  <c r="AY89" i="1"/>
  <c r="AQ259" i="1"/>
  <c r="AY259" i="1"/>
  <c r="AQ64" i="1"/>
  <c r="AY64" i="1"/>
  <c r="AO158" i="1"/>
  <c r="AW158" i="1"/>
  <c r="AQ222" i="1"/>
  <c r="AY222" i="1"/>
  <c r="AN236" i="1"/>
  <c r="AV236" i="1"/>
  <c r="AQ260" i="1"/>
  <c r="AY260" i="1"/>
  <c r="AQ280" i="1"/>
  <c r="AY280" i="1"/>
  <c r="AP373" i="1"/>
  <c r="AX373" i="1"/>
  <c r="AQ422" i="1"/>
  <c r="AY422" i="1"/>
  <c r="AQ452" i="1"/>
  <c r="AY452" i="1"/>
  <c r="AM470" i="1"/>
  <c r="AU470" i="1"/>
  <c r="AP349" i="1"/>
  <c r="AX349" i="1"/>
  <c r="AQ540" i="1"/>
  <c r="AY540" i="1"/>
  <c r="AP126" i="1"/>
  <c r="AX126" i="1"/>
  <c r="AP30" i="1"/>
  <c r="AX30" i="1"/>
  <c r="AQ378" i="1"/>
  <c r="AY378" i="1"/>
  <c r="AO10" i="1"/>
  <c r="AW10" i="1"/>
  <c r="AP58" i="1"/>
  <c r="AX58" i="1"/>
  <c r="AQ152" i="1"/>
  <c r="AY152" i="1"/>
  <c r="AP20" i="1"/>
  <c r="AX20" i="1"/>
  <c r="AO340" i="1"/>
  <c r="AW340" i="1"/>
  <c r="AP149" i="1"/>
  <c r="AX149" i="1"/>
  <c r="AQ168" i="1"/>
  <c r="AY168" i="1"/>
  <c r="AN223" i="1"/>
  <c r="AV223" i="1"/>
  <c r="AQ251" i="1"/>
  <c r="AY251" i="1"/>
  <c r="AO269" i="1"/>
  <c r="AW269" i="1"/>
  <c r="AO281" i="1"/>
  <c r="AW281" i="1"/>
  <c r="AP345" i="1"/>
  <c r="AX345" i="1"/>
  <c r="AP369" i="1"/>
  <c r="AX369" i="1"/>
  <c r="AQ401" i="1"/>
  <c r="AY401" i="1"/>
  <c r="AN431" i="1"/>
  <c r="AV431" i="1"/>
  <c r="AO444" i="1"/>
  <c r="AW444" i="1"/>
  <c r="AO519" i="1"/>
  <c r="AW519" i="1"/>
  <c r="AN21" i="1"/>
  <c r="AV21" i="1"/>
  <c r="AN77" i="1"/>
  <c r="AV77" i="1"/>
  <c r="AO256" i="1"/>
  <c r="AW256" i="1"/>
  <c r="AP336" i="1"/>
  <c r="AX336" i="1"/>
  <c r="AP466" i="1"/>
  <c r="AX466" i="1"/>
  <c r="AQ65" i="1"/>
  <c r="AY65" i="1"/>
  <c r="AP140" i="1"/>
  <c r="AX140" i="1"/>
  <c r="AP154" i="1"/>
  <c r="AX154" i="1"/>
  <c r="AO159" i="1"/>
  <c r="AW159" i="1"/>
  <c r="AP180" i="1"/>
  <c r="AX180" i="1"/>
  <c r="AO186" i="1"/>
  <c r="AW186" i="1"/>
  <c r="AO232" i="1"/>
  <c r="AW232" i="1"/>
  <c r="AN252" i="1"/>
  <c r="AV252" i="1"/>
  <c r="AQ269" i="1"/>
  <c r="AY269" i="1"/>
  <c r="AQ273" i="1"/>
  <c r="AY273" i="1"/>
  <c r="AP277" i="1"/>
  <c r="AX277" i="1"/>
  <c r="AP281" i="1"/>
  <c r="AX281" i="1"/>
  <c r="AO287" i="1"/>
  <c r="AW287" i="1"/>
  <c r="AN327" i="1"/>
  <c r="AV327" i="1"/>
  <c r="AQ332" i="1"/>
  <c r="AY332" i="1"/>
  <c r="AQ336" i="1"/>
  <c r="AY336" i="1"/>
  <c r="AO350" i="1"/>
  <c r="AW350" i="1"/>
  <c r="AN355" i="1"/>
  <c r="AV355" i="1"/>
  <c r="AO374" i="1"/>
  <c r="AW374" i="1"/>
  <c r="AN383" i="1"/>
  <c r="AV383" i="1"/>
  <c r="AN387" i="1"/>
  <c r="AV387" i="1"/>
  <c r="AN392" i="1"/>
  <c r="AV392" i="1"/>
  <c r="AP431" i="1"/>
  <c r="AX431" i="1"/>
  <c r="AO440" i="1"/>
  <c r="AW440" i="1"/>
  <c r="AQ444" i="1"/>
  <c r="AY444" i="1"/>
  <c r="AN449" i="1"/>
  <c r="AV449" i="1"/>
  <c r="AP453" i="1"/>
  <c r="AX453" i="1"/>
  <c r="AO462" i="1"/>
  <c r="AW462" i="1"/>
  <c r="AQ466" i="1"/>
  <c r="AY466" i="1"/>
  <c r="AM471" i="1"/>
  <c r="AU471" i="1"/>
  <c r="AP497" i="1"/>
  <c r="AX497" i="1"/>
  <c r="AQ519" i="1"/>
  <c r="AY519" i="1"/>
  <c r="AO541" i="1"/>
  <c r="AW541" i="1"/>
  <c r="AP7" i="1"/>
  <c r="AX7" i="1"/>
  <c r="AP12" i="1"/>
  <c r="AX12" i="1"/>
  <c r="AN17" i="1"/>
  <c r="AV17" i="1"/>
  <c r="AP21" i="1"/>
  <c r="AX21" i="1"/>
  <c r="AN26" i="1"/>
  <c r="AV26" i="1"/>
  <c r="AQ30" i="1"/>
  <c r="AY30" i="1"/>
  <c r="AO35" i="1"/>
  <c r="AW35" i="1"/>
  <c r="AN40" i="1"/>
  <c r="AV40" i="1"/>
  <c r="AP50" i="1"/>
  <c r="AX50" i="1"/>
  <c r="AP55" i="1"/>
  <c r="AX55" i="1"/>
  <c r="AP72" i="1"/>
  <c r="AX72" i="1"/>
  <c r="AP77" i="1"/>
  <c r="AX77" i="1"/>
  <c r="AN82" i="1"/>
  <c r="AV82" i="1"/>
  <c r="AP86" i="1"/>
  <c r="AX86" i="1"/>
  <c r="AP116" i="1"/>
  <c r="AX116" i="1"/>
  <c r="AP136" i="1"/>
  <c r="AX136" i="1"/>
  <c r="AQ145" i="1"/>
  <c r="AY145" i="1"/>
  <c r="AN150" i="1"/>
  <c r="AV150" i="1"/>
  <c r="AQ154" i="1"/>
  <c r="AY154" i="1"/>
  <c r="AP159" i="1"/>
  <c r="AX159" i="1"/>
  <c r="AP186" i="1"/>
  <c r="AX186" i="1"/>
  <c r="AQ223" i="1"/>
  <c r="AY223" i="1"/>
  <c r="AN228" i="1"/>
  <c r="AV228" i="1"/>
  <c r="AP232" i="1"/>
  <c r="AX232" i="1"/>
  <c r="AO237" i="1"/>
  <c r="AW237" i="1"/>
  <c r="AP242" i="1"/>
  <c r="AX242" i="1"/>
  <c r="AP247" i="1"/>
  <c r="AX247" i="1"/>
  <c r="AO252" i="1"/>
  <c r="AW252" i="1"/>
  <c r="AQ256" i="1"/>
  <c r="AY256" i="1"/>
  <c r="AN274" i="1"/>
  <c r="AV274" i="1"/>
  <c r="AQ277" i="1"/>
  <c r="AY277" i="1"/>
  <c r="AQ281" i="1"/>
  <c r="AY281" i="1"/>
  <c r="AN287" i="1"/>
  <c r="AV287" i="1"/>
  <c r="AO327" i="1"/>
  <c r="AW327" i="1"/>
  <c r="AN341" i="1"/>
  <c r="AV341" i="1"/>
  <c r="AQ346" i="1"/>
  <c r="AY346" i="1"/>
  <c r="AP350" i="1"/>
  <c r="AX350" i="1"/>
  <c r="AO355" i="1"/>
  <c r="AW355" i="1"/>
  <c r="AN370" i="1"/>
  <c r="AV370" i="1"/>
  <c r="AP374" i="1"/>
  <c r="AX374" i="1"/>
  <c r="AO383" i="1"/>
  <c r="AW383" i="1"/>
  <c r="AP409" i="1"/>
  <c r="AX409" i="1"/>
  <c r="AQ431" i="1"/>
  <c r="AY431" i="1"/>
  <c r="AN436" i="1"/>
  <c r="AV436" i="1"/>
  <c r="AP440" i="1"/>
  <c r="AX440" i="1"/>
  <c r="AO449" i="1"/>
  <c r="AW449" i="1"/>
  <c r="AQ453" i="1"/>
  <c r="AY453" i="1"/>
  <c r="AN458" i="1"/>
  <c r="AV458" i="1"/>
  <c r="AP462" i="1"/>
  <c r="AX462" i="1"/>
  <c r="AN492" i="1"/>
  <c r="AV492" i="1"/>
  <c r="AQ497" i="1"/>
  <c r="AY497" i="1"/>
  <c r="AN537" i="1"/>
  <c r="AV537" i="1"/>
  <c r="AP541" i="1"/>
  <c r="AX541" i="1"/>
  <c r="AP49" i="1"/>
  <c r="AX49" i="1"/>
  <c r="AN30" i="1"/>
  <c r="AV30" i="1"/>
  <c r="AQ86" i="1"/>
  <c r="AY86" i="1"/>
  <c r="AO150" i="1"/>
  <c r="AW150" i="1"/>
  <c r="AO228" i="1"/>
  <c r="AW228" i="1"/>
  <c r="AQ232" i="1"/>
  <c r="AY232" i="1"/>
  <c r="AP237" i="1"/>
  <c r="AX237" i="1"/>
  <c r="AQ242" i="1"/>
  <c r="AY242" i="1"/>
  <c r="AQ247" i="1"/>
  <c r="AY247" i="1"/>
  <c r="AP252" i="1"/>
  <c r="AX252" i="1"/>
  <c r="AN262" i="1"/>
  <c r="AV262" i="1"/>
  <c r="AN270" i="1"/>
  <c r="AV270" i="1"/>
  <c r="AO274" i="1"/>
  <c r="AW274" i="1"/>
  <c r="AP287" i="1"/>
  <c r="AX287" i="1"/>
  <c r="AP327" i="1"/>
  <c r="AX327" i="1"/>
  <c r="AP341" i="1"/>
  <c r="AX341" i="1"/>
  <c r="AN346" i="1"/>
  <c r="AV346" i="1"/>
  <c r="AQ350" i="1"/>
  <c r="AY350" i="1"/>
  <c r="AP355" i="1"/>
  <c r="AX355" i="1"/>
  <c r="AO370" i="1"/>
  <c r="AW370" i="1"/>
  <c r="AQ374" i="1"/>
  <c r="AY374" i="1"/>
  <c r="AP383" i="1"/>
  <c r="AX383" i="1"/>
  <c r="AO436" i="1"/>
  <c r="AW436" i="1"/>
  <c r="AQ440" i="1"/>
  <c r="AY440" i="1"/>
  <c r="AN445" i="1"/>
  <c r="AV445" i="1"/>
  <c r="AP449" i="1"/>
  <c r="AX449" i="1"/>
  <c r="AO458" i="1"/>
  <c r="AW458" i="1"/>
  <c r="AQ462" i="1"/>
  <c r="AY462" i="1"/>
  <c r="AN467" i="1"/>
  <c r="AV467" i="1"/>
  <c r="AM477" i="1"/>
  <c r="AU477" i="1"/>
  <c r="AQ484" i="1"/>
  <c r="AY484" i="1"/>
  <c r="AO492" i="1"/>
  <c r="AW492" i="1"/>
  <c r="AN520" i="1"/>
  <c r="AV520" i="1"/>
  <c r="AO537" i="1"/>
  <c r="AW537" i="1"/>
  <c r="AQ541" i="1"/>
  <c r="AY541" i="1"/>
  <c r="AN15" i="1"/>
  <c r="AV15" i="1"/>
  <c r="AQ84" i="1"/>
  <c r="AY84" i="1"/>
  <c r="AN276" i="1"/>
  <c r="AV276" i="1"/>
  <c r="AO34" i="1"/>
  <c r="AW34" i="1"/>
  <c r="AQ59" i="1"/>
  <c r="AY59" i="1"/>
  <c r="AN178" i="1"/>
  <c r="AV178" i="1"/>
  <c r="AN241" i="1"/>
  <c r="AV241" i="1"/>
  <c r="AN457" i="1"/>
  <c r="AV457" i="1"/>
  <c r="AQ6" i="1"/>
  <c r="AY6" i="1"/>
  <c r="AP34" i="1"/>
  <c r="AX34" i="1"/>
  <c r="AQ76" i="1"/>
  <c r="AY76" i="1"/>
  <c r="AQ135" i="1"/>
  <c r="AY135" i="1"/>
  <c r="AQ185" i="1"/>
  <c r="AY185" i="1"/>
  <c r="AO354" i="1"/>
  <c r="AW354" i="1"/>
  <c r="AO457" i="1"/>
  <c r="AW457" i="1"/>
  <c r="AQ496" i="1"/>
  <c r="AY496" i="1"/>
  <c r="AN65" i="1"/>
  <c r="AV65" i="1"/>
  <c r="AO273" i="1"/>
  <c r="AW273" i="1"/>
  <c r="AN453" i="1"/>
  <c r="AV453" i="1"/>
  <c r="AP44" i="1"/>
  <c r="AX44" i="1"/>
  <c r="AN136" i="1"/>
  <c r="AV136" i="1"/>
  <c r="AQ227" i="1"/>
  <c r="AY227" i="1"/>
  <c r="AQ286" i="1"/>
  <c r="AY286" i="1"/>
  <c r="AP378" i="1"/>
  <c r="AX378" i="1"/>
  <c r="AP444" i="1"/>
  <c r="AX444" i="1"/>
  <c r="AN541" i="1"/>
  <c r="AV541" i="1"/>
  <c r="AO12" i="1"/>
  <c r="AW12" i="1"/>
  <c r="AQ44" i="1"/>
  <c r="AY44" i="1"/>
  <c r="AN104" i="1"/>
  <c r="AV104" i="1"/>
  <c r="AN379" i="1"/>
  <c r="AV379" i="1"/>
  <c r="AP17" i="1"/>
  <c r="AX17" i="1"/>
  <c r="AP26" i="1"/>
  <c r="AX26" i="1"/>
  <c r="AN31" i="1"/>
  <c r="AV31" i="1"/>
  <c r="AQ35" i="1"/>
  <c r="AY35" i="1"/>
  <c r="AP40" i="1"/>
  <c r="AX40" i="1"/>
  <c r="AP45" i="1"/>
  <c r="AX45" i="1"/>
  <c r="AO51" i="1"/>
  <c r="AW51" i="1"/>
  <c r="AN56" i="1"/>
  <c r="AV56" i="1"/>
  <c r="AP61" i="1"/>
  <c r="AX61" i="1"/>
  <c r="AO66" i="1"/>
  <c r="AW66" i="1"/>
  <c r="AN78" i="1"/>
  <c r="AV78" i="1"/>
  <c r="AP82" i="1"/>
  <c r="AX82" i="1"/>
  <c r="AQ117" i="1"/>
  <c r="AY117" i="1"/>
  <c r="AO128" i="1"/>
  <c r="AW128" i="1"/>
  <c r="AO141" i="1"/>
  <c r="AW141" i="1"/>
  <c r="AN146" i="1"/>
  <c r="AV146" i="1"/>
  <c r="AP150" i="1"/>
  <c r="AX150" i="1"/>
  <c r="AN155" i="1"/>
  <c r="AV155" i="1"/>
  <c r="AN224" i="1"/>
  <c r="AV224" i="1"/>
  <c r="AP228" i="1"/>
  <c r="AX228" i="1"/>
  <c r="AO233" i="1"/>
  <c r="AW233" i="1"/>
  <c r="AQ237" i="1"/>
  <c r="AY237" i="1"/>
  <c r="AO243" i="1"/>
  <c r="AW243" i="1"/>
  <c r="AQ252" i="1"/>
  <c r="AY252" i="1"/>
  <c r="AN257" i="1"/>
  <c r="AV257" i="1"/>
  <c r="AO270" i="1"/>
  <c r="AW270" i="1"/>
  <c r="AP274" i="1"/>
  <c r="AX274" i="1"/>
  <c r="AN278" i="1"/>
  <c r="AV278" i="1"/>
  <c r="AO282" i="1"/>
  <c r="AW282" i="1"/>
  <c r="AN288" i="1"/>
  <c r="AV288" i="1"/>
  <c r="AQ327" i="1"/>
  <c r="AY327" i="1"/>
  <c r="AQ341" i="1"/>
  <c r="AY341" i="1"/>
  <c r="AO346" i="1"/>
  <c r="AW346" i="1"/>
  <c r="AQ355" i="1"/>
  <c r="AY355" i="1"/>
  <c r="AP370" i="1"/>
  <c r="AX370" i="1"/>
  <c r="AO379" i="1"/>
  <c r="AW379" i="1"/>
  <c r="AQ383" i="1"/>
  <c r="AY383" i="1"/>
  <c r="AN397" i="1"/>
  <c r="AV397" i="1"/>
  <c r="AO419" i="1"/>
  <c r="AW419" i="1"/>
  <c r="AN432" i="1"/>
  <c r="AV432" i="1"/>
  <c r="AP436" i="1"/>
  <c r="AX436" i="1"/>
  <c r="AO445" i="1"/>
  <c r="AW445" i="1"/>
  <c r="AQ449" i="1"/>
  <c r="AY449" i="1"/>
  <c r="AN454" i="1"/>
  <c r="AV454" i="1"/>
  <c r="AP458" i="1"/>
  <c r="AX458" i="1"/>
  <c r="AO467" i="1"/>
  <c r="AW467" i="1"/>
  <c r="AQ492" i="1"/>
  <c r="AY492" i="1"/>
  <c r="AN498" i="1"/>
  <c r="AV498" i="1"/>
  <c r="AO520" i="1"/>
  <c r="AW520" i="1"/>
  <c r="AP537" i="1"/>
  <c r="AX537" i="1"/>
  <c r="AQ325" i="1"/>
  <c r="AY325" i="1"/>
  <c r="AN5" i="1"/>
  <c r="AV5" i="1"/>
  <c r="AN48" i="1"/>
  <c r="AV48" i="1"/>
  <c r="AP250" i="1"/>
  <c r="AX250" i="1"/>
  <c r="AN39" i="1"/>
  <c r="AV39" i="1"/>
  <c r="AN81" i="1"/>
  <c r="AV81" i="1"/>
  <c r="AQ144" i="1"/>
  <c r="AY144" i="1"/>
  <c r="AO251" i="1"/>
  <c r="AW251" i="1"/>
  <c r="AN286" i="1"/>
  <c r="AV286" i="1"/>
  <c r="AO349" i="1"/>
  <c r="AW349" i="1"/>
  <c r="AO401" i="1"/>
  <c r="AW401" i="1"/>
  <c r="AO448" i="1"/>
  <c r="AW448" i="1"/>
  <c r="AP540" i="1"/>
  <c r="AX540" i="1"/>
  <c r="AO44" i="1"/>
  <c r="AW44" i="1"/>
  <c r="AO149" i="1"/>
  <c r="AW149" i="1"/>
  <c r="AN269" i="1"/>
  <c r="AV269" i="1"/>
  <c r="AP25" i="1"/>
  <c r="AX25" i="1"/>
  <c r="AN60" i="1"/>
  <c r="AV60" i="1"/>
  <c r="AQ71" i="1"/>
  <c r="AY71" i="1"/>
  <c r="AN140" i="1"/>
  <c r="AV140" i="1"/>
  <c r="AN145" i="1"/>
  <c r="AV145" i="1"/>
  <c r="AN154" i="1"/>
  <c r="AV154" i="1"/>
  <c r="AQ241" i="1"/>
  <c r="AY241" i="1"/>
  <c r="AN261" i="1"/>
  <c r="AV261" i="1"/>
  <c r="AN277" i="1"/>
  <c r="AV277" i="1"/>
  <c r="AP286" i="1"/>
  <c r="AX286" i="1"/>
  <c r="AO332" i="1"/>
  <c r="AW332" i="1"/>
  <c r="AQ382" i="1"/>
  <c r="AY382" i="1"/>
  <c r="AP457" i="1"/>
  <c r="AX457" i="1"/>
  <c r="AQ523" i="1"/>
  <c r="AY523" i="1"/>
  <c r="AQ25" i="1"/>
  <c r="AY25" i="1"/>
  <c r="AN186" i="1"/>
  <c r="AV186" i="1"/>
  <c r="AP273" i="1"/>
  <c r="AX273" i="1"/>
  <c r="AO431" i="1"/>
  <c r="AW431" i="1"/>
  <c r="AQ491" i="1"/>
  <c r="AY491" i="1"/>
  <c r="AO7" i="1"/>
  <c r="AW7" i="1"/>
  <c r="AO21" i="1"/>
  <c r="AW21" i="1"/>
  <c r="AN35" i="1"/>
  <c r="AV35" i="1"/>
  <c r="AO55" i="1"/>
  <c r="AW55" i="1"/>
  <c r="AO93" i="1"/>
  <c r="AW93" i="1"/>
  <c r="AP145" i="1"/>
  <c r="AX145" i="1"/>
  <c r="AN237" i="1"/>
  <c r="AV237" i="1"/>
  <c r="AO26" i="1"/>
  <c r="AW26" i="1"/>
  <c r="AN66" i="1"/>
  <c r="AV66" i="1"/>
  <c r="AQ186" i="1"/>
  <c r="AY186" i="1"/>
  <c r="AP31" i="1"/>
  <c r="AX31" i="1"/>
  <c r="AN51" i="1"/>
  <c r="AV51" i="1"/>
  <c r="AM73" i="1"/>
  <c r="AU73" i="1"/>
  <c r="AO155" i="1"/>
  <c r="AW155" i="1"/>
  <c r="AN187" i="1"/>
  <c r="AV187" i="1"/>
  <c r="AN233" i="1"/>
  <c r="AV233" i="1"/>
  <c r="AO253" i="1"/>
  <c r="AW253" i="1"/>
  <c r="AQ274" i="1"/>
  <c r="AY274" i="1"/>
  <c r="AO288" i="1"/>
  <c r="AW288" i="1"/>
  <c r="AO328" i="1"/>
  <c r="AW328" i="1"/>
  <c r="AQ351" i="1"/>
  <c r="AY351" i="1"/>
  <c r="AQ370" i="1"/>
  <c r="AY370" i="1"/>
  <c r="AN388" i="1"/>
  <c r="AV388" i="1"/>
  <c r="AO454" i="1"/>
  <c r="AW454" i="1"/>
  <c r="AP467" i="1"/>
  <c r="AX467" i="1"/>
  <c r="AO493" i="1"/>
  <c r="AW493" i="1"/>
  <c r="AP520" i="1"/>
  <c r="AX520" i="1"/>
  <c r="AN36" i="1"/>
  <c r="AV36" i="1"/>
  <c r="AO46" i="1"/>
  <c r="AW46" i="1"/>
  <c r="AP51" i="1"/>
  <c r="AX51" i="1"/>
  <c r="AP56" i="1"/>
  <c r="AX56" i="1"/>
  <c r="AN67" i="1"/>
  <c r="AV67" i="1"/>
  <c r="AN73" i="1"/>
  <c r="AV73" i="1"/>
  <c r="AP78" i="1"/>
  <c r="AX78" i="1"/>
  <c r="AO87" i="1"/>
  <c r="AW87" i="1"/>
  <c r="AQ96" i="1"/>
  <c r="AY96" i="1"/>
  <c r="AQ129" i="1"/>
  <c r="AY129" i="1"/>
  <c r="AN137" i="1"/>
  <c r="AV137" i="1"/>
  <c r="AP146" i="1"/>
  <c r="AX146" i="1"/>
  <c r="AP155" i="1"/>
  <c r="AX155" i="1"/>
  <c r="AO187" i="1"/>
  <c r="AW187" i="1"/>
  <c r="AP224" i="1"/>
  <c r="AX224" i="1"/>
  <c r="AP233" i="1"/>
  <c r="AX233" i="1"/>
  <c r="AN238" i="1"/>
  <c r="AV238" i="1"/>
  <c r="AP243" i="1"/>
  <c r="AX243" i="1"/>
  <c r="AN248" i="1"/>
  <c r="AV248" i="1"/>
  <c r="AN253" i="1"/>
  <c r="AV253" i="1"/>
  <c r="AP257" i="1"/>
  <c r="AX257" i="1"/>
  <c r="AQ270" i="1"/>
  <c r="AY270" i="1"/>
  <c r="AP278" i="1"/>
  <c r="AX278" i="1"/>
  <c r="AP282" i="1"/>
  <c r="AX282" i="1"/>
  <c r="AP288" i="1"/>
  <c r="AX288" i="1"/>
  <c r="AN328" i="1"/>
  <c r="AV328" i="1"/>
  <c r="AO333" i="1"/>
  <c r="AW333" i="1"/>
  <c r="AP337" i="1"/>
  <c r="AX337" i="1"/>
  <c r="AN342" i="1"/>
  <c r="AV342" i="1"/>
  <c r="AN351" i="1"/>
  <c r="AV351" i="1"/>
  <c r="AQ356" i="1"/>
  <c r="AY356" i="1"/>
  <c r="AO375" i="1"/>
  <c r="AW375" i="1"/>
  <c r="AQ379" i="1"/>
  <c r="AY379" i="1"/>
  <c r="AN384" i="1"/>
  <c r="AV384" i="1"/>
  <c r="AN419" i="1"/>
  <c r="AV419" i="1"/>
  <c r="AP432" i="1"/>
  <c r="AX432" i="1"/>
  <c r="AO441" i="1"/>
  <c r="AW441" i="1"/>
  <c r="AQ445" i="1"/>
  <c r="AY445" i="1"/>
  <c r="AN450" i="1"/>
  <c r="AV450" i="1"/>
  <c r="AP454" i="1"/>
  <c r="AX454" i="1"/>
  <c r="AO463" i="1"/>
  <c r="AW463" i="1"/>
  <c r="AQ467" i="1"/>
  <c r="AY467" i="1"/>
  <c r="AN493" i="1"/>
  <c r="AV493" i="1"/>
  <c r="AQ498" i="1"/>
  <c r="AY498" i="1"/>
  <c r="AQ520" i="1"/>
  <c r="AY520" i="1"/>
  <c r="AQ28" i="1"/>
  <c r="AY28" i="1"/>
  <c r="AN240" i="1"/>
  <c r="AV240" i="1"/>
  <c r="AP43" i="1"/>
  <c r="AX43" i="1"/>
  <c r="AN227" i="1"/>
  <c r="AV227" i="1"/>
  <c r="AN354" i="1"/>
  <c r="AV354" i="1"/>
  <c r="AQ430" i="1"/>
  <c r="AY430" i="1"/>
  <c r="AO25" i="1"/>
  <c r="AW25" i="1"/>
  <c r="AP251" i="1"/>
  <c r="AX251" i="1"/>
  <c r="AN332" i="1"/>
  <c r="AV332" i="1"/>
  <c r="AQ373" i="1"/>
  <c r="AY373" i="1"/>
  <c r="AP401" i="1"/>
  <c r="AX401" i="1"/>
  <c r="AN519" i="1"/>
  <c r="AV519" i="1"/>
  <c r="AQ49" i="1"/>
  <c r="AY49" i="1"/>
  <c r="AP340" i="1"/>
  <c r="AX340" i="1"/>
  <c r="AP435" i="1"/>
  <c r="AX435" i="1"/>
  <c r="AV7" i="1"/>
  <c r="AN72" i="1"/>
  <c r="AV72" i="1"/>
  <c r="AN159" i="1"/>
  <c r="AV159" i="1"/>
  <c r="AP269" i="1"/>
  <c r="AX269" i="1"/>
  <c r="AQ345" i="1"/>
  <c r="AY345" i="1"/>
  <c r="AO247" i="1"/>
  <c r="AW247" i="1"/>
  <c r="AQ21" i="1"/>
  <c r="AY21" i="1"/>
  <c r="AO82" i="1"/>
  <c r="AW82" i="1"/>
  <c r="AQ136" i="1"/>
  <c r="AY136" i="1"/>
  <c r="AQ181" i="1"/>
  <c r="AY181" i="1"/>
  <c r="AN8" i="1"/>
  <c r="AV8" i="1"/>
  <c r="AQ61" i="1"/>
  <c r="AY61" i="1"/>
  <c r="AN87" i="1"/>
  <c r="AV87" i="1"/>
  <c r="AP160" i="1"/>
  <c r="AX160" i="1"/>
  <c r="AO224" i="1"/>
  <c r="AW224" i="1"/>
  <c r="AO257" i="1"/>
  <c r="AW257" i="1"/>
  <c r="AN375" i="1"/>
  <c r="AV375" i="1"/>
  <c r="AO432" i="1"/>
  <c r="AW432" i="1"/>
  <c r="AN441" i="1"/>
  <c r="AV441" i="1"/>
  <c r="AQ458" i="1"/>
  <c r="AY458" i="1"/>
  <c r="AM472" i="1"/>
  <c r="AU472" i="1"/>
  <c r="AP498" i="1"/>
  <c r="AX498" i="1"/>
  <c r="AQ537" i="1"/>
  <c r="AY537" i="1"/>
  <c r="AO13" i="1"/>
  <c r="AW13" i="1"/>
  <c r="AN18" i="1"/>
  <c r="AV18" i="1"/>
  <c r="AN46" i="1"/>
  <c r="AV46" i="1"/>
  <c r="AQ78" i="1"/>
  <c r="AY78" i="1"/>
  <c r="AN142" i="1"/>
  <c r="AV142" i="1"/>
  <c r="AN151" i="1"/>
  <c r="AV151" i="1"/>
  <c r="AQ161" i="1"/>
  <c r="AY161" i="1"/>
  <c r="AP172" i="1"/>
  <c r="AX172" i="1"/>
  <c r="AP187" i="1"/>
  <c r="AX187" i="1"/>
  <c r="AN229" i="1"/>
  <c r="AV229" i="1"/>
  <c r="AP238" i="1"/>
  <c r="AX238" i="1"/>
  <c r="AQ243" i="1"/>
  <c r="AY243" i="1"/>
  <c r="AP248" i="1"/>
  <c r="AX248" i="1"/>
  <c r="AP253" i="1"/>
  <c r="AX253" i="1"/>
  <c r="AQ257" i="1"/>
  <c r="AY257" i="1"/>
  <c r="AP264" i="1"/>
  <c r="AX264" i="1"/>
  <c r="AQ278" i="1"/>
  <c r="AY278" i="1"/>
  <c r="AN283" i="1"/>
  <c r="AV283" i="1"/>
  <c r="AP328" i="1"/>
  <c r="AX328" i="1"/>
  <c r="AP333" i="1"/>
  <c r="AX333" i="1"/>
  <c r="AQ337" i="1"/>
  <c r="AY337" i="1"/>
  <c r="AO342" i="1"/>
  <c r="AW342" i="1"/>
  <c r="AN367" i="1"/>
  <c r="AV367" i="1"/>
  <c r="AN371" i="1"/>
  <c r="AV371" i="1"/>
  <c r="AP375" i="1"/>
  <c r="AX375" i="1"/>
  <c r="AN393" i="1"/>
  <c r="AV393" i="1"/>
  <c r="AQ419" i="1"/>
  <c r="AY419" i="1"/>
  <c r="AQ432" i="1"/>
  <c r="AY432" i="1"/>
  <c r="AN437" i="1"/>
  <c r="AV437" i="1"/>
  <c r="AP441" i="1"/>
  <c r="AX441" i="1"/>
  <c r="AO450" i="1"/>
  <c r="AW450" i="1"/>
  <c r="AQ454" i="1"/>
  <c r="AY454" i="1"/>
  <c r="AN459" i="1"/>
  <c r="AV459" i="1"/>
  <c r="AP463" i="1"/>
  <c r="AX463" i="1"/>
  <c r="AM478" i="1"/>
  <c r="AU478" i="1"/>
  <c r="AQ486" i="1"/>
  <c r="AY486" i="1"/>
  <c r="AP493" i="1"/>
  <c r="AX493" i="1"/>
  <c r="AO499" i="1"/>
  <c r="AW499" i="1"/>
  <c r="AN538" i="1"/>
  <c r="AV538" i="1"/>
  <c r="AQ8" i="1"/>
  <c r="AY8" i="1"/>
  <c r="AP22" i="1"/>
  <c r="AX22" i="1"/>
  <c r="AO36" i="1"/>
  <c r="AW36" i="1"/>
  <c r="AQ51" i="1"/>
  <c r="AY51" i="1"/>
  <c r="AP67" i="1"/>
  <c r="AX67" i="1"/>
  <c r="AO73" i="1"/>
  <c r="AW73" i="1"/>
  <c r="AP87" i="1"/>
  <c r="AX87" i="1"/>
  <c r="AO107" i="1"/>
  <c r="AW107" i="1"/>
  <c r="AQ146" i="1"/>
  <c r="AY146" i="1"/>
  <c r="AQ155" i="1"/>
  <c r="AY155" i="1"/>
  <c r="AN183" i="1"/>
  <c r="AV183" i="1"/>
  <c r="AQ233" i="1"/>
  <c r="AY233" i="1"/>
  <c r="AO384" i="1"/>
  <c r="AW384" i="1"/>
  <c r="AQ13" i="1"/>
  <c r="AY13" i="1"/>
  <c r="AO18" i="1"/>
  <c r="AW18" i="1"/>
  <c r="AQ22" i="1"/>
  <c r="AY22" i="1"/>
  <c r="AO27" i="1"/>
  <c r="AW27" i="1"/>
  <c r="AN32" i="1"/>
  <c r="AV32" i="1"/>
  <c r="AP36" i="1"/>
  <c r="AX36" i="1"/>
  <c r="AO41" i="1"/>
  <c r="AW41" i="1"/>
  <c r="AP46" i="1"/>
  <c r="AX46" i="1"/>
  <c r="AQ67" i="1"/>
  <c r="AY67" i="1"/>
  <c r="AP73" i="1"/>
  <c r="AX73" i="1"/>
  <c r="AM79" i="1"/>
  <c r="AU79" i="1"/>
  <c r="AN83" i="1"/>
  <c r="AV83" i="1"/>
  <c r="AQ87" i="1"/>
  <c r="AY87" i="1"/>
  <c r="AP130" i="1"/>
  <c r="AX130" i="1"/>
  <c r="AP137" i="1"/>
  <c r="AX137" i="1"/>
  <c r="AO142" i="1"/>
  <c r="AW142" i="1"/>
  <c r="AO151" i="1"/>
  <c r="AW151" i="1"/>
  <c r="AO183" i="1"/>
  <c r="AW183" i="1"/>
  <c r="AQ187" i="1"/>
  <c r="AY187" i="1"/>
  <c r="AO229" i="1"/>
  <c r="AW229" i="1"/>
  <c r="AQ238" i="1"/>
  <c r="AY238" i="1"/>
  <c r="AQ248" i="1"/>
  <c r="AY248" i="1"/>
  <c r="AQ253" i="1"/>
  <c r="AY253" i="1"/>
  <c r="AN271" i="1"/>
  <c r="AV271" i="1"/>
  <c r="AO283" i="1"/>
  <c r="AW283" i="1"/>
  <c r="AQ301" i="1"/>
  <c r="AY301" i="1"/>
  <c r="AQ328" i="1"/>
  <c r="AY328" i="1"/>
  <c r="AP342" i="1"/>
  <c r="AX342" i="1"/>
  <c r="AN347" i="1"/>
  <c r="AV347" i="1"/>
  <c r="AP351" i="1"/>
  <c r="AX351" i="1"/>
  <c r="AO371" i="1"/>
  <c r="AW371" i="1"/>
  <c r="AQ375" i="1"/>
  <c r="AY375" i="1"/>
  <c r="AN380" i="1"/>
  <c r="AV380" i="1"/>
  <c r="AP384" i="1"/>
  <c r="AX384" i="1"/>
  <c r="AN398" i="1"/>
  <c r="AV398" i="1"/>
  <c r="AO437" i="1"/>
  <c r="AW437" i="1"/>
  <c r="AQ441" i="1"/>
  <c r="AY441" i="1"/>
  <c r="AN446" i="1"/>
  <c r="AV446" i="1"/>
  <c r="AP450" i="1"/>
  <c r="AX450" i="1"/>
  <c r="AO459" i="1"/>
  <c r="AW459" i="1"/>
  <c r="AQ463" i="1"/>
  <c r="AY463" i="1"/>
  <c r="AN468" i="1"/>
  <c r="AV468" i="1"/>
  <c r="AQ493" i="1"/>
  <c r="AY493" i="1"/>
  <c r="AN499" i="1"/>
  <c r="AV499" i="1"/>
  <c r="AN521" i="1"/>
  <c r="AV521" i="1"/>
  <c r="AO538" i="1"/>
  <c r="AW538" i="1"/>
  <c r="AP33" i="1"/>
  <c r="AX33" i="1"/>
  <c r="AO272" i="1"/>
  <c r="AW272" i="1"/>
  <c r="AP6" i="1"/>
  <c r="AX6" i="1"/>
  <c r="AN49" i="1"/>
  <c r="AV49" i="1"/>
  <c r="AP76" i="1"/>
  <c r="AX76" i="1"/>
  <c r="AP135" i="1"/>
  <c r="AX135" i="1"/>
  <c r="AP246" i="1"/>
  <c r="AX246" i="1"/>
  <c r="AQ386" i="1"/>
  <c r="AY386" i="1"/>
  <c r="AP439" i="1"/>
  <c r="AX439" i="1"/>
  <c r="AQ29" i="1"/>
  <c r="AY29" i="1"/>
  <c r="AP71" i="1"/>
  <c r="AX71" i="1"/>
  <c r="AP241" i="1"/>
  <c r="AX241" i="1"/>
  <c r="AN336" i="1"/>
  <c r="AV336" i="1"/>
  <c r="AP382" i="1"/>
  <c r="AX382" i="1"/>
  <c r="AQ461" i="1"/>
  <c r="AY461" i="1"/>
  <c r="AN44" i="1"/>
  <c r="AV44" i="1"/>
  <c r="AQ236" i="1"/>
  <c r="AY236" i="1"/>
  <c r="AN396" i="1"/>
  <c r="AV396" i="1"/>
  <c r="AM476" i="1"/>
  <c r="AU476" i="1"/>
  <c r="AQ39" i="1"/>
  <c r="AY39" i="1"/>
  <c r="AQ115" i="1"/>
  <c r="AY115" i="1"/>
  <c r="AQ60" i="1"/>
  <c r="AY60" i="1"/>
  <c r="AO136" i="1"/>
  <c r="AW136" i="1"/>
  <c r="AP223" i="1"/>
  <c r="AX223" i="1"/>
  <c r="AO17" i="1"/>
  <c r="AW17" i="1"/>
  <c r="AN61" i="1"/>
  <c r="AV61" i="1"/>
  <c r="AQ17" i="1"/>
  <c r="AY17" i="1"/>
  <c r="AQ45" i="1"/>
  <c r="AY45" i="1"/>
  <c r="AO78" i="1"/>
  <c r="AW78" i="1"/>
  <c r="AQ150" i="1"/>
  <c r="AY150" i="1"/>
  <c r="AQ171" i="1"/>
  <c r="AY171" i="1"/>
  <c r="AN243" i="1"/>
  <c r="AV243" i="1"/>
  <c r="AP270" i="1"/>
  <c r="AX270" i="1"/>
  <c r="AN282" i="1"/>
  <c r="AV282" i="1"/>
  <c r="AP379" i="1"/>
  <c r="AX379" i="1"/>
  <c r="AQ31" i="1"/>
  <c r="AY31" i="1"/>
  <c r="AP13" i="1"/>
  <c r="AX13" i="1"/>
  <c r="AN41" i="1"/>
  <c r="AV41" i="1"/>
  <c r="AM83" i="1"/>
  <c r="AU83" i="1"/>
  <c r="AO137" i="1"/>
  <c r="AW137" i="1"/>
  <c r="AQ224" i="1"/>
  <c r="AY224" i="1"/>
  <c r="AO351" i="1"/>
  <c r="AW351" i="1"/>
  <c r="AN9" i="1"/>
  <c r="AV9" i="1"/>
  <c r="AP18" i="1"/>
  <c r="AX18" i="1"/>
  <c r="AP27" i="1"/>
  <c r="AX27" i="1"/>
  <c r="AO32" i="1"/>
  <c r="AW32" i="1"/>
  <c r="AQ36" i="1"/>
  <c r="AY36" i="1"/>
  <c r="AP41" i="1"/>
  <c r="AX41" i="1"/>
  <c r="AQ46" i="1"/>
  <c r="AY46" i="1"/>
  <c r="AN52" i="1"/>
  <c r="AV52" i="1"/>
  <c r="AN57" i="1"/>
  <c r="AV57" i="1"/>
  <c r="AN62" i="1"/>
  <c r="AV62" i="1"/>
  <c r="AN68" i="1"/>
  <c r="AV68" i="1"/>
  <c r="AQ73" i="1"/>
  <c r="AY73" i="1"/>
  <c r="AN79" i="1"/>
  <c r="AV79" i="1"/>
  <c r="AO83" i="1"/>
  <c r="AW83" i="1"/>
  <c r="AQ97" i="1"/>
  <c r="AY97" i="1"/>
  <c r="AP142" i="1"/>
  <c r="AX142" i="1"/>
  <c r="AN147" i="1"/>
  <c r="AV147" i="1"/>
  <c r="AP151" i="1"/>
  <c r="AX151" i="1"/>
  <c r="AN156" i="1"/>
  <c r="AV156" i="1"/>
  <c r="AN162" i="1"/>
  <c r="AV162" i="1"/>
  <c r="AQ173" i="1"/>
  <c r="AY173" i="1"/>
  <c r="AP183" i="1"/>
  <c r="AX183" i="1"/>
  <c r="AN225" i="1"/>
  <c r="AV225" i="1"/>
  <c r="AP229" i="1"/>
  <c r="AX229" i="1"/>
  <c r="AN244" i="1"/>
  <c r="AV244" i="1"/>
  <c r="AN258" i="1"/>
  <c r="AV258" i="1"/>
  <c r="AO271" i="1"/>
  <c r="AW271" i="1"/>
  <c r="AN275" i="1"/>
  <c r="AV275" i="1"/>
  <c r="AP283" i="1"/>
  <c r="AX283" i="1"/>
  <c r="AN294" i="1"/>
  <c r="AV294" i="1"/>
  <c r="AN316" i="1"/>
  <c r="AV316" i="1"/>
  <c r="AO329" i="1"/>
  <c r="AW329" i="1"/>
  <c r="AQ342" i="1"/>
  <c r="AY342" i="1"/>
  <c r="AO347" i="1"/>
  <c r="AW347" i="1"/>
  <c r="AP371" i="1"/>
  <c r="AX371" i="1"/>
  <c r="AO380" i="1"/>
  <c r="AW380" i="1"/>
  <c r="AQ384" i="1"/>
  <c r="AY384" i="1"/>
  <c r="AN389" i="1"/>
  <c r="AV389" i="1"/>
  <c r="AN420" i="1"/>
  <c r="AV420" i="1"/>
  <c r="AN433" i="1"/>
  <c r="AV433" i="1"/>
  <c r="AP437" i="1"/>
  <c r="AX437" i="1"/>
  <c r="AO446" i="1"/>
  <c r="AW446" i="1"/>
  <c r="AQ450" i="1"/>
  <c r="AY450" i="1"/>
  <c r="AN455" i="1"/>
  <c r="AV455" i="1"/>
  <c r="AP459" i="1"/>
  <c r="AX459" i="1"/>
  <c r="AO468" i="1"/>
  <c r="AW468" i="1"/>
  <c r="AM473" i="1"/>
  <c r="AU473" i="1"/>
  <c r="AO494" i="1"/>
  <c r="AW494" i="1"/>
  <c r="AP499" i="1"/>
  <c r="AX499" i="1"/>
  <c r="AO521" i="1"/>
  <c r="AW521" i="1"/>
  <c r="AP538" i="1"/>
  <c r="AX538" i="1"/>
  <c r="AP75" i="1"/>
  <c r="AX75" i="1"/>
  <c r="AQ230" i="1"/>
  <c r="AY230" i="1"/>
  <c r="AP29" i="1"/>
  <c r="AX29" i="1"/>
  <c r="AP153" i="1"/>
  <c r="AX153" i="1"/>
  <c r="AP496" i="1"/>
  <c r="AX496" i="1"/>
  <c r="AN16" i="1"/>
  <c r="AV16" i="1"/>
  <c r="AQ85" i="1"/>
  <c r="AY85" i="1"/>
  <c r="AO227" i="1"/>
  <c r="AW227" i="1"/>
  <c r="AN378" i="1"/>
  <c r="AV378" i="1"/>
  <c r="AQ439" i="1"/>
  <c r="AY439" i="1"/>
  <c r="AP39" i="1"/>
  <c r="AX39" i="1"/>
  <c r="AP92" i="1"/>
  <c r="AX92" i="1"/>
  <c r="AP227" i="1"/>
  <c r="AX227" i="1"/>
  <c r="AQ448" i="1"/>
  <c r="AY448" i="1"/>
  <c r="AN12" i="1"/>
  <c r="AV12" i="1"/>
  <c r="AN86" i="1"/>
  <c r="AV86" i="1"/>
  <c r="AO223" i="1"/>
  <c r="AW223" i="1"/>
  <c r="AO453" i="1"/>
  <c r="AW453" i="1"/>
  <c r="AN50" i="1"/>
  <c r="AV50" i="1"/>
  <c r="AO40" i="1"/>
  <c r="AW40" i="1"/>
  <c r="AQ94" i="1"/>
  <c r="AY94" i="1"/>
  <c r="AN22" i="1"/>
  <c r="AV22" i="1"/>
  <c r="AQ40" i="1"/>
  <c r="AY40" i="1"/>
  <c r="AO56" i="1"/>
  <c r="AW56" i="1"/>
  <c r="AP66" i="1"/>
  <c r="AX66" i="1"/>
  <c r="AQ82" i="1"/>
  <c r="AY82" i="1"/>
  <c r="AO146" i="1"/>
  <c r="AW146" i="1"/>
  <c r="AQ228" i="1"/>
  <c r="AY228" i="1"/>
  <c r="AO278" i="1"/>
  <c r="AW278" i="1"/>
  <c r="AP346" i="1"/>
  <c r="AX346" i="1"/>
  <c r="AQ436" i="1"/>
  <c r="AY436" i="1"/>
  <c r="AP445" i="1"/>
  <c r="AX445" i="1"/>
  <c r="AN463" i="1"/>
  <c r="AV463" i="1"/>
  <c r="AP485" i="1"/>
  <c r="AX485" i="1"/>
  <c r="AP8" i="1"/>
  <c r="AX8" i="1"/>
  <c r="AO22" i="1"/>
  <c r="AW22" i="1"/>
  <c r="AN27" i="1"/>
  <c r="AV27" i="1"/>
  <c r="AN96" i="1"/>
  <c r="AV96" i="1"/>
  <c r="AO9" i="1"/>
  <c r="AW9" i="1"/>
  <c r="AN14" i="1"/>
  <c r="AV14" i="1"/>
  <c r="AQ18" i="1"/>
  <c r="AY18" i="1"/>
  <c r="AN23" i="1"/>
  <c r="AV23" i="1"/>
  <c r="AQ27" i="1"/>
  <c r="AY27" i="1"/>
  <c r="AP32" i="1"/>
  <c r="AX32" i="1"/>
  <c r="AQ41" i="1"/>
  <c r="AY41" i="1"/>
  <c r="AO52" i="1"/>
  <c r="AW52" i="1"/>
  <c r="AO57" i="1"/>
  <c r="AW57" i="1"/>
  <c r="AP62" i="1"/>
  <c r="AX62" i="1"/>
  <c r="AO68" i="1"/>
  <c r="AW68" i="1"/>
  <c r="AO79" i="1"/>
  <c r="AW79" i="1"/>
  <c r="AQ83" i="1"/>
  <c r="AY83" i="1"/>
  <c r="AN88" i="1"/>
  <c r="AV88" i="1"/>
  <c r="AQ120" i="1"/>
  <c r="AY120" i="1"/>
  <c r="AQ131" i="1"/>
  <c r="AY131" i="1"/>
  <c r="AN138" i="1"/>
  <c r="AV138" i="1"/>
  <c r="AO147" i="1"/>
  <c r="AW147" i="1"/>
  <c r="AQ151" i="1"/>
  <c r="AY151" i="1"/>
  <c r="AO156" i="1"/>
  <c r="AW156" i="1"/>
  <c r="AQ183" i="1"/>
  <c r="AY183" i="1"/>
  <c r="AN188" i="1"/>
  <c r="AV188" i="1"/>
  <c r="AO225" i="1"/>
  <c r="AW225" i="1"/>
  <c r="AQ229" i="1"/>
  <c r="AY229" i="1"/>
  <c r="AN234" i="1"/>
  <c r="AV234" i="1"/>
  <c r="AO244" i="1"/>
  <c r="AW244" i="1"/>
  <c r="AN249" i="1"/>
  <c r="AV249" i="1"/>
  <c r="AP258" i="1"/>
  <c r="AX258" i="1"/>
  <c r="AP271" i="1"/>
  <c r="AX271" i="1"/>
  <c r="AO275" i="1"/>
  <c r="AW275" i="1"/>
  <c r="AN279" i="1"/>
  <c r="AV279" i="1"/>
  <c r="AN317" i="1"/>
  <c r="AV317" i="1"/>
  <c r="AN329" i="1"/>
  <c r="AV329" i="1"/>
  <c r="AN334" i="1"/>
  <c r="AV334" i="1"/>
  <c r="AQ338" i="1"/>
  <c r="AY338" i="1"/>
  <c r="AP347" i="1"/>
  <c r="AX347" i="1"/>
  <c r="AN352" i="1"/>
  <c r="AV352" i="1"/>
  <c r="AQ371" i="1"/>
  <c r="AY371" i="1"/>
  <c r="AN376" i="1"/>
  <c r="AV376" i="1"/>
  <c r="AP380" i="1"/>
  <c r="AX380" i="1"/>
  <c r="AP420" i="1"/>
  <c r="AX420" i="1"/>
  <c r="AO433" i="1"/>
  <c r="AW433" i="1"/>
  <c r="AQ437" i="1"/>
  <c r="AY437" i="1"/>
  <c r="AN442" i="1"/>
  <c r="AV442" i="1"/>
  <c r="AP446" i="1"/>
  <c r="AX446" i="1"/>
  <c r="AO455" i="1"/>
  <c r="AW455" i="1"/>
  <c r="AQ459" i="1"/>
  <c r="AY459" i="1"/>
  <c r="AN464" i="1"/>
  <c r="AV464" i="1"/>
  <c r="AP468" i="1"/>
  <c r="AX468" i="1"/>
  <c r="AQ487" i="1"/>
  <c r="AY487" i="1"/>
  <c r="AN494" i="1"/>
  <c r="AV494" i="1"/>
  <c r="AQ499" i="1"/>
  <c r="AY499" i="1"/>
  <c r="AO514" i="1"/>
  <c r="AW514" i="1"/>
  <c r="AN517" i="1"/>
  <c r="AV517" i="1"/>
  <c r="AP521" i="1"/>
  <c r="AX521" i="1"/>
  <c r="AQ538" i="1"/>
  <c r="AY538" i="1"/>
  <c r="AN134" i="1"/>
  <c r="AV134" i="1"/>
  <c r="AO11" i="1"/>
  <c r="AW11" i="1"/>
  <c r="AQ54" i="1"/>
  <c r="AY54" i="1"/>
  <c r="AQ20" i="1"/>
  <c r="AY20" i="1"/>
  <c r="AO81" i="1"/>
  <c r="AW81" i="1"/>
  <c r="AQ231" i="1"/>
  <c r="AY231" i="1"/>
  <c r="AO286" i="1"/>
  <c r="AW286" i="1"/>
  <c r="AN340" i="1"/>
  <c r="AV340" i="1"/>
  <c r="AP448" i="1"/>
  <c r="AX448" i="1"/>
  <c r="AN482" i="1"/>
  <c r="AV482" i="1"/>
  <c r="AP16" i="1"/>
  <c r="AX16" i="1"/>
  <c r="AO179" i="1"/>
  <c r="AW179" i="1"/>
  <c r="AO336" i="1"/>
  <c r="AW336" i="1"/>
  <c r="AP65" i="1"/>
  <c r="AX65" i="1"/>
  <c r="AO145" i="1"/>
  <c r="AW145" i="1"/>
  <c r="AO154" i="1"/>
  <c r="AW154" i="1"/>
  <c r="AO277" i="1"/>
  <c r="AW277" i="1"/>
  <c r="AQ340" i="1"/>
  <c r="AY340" i="1"/>
  <c r="AN374" i="1"/>
  <c r="AV374" i="1"/>
  <c r="AQ457" i="1"/>
  <c r="AY457" i="1"/>
  <c r="AP519" i="1"/>
  <c r="AX519" i="1"/>
  <c r="AO77" i="1"/>
  <c r="AW77" i="1"/>
  <c r="AQ261" i="1"/>
  <c r="AY261" i="1"/>
  <c r="AQ50" i="1"/>
  <c r="AY50" i="1"/>
  <c r="AM78" i="1"/>
  <c r="AU78" i="1"/>
  <c r="AN141" i="1"/>
  <c r="AV141" i="1"/>
  <c r="AQ26" i="1"/>
  <c r="AY26" i="1"/>
  <c r="AP141" i="1"/>
  <c r="AX141" i="1"/>
  <c r="AN333" i="1"/>
  <c r="AV333" i="1"/>
  <c r="AP9" i="1"/>
  <c r="AX9" i="1"/>
  <c r="AN37" i="1"/>
  <c r="AV37" i="1"/>
  <c r="AQ52" i="1"/>
  <c r="AY52" i="1"/>
  <c r="AP68" i="1"/>
  <c r="AX68" i="1"/>
  <c r="AO88" i="1"/>
  <c r="AW88" i="1"/>
  <c r="AN143" i="1"/>
  <c r="AV143" i="1"/>
  <c r="AQ163" i="1"/>
  <c r="AY163" i="1"/>
  <c r="AO188" i="1"/>
  <c r="AW188" i="1"/>
  <c r="AP234" i="1"/>
  <c r="AX234" i="1"/>
  <c r="AQ258" i="1"/>
  <c r="AY258" i="1"/>
  <c r="AN284" i="1"/>
  <c r="AV284" i="1"/>
  <c r="AP329" i="1"/>
  <c r="AX329" i="1"/>
  <c r="AO376" i="1"/>
  <c r="AW376" i="1"/>
  <c r="AQ420" i="1"/>
  <c r="AY420" i="1"/>
  <c r="AO442" i="1"/>
  <c r="AW442" i="1"/>
  <c r="AN451" i="1"/>
  <c r="AV451" i="1"/>
  <c r="AO464" i="1"/>
  <c r="AW464" i="1"/>
  <c r="AQ468" i="1"/>
  <c r="AY468" i="1"/>
  <c r="AP494" i="1"/>
  <c r="AX494" i="1"/>
  <c r="AO4" i="1"/>
  <c r="AW4" i="1"/>
  <c r="AQ9" i="1"/>
  <c r="AY9" i="1"/>
  <c r="AP14" i="1"/>
  <c r="AX14" i="1"/>
  <c r="AN19" i="1"/>
  <c r="AV19" i="1"/>
  <c r="AQ23" i="1"/>
  <c r="AY23" i="1"/>
  <c r="AN28" i="1"/>
  <c r="AV28" i="1"/>
  <c r="AP37" i="1"/>
  <c r="AX37" i="1"/>
  <c r="AO47" i="1"/>
  <c r="AW47" i="1"/>
  <c r="AO53" i="1"/>
  <c r="AW53" i="1"/>
  <c r="AO74" i="1"/>
  <c r="AW74" i="1"/>
  <c r="AQ79" i="1"/>
  <c r="AY79" i="1"/>
  <c r="AN84" i="1"/>
  <c r="AV84" i="1"/>
  <c r="AP88" i="1"/>
  <c r="AX88" i="1"/>
  <c r="AQ121" i="1"/>
  <c r="AY121" i="1"/>
  <c r="AP138" i="1"/>
  <c r="AX138" i="1"/>
  <c r="AO143" i="1"/>
  <c r="AW143" i="1"/>
  <c r="AQ147" i="1"/>
  <c r="AY147" i="1"/>
  <c r="AN152" i="1"/>
  <c r="AV152" i="1"/>
  <c r="AQ156" i="1"/>
  <c r="AY156" i="1"/>
  <c r="AN184" i="1"/>
  <c r="AV184" i="1"/>
  <c r="AP188" i="1"/>
  <c r="AX188" i="1"/>
  <c r="AO221" i="1"/>
  <c r="AW221" i="1"/>
  <c r="AQ225" i="1"/>
  <c r="AY225" i="1"/>
  <c r="AN230" i="1"/>
  <c r="AV230" i="1"/>
  <c r="AQ234" i="1"/>
  <c r="AY234" i="1"/>
  <c r="AP239" i="1"/>
  <c r="AX239" i="1"/>
  <c r="AQ244" i="1"/>
  <c r="AY244" i="1"/>
  <c r="AQ249" i="1"/>
  <c r="AY249" i="1"/>
  <c r="AP254" i="1"/>
  <c r="AX254" i="1"/>
  <c r="AP279" i="1"/>
  <c r="AX279" i="1"/>
  <c r="AP284" i="1"/>
  <c r="AX284" i="1"/>
  <c r="AQ319" i="1"/>
  <c r="AY319" i="1"/>
  <c r="AN330" i="1"/>
  <c r="AV330" i="1"/>
  <c r="AP334" i="1"/>
  <c r="AX334" i="1"/>
  <c r="AP338" i="1"/>
  <c r="AX338" i="1"/>
  <c r="AO343" i="1"/>
  <c r="AW343" i="1"/>
  <c r="AP352" i="1"/>
  <c r="AX352" i="1"/>
  <c r="AN372" i="1"/>
  <c r="AV372" i="1"/>
  <c r="AP376" i="1"/>
  <c r="AX376" i="1"/>
  <c r="AO385" i="1"/>
  <c r="AW385" i="1"/>
  <c r="AN399" i="1"/>
  <c r="AV399" i="1"/>
  <c r="AO421" i="1"/>
  <c r="AW421" i="1"/>
  <c r="AO429" i="1"/>
  <c r="AW429" i="1"/>
  <c r="AQ433" i="1"/>
  <c r="AY433" i="1"/>
  <c r="AN438" i="1"/>
  <c r="AV438" i="1"/>
  <c r="AP442" i="1"/>
  <c r="AX442" i="1"/>
  <c r="AO451" i="1"/>
  <c r="AW451" i="1"/>
  <c r="AQ455" i="1"/>
  <c r="AY455" i="1"/>
  <c r="AN460" i="1"/>
  <c r="AV460" i="1"/>
  <c r="AP464" i="1"/>
  <c r="AX464" i="1"/>
  <c r="AQ494" i="1"/>
  <c r="AY494" i="1"/>
  <c r="AN503" i="1"/>
  <c r="AV503" i="1"/>
  <c r="AP517" i="1"/>
  <c r="AX517" i="1"/>
  <c r="AN539" i="1"/>
  <c r="AV539" i="1"/>
  <c r="AP69" i="1"/>
  <c r="AX69" i="1"/>
  <c r="AO226" i="1"/>
  <c r="AW226" i="1"/>
  <c r="AP85" i="1"/>
  <c r="AX85" i="1"/>
  <c r="AO382" i="1"/>
  <c r="AW382" i="1"/>
  <c r="AP11" i="1"/>
  <c r="AX11" i="1"/>
  <c r="AO39" i="1"/>
  <c r="AW39" i="1"/>
  <c r="AP158" i="1"/>
  <c r="AX158" i="1"/>
  <c r="AP236" i="1"/>
  <c r="AX236" i="1"/>
  <c r="AN273" i="1"/>
  <c r="AV273" i="1"/>
  <c r="AQ326" i="1"/>
  <c r="AY326" i="1"/>
  <c r="AO369" i="1"/>
  <c r="AW369" i="1"/>
  <c r="AN444" i="1"/>
  <c r="AV444" i="1"/>
  <c r="AN466" i="1"/>
  <c r="AV466" i="1"/>
  <c r="AP523" i="1"/>
  <c r="AX523" i="1"/>
  <c r="AP81" i="1"/>
  <c r="AX81" i="1"/>
  <c r="AP354" i="1"/>
  <c r="AX354" i="1"/>
  <c r="AO466" i="1"/>
  <c r="AW466" i="1"/>
  <c r="AQ16" i="1"/>
  <c r="AY16" i="1"/>
  <c r="AN55" i="1"/>
  <c r="AV55" i="1"/>
  <c r="AQ81" i="1"/>
  <c r="AY81" i="1"/>
  <c r="AO140" i="1"/>
  <c r="AW140" i="1"/>
  <c r="AN232" i="1"/>
  <c r="AV232" i="1"/>
  <c r="AP261" i="1"/>
  <c r="AX261" i="1"/>
  <c r="AN281" i="1"/>
  <c r="AV281" i="1"/>
  <c r="AP332" i="1"/>
  <c r="AX332" i="1"/>
  <c r="AN350" i="1"/>
  <c r="AV350" i="1"/>
  <c r="AQ435" i="1"/>
  <c r="AY435" i="1"/>
  <c r="AP483" i="1"/>
  <c r="AX483" i="1"/>
  <c r="AO86" i="1"/>
  <c r="AW86" i="1"/>
  <c r="AP256" i="1"/>
  <c r="AX256" i="1"/>
  <c r="AQ12" i="1"/>
  <c r="AY12" i="1"/>
  <c r="AN45" i="1"/>
  <c r="AV45" i="1"/>
  <c r="AQ105" i="1"/>
  <c r="AY105" i="1"/>
  <c r="AQ159" i="1"/>
  <c r="AY159" i="1"/>
  <c r="AN13" i="1"/>
  <c r="AV13" i="1"/>
  <c r="AQ106" i="1"/>
  <c r="AY106" i="1"/>
  <c r="AN337" i="1"/>
  <c r="AV337" i="1"/>
  <c r="AN4" i="1"/>
  <c r="AV4" i="1"/>
  <c r="AO14" i="1"/>
  <c r="AW14" i="1"/>
  <c r="AP23" i="1"/>
  <c r="AX23" i="1"/>
  <c r="AQ32" i="1"/>
  <c r="AY32" i="1"/>
  <c r="AN47" i="1"/>
  <c r="AV47" i="1"/>
  <c r="AQ62" i="1"/>
  <c r="AY62" i="1"/>
  <c r="AP79" i="1"/>
  <c r="AX79" i="1"/>
  <c r="AQ109" i="1"/>
  <c r="AY109" i="1"/>
  <c r="AP225" i="1"/>
  <c r="AX225" i="1"/>
  <c r="AP244" i="1"/>
  <c r="AX244" i="1"/>
  <c r="AQ275" i="1"/>
  <c r="AY275" i="1"/>
  <c r="AO318" i="1"/>
  <c r="AW318" i="1"/>
  <c r="AN338" i="1"/>
  <c r="AV338" i="1"/>
  <c r="AN343" i="1"/>
  <c r="AV343" i="1"/>
  <c r="AO352" i="1"/>
  <c r="AW352" i="1"/>
  <c r="AQ380" i="1"/>
  <c r="AY380" i="1"/>
  <c r="AN385" i="1"/>
  <c r="AV385" i="1"/>
  <c r="AN429" i="1"/>
  <c r="AV429" i="1"/>
  <c r="AQ446" i="1"/>
  <c r="AY446" i="1"/>
  <c r="AO517" i="1"/>
  <c r="AW517" i="1"/>
  <c r="AP4" i="1"/>
  <c r="AX4" i="1"/>
  <c r="AQ14" i="1"/>
  <c r="AY14" i="1"/>
  <c r="AO19" i="1"/>
  <c r="AW19" i="1"/>
  <c r="AO28" i="1"/>
  <c r="AW28" i="1"/>
  <c r="AN33" i="1"/>
  <c r="AV33" i="1"/>
  <c r="AP47" i="1"/>
  <c r="AX47" i="1"/>
  <c r="AN58" i="1"/>
  <c r="AV58" i="1"/>
  <c r="AN63" i="1"/>
  <c r="AV63" i="1"/>
  <c r="AN69" i="1"/>
  <c r="AV69" i="1"/>
  <c r="AP74" i="1"/>
  <c r="AX74" i="1"/>
  <c r="AM80" i="1"/>
  <c r="AU80" i="1"/>
  <c r="AQ88" i="1"/>
  <c r="AY88" i="1"/>
  <c r="AN110" i="1"/>
  <c r="AV110" i="1"/>
  <c r="AQ138" i="1"/>
  <c r="AY138" i="1"/>
  <c r="AP143" i="1"/>
  <c r="AX143" i="1"/>
  <c r="AO152" i="1"/>
  <c r="AW152" i="1"/>
  <c r="AP175" i="1"/>
  <c r="AX175" i="1"/>
  <c r="AO184" i="1"/>
  <c r="AW184" i="1"/>
  <c r="AQ188" i="1"/>
  <c r="AY188" i="1"/>
  <c r="AP221" i="1"/>
  <c r="AX221" i="1"/>
  <c r="AO230" i="1"/>
  <c r="AW230" i="1"/>
  <c r="AQ239" i="1"/>
  <c r="AY239" i="1"/>
  <c r="AQ254" i="1"/>
  <c r="AY254" i="1"/>
  <c r="AN259" i="1"/>
  <c r="AV259" i="1"/>
  <c r="AN267" i="1"/>
  <c r="AV267" i="1"/>
  <c r="AQ279" i="1"/>
  <c r="AY279" i="1"/>
  <c r="AQ284" i="1"/>
  <c r="AY284" i="1"/>
  <c r="AO330" i="1"/>
  <c r="AW330" i="1"/>
  <c r="AP343" i="1"/>
  <c r="AX343" i="1"/>
  <c r="AN348" i="1"/>
  <c r="AV348" i="1"/>
  <c r="AO372" i="1"/>
  <c r="AW372" i="1"/>
  <c r="AQ376" i="1"/>
  <c r="AY376" i="1"/>
  <c r="AN381" i="1"/>
  <c r="AV381" i="1"/>
  <c r="AP385" i="1"/>
  <c r="AX385" i="1"/>
  <c r="AN390" i="1"/>
  <c r="AV390" i="1"/>
  <c r="AP421" i="1"/>
  <c r="AX421" i="1"/>
  <c r="AP429" i="1"/>
  <c r="AX429" i="1"/>
  <c r="AO438" i="1"/>
  <c r="AW438" i="1"/>
  <c r="AQ442" i="1"/>
  <c r="AY442" i="1"/>
  <c r="AN447" i="1"/>
  <c r="AV447" i="1"/>
  <c r="AP451" i="1"/>
  <c r="AX451" i="1"/>
  <c r="AO460" i="1"/>
  <c r="AW460" i="1"/>
  <c r="AQ464" i="1"/>
  <c r="AY464" i="1"/>
  <c r="AM474" i="1"/>
  <c r="AU474" i="1"/>
  <c r="AQ488" i="1"/>
  <c r="AY488" i="1"/>
  <c r="AP495" i="1"/>
  <c r="AX495" i="1"/>
  <c r="AQ517" i="1"/>
  <c r="AY517" i="1"/>
  <c r="AN522" i="1"/>
  <c r="AV522" i="1"/>
  <c r="AO539" i="1"/>
  <c r="AW539" i="1"/>
  <c r="AQ53" i="1"/>
  <c r="AY53" i="1"/>
  <c r="AN139" i="1"/>
  <c r="AV139" i="1"/>
  <c r="AN25" i="1"/>
  <c r="AV25" i="1"/>
  <c r="AN71" i="1"/>
  <c r="AV71" i="1"/>
  <c r="AN149" i="1"/>
  <c r="AV149" i="1"/>
  <c r="AP185" i="1"/>
  <c r="AX185" i="1"/>
  <c r="AP231" i="1"/>
  <c r="AX231" i="1"/>
  <c r="AQ255" i="1"/>
  <c r="AY255" i="1"/>
  <c r="AN369" i="1"/>
  <c r="AV369" i="1"/>
  <c r="AN435" i="1"/>
  <c r="AV435" i="1"/>
  <c r="AP461" i="1"/>
  <c r="AX461" i="1"/>
  <c r="AO523" i="1"/>
  <c r="AW523" i="1"/>
  <c r="AQ246" i="1"/>
  <c r="AY246" i="1"/>
  <c r="AO345" i="1"/>
  <c r="AW345" i="1"/>
  <c r="AO435" i="1"/>
  <c r="AW435" i="1"/>
  <c r="AQ34" i="1"/>
  <c r="AY34" i="1"/>
  <c r="AN256" i="1"/>
  <c r="AV256" i="1"/>
  <c r="AO378" i="1"/>
  <c r="AW378" i="1"/>
  <c r="AN504" i="1"/>
  <c r="AV504" i="1"/>
  <c r="AP60" i="1"/>
  <c r="AX60" i="1"/>
  <c r="AQ149" i="1"/>
  <c r="AY149" i="1"/>
  <c r="AN247" i="1"/>
  <c r="AV247" i="1"/>
  <c r="AQ369" i="1"/>
  <c r="AY369" i="1"/>
  <c r="AN440" i="1"/>
  <c r="AV440" i="1"/>
  <c r="AN462" i="1"/>
  <c r="AV462" i="1"/>
  <c r="AN497" i="1"/>
  <c r="AV497" i="1"/>
  <c r="AO72" i="1"/>
  <c r="AW72" i="1"/>
  <c r="AN242" i="1"/>
  <c r="AV242" i="1"/>
  <c r="AQ7" i="1"/>
  <c r="AY7" i="1"/>
  <c r="AP35" i="1"/>
  <c r="AX35" i="1"/>
  <c r="AP57" i="1"/>
  <c r="AX57" i="1"/>
  <c r="AN74" i="1"/>
  <c r="AV74" i="1"/>
  <c r="AO138" i="1"/>
  <c r="AW138" i="1"/>
  <c r="AP147" i="1"/>
  <c r="AX147" i="1"/>
  <c r="AP156" i="1"/>
  <c r="AX156" i="1"/>
  <c r="AN221" i="1"/>
  <c r="AV221" i="1"/>
  <c r="AN239" i="1"/>
  <c r="AV239" i="1"/>
  <c r="AP249" i="1"/>
  <c r="AX249" i="1"/>
  <c r="AN254" i="1"/>
  <c r="AV254" i="1"/>
  <c r="AQ271" i="1"/>
  <c r="AY271" i="1"/>
  <c r="AO279" i="1"/>
  <c r="AW279" i="1"/>
  <c r="AO334" i="1"/>
  <c r="AW334" i="1"/>
  <c r="AQ347" i="1"/>
  <c r="AY347" i="1"/>
  <c r="AN394" i="1"/>
  <c r="AV394" i="1"/>
  <c r="AP433" i="1"/>
  <c r="AX433" i="1"/>
  <c r="AP455" i="1"/>
  <c r="AX455" i="1"/>
  <c r="AM479" i="1"/>
  <c r="AU479" i="1"/>
  <c r="AQ521" i="1"/>
  <c r="AY521" i="1"/>
  <c r="AQ37" i="1"/>
  <c r="AY37" i="1"/>
  <c r="AN53" i="1"/>
  <c r="AV53" i="1"/>
  <c r="AO84" i="1"/>
  <c r="AW84" i="1"/>
  <c r="AQ4" i="1"/>
  <c r="AY4" i="1"/>
  <c r="AN10" i="1"/>
  <c r="AV10" i="1"/>
  <c r="AP19" i="1"/>
  <c r="AX19" i="1"/>
  <c r="AN24" i="1"/>
  <c r="AV24" i="1"/>
  <c r="AP28" i="1"/>
  <c r="AX28" i="1"/>
  <c r="AO33" i="1"/>
  <c r="AW33" i="1"/>
  <c r="AN42" i="1"/>
  <c r="AV42" i="1"/>
  <c r="AP53" i="1"/>
  <c r="AX53" i="1"/>
  <c r="AO58" i="1"/>
  <c r="AW58" i="1"/>
  <c r="AO63" i="1"/>
  <c r="AW63" i="1"/>
  <c r="AO69" i="1"/>
  <c r="AW69" i="1"/>
  <c r="AN75" i="1"/>
  <c r="AV75" i="1"/>
  <c r="AN80" i="1"/>
  <c r="AV80" i="1"/>
  <c r="AP84" i="1"/>
  <c r="AX84" i="1"/>
  <c r="AN111" i="1"/>
  <c r="AV111" i="1"/>
  <c r="AN122" i="1"/>
  <c r="AV122" i="1"/>
  <c r="AQ143" i="1"/>
  <c r="AY143" i="1"/>
  <c r="AN148" i="1"/>
  <c r="AV148" i="1"/>
  <c r="AP152" i="1"/>
  <c r="AX152" i="1"/>
  <c r="AN157" i="1"/>
  <c r="AV157" i="1"/>
  <c r="AP184" i="1"/>
  <c r="AX184" i="1"/>
  <c r="AQ221" i="1"/>
  <c r="AY221" i="1"/>
  <c r="AN226" i="1"/>
  <c r="AV226" i="1"/>
  <c r="AP230" i="1"/>
  <c r="AX230" i="1"/>
  <c r="AN245" i="1"/>
  <c r="AV245" i="1"/>
  <c r="AN250" i="1"/>
  <c r="AV250" i="1"/>
  <c r="AP259" i="1"/>
  <c r="AX259" i="1"/>
  <c r="AN272" i="1"/>
  <c r="AV272" i="1"/>
  <c r="AP321" i="1"/>
  <c r="AX321" i="1"/>
  <c r="AP330" i="1"/>
  <c r="AX330" i="1"/>
  <c r="AO348" i="1"/>
  <c r="AW348" i="1"/>
  <c r="AN353" i="1"/>
  <c r="AV353" i="1"/>
  <c r="AN368" i="1"/>
  <c r="AV368" i="1"/>
  <c r="AP372" i="1"/>
  <c r="AX372" i="1"/>
  <c r="AO381" i="1"/>
  <c r="AW381" i="1"/>
  <c r="AQ385" i="1"/>
  <c r="AY385" i="1"/>
  <c r="AQ421" i="1"/>
  <c r="AY421" i="1"/>
  <c r="AQ429" i="1"/>
  <c r="AY429" i="1"/>
  <c r="AN434" i="1"/>
  <c r="AV434" i="1"/>
  <c r="AP438" i="1"/>
  <c r="AX438" i="1"/>
  <c r="AO447" i="1"/>
  <c r="AW447" i="1"/>
  <c r="AQ451" i="1"/>
  <c r="AY451" i="1"/>
  <c r="AN456" i="1"/>
  <c r="AV456" i="1"/>
  <c r="AP460" i="1"/>
  <c r="AX460" i="1"/>
  <c r="AN495" i="1"/>
  <c r="AV495" i="1"/>
  <c r="AO522" i="1"/>
  <c r="AW522" i="1"/>
  <c r="AP539" i="1"/>
  <c r="AX539" i="1"/>
  <c r="AM543" i="1"/>
  <c r="AU546" i="1"/>
  <c r="AU547" i="1"/>
  <c r="AP545" i="1"/>
  <c r="AO543" i="1"/>
  <c r="AU545" i="1"/>
  <c r="AO544" i="1"/>
  <c r="AP547" i="1"/>
  <c r="AO546" i="1"/>
  <c r="AU548" i="1"/>
  <c r="AU544" i="1"/>
  <c r="AX481" i="1"/>
  <c r="Q39" i="3"/>
  <c r="Q13" i="3"/>
  <c r="I27" i="5"/>
  <c r="M19" i="5"/>
  <c r="M27" i="5" s="1"/>
  <c r="Z88" i="3"/>
  <c r="Z75" i="3"/>
  <c r="Z59" i="3"/>
  <c r="Z27" i="3"/>
  <c r="Z91" i="3"/>
  <c r="Z62" i="3"/>
  <c r="Z30" i="3"/>
  <c r="Z17" i="3"/>
  <c r="Z6" i="3"/>
  <c r="Z94" i="3"/>
  <c r="Z65" i="3"/>
  <c r="Z49" i="3"/>
  <c r="Z33" i="3"/>
  <c r="Z14" i="3"/>
  <c r="Z9" i="3"/>
  <c r="Z78" i="3"/>
  <c r="Z39" i="3"/>
  <c r="Z23" i="3"/>
  <c r="Z81" i="3"/>
  <c r="Z52" i="3"/>
  <c r="Z42" i="3"/>
  <c r="Z84" i="3"/>
  <c r="Z71" i="3"/>
  <c r="Z55" i="3"/>
  <c r="Z45" i="3"/>
  <c r="Z83" i="3"/>
  <c r="Z79" i="3"/>
  <c r="Z74" i="3"/>
  <c r="Z32" i="3"/>
  <c r="Z24" i="3"/>
  <c r="Z70" i="3"/>
  <c r="Z28" i="3"/>
  <c r="Z95" i="3"/>
  <c r="Z61" i="3"/>
  <c r="Z36" i="3"/>
  <c r="Z19" i="3"/>
  <c r="Z85" i="3"/>
  <c r="Z56" i="3"/>
  <c r="Z60" i="3"/>
  <c r="Z18" i="3"/>
  <c r="Z41" i="3"/>
  <c r="Z89" i="3"/>
  <c r="Z64" i="3"/>
  <c r="Z37" i="3"/>
  <c r="Z93" i="3"/>
  <c r="Z46" i="3"/>
  <c r="Z22" i="3"/>
  <c r="Z69" i="3"/>
  <c r="Z50" i="3"/>
  <c r="Z13" i="3"/>
  <c r="Z10" i="3"/>
  <c r="Z12" i="3"/>
  <c r="Z68" i="3"/>
  <c r="Z63" i="3"/>
  <c r="Z57" i="3"/>
  <c r="Z51" i="3"/>
  <c r="Z34" i="3"/>
  <c r="Z21" i="3"/>
  <c r="Z82" i="3"/>
  <c r="Z76" i="3"/>
  <c r="Z15" i="3"/>
  <c r="Z11" i="3"/>
  <c r="Z7" i="3"/>
  <c r="Z92" i="3"/>
  <c r="Z77" i="3"/>
  <c r="Z67" i="3"/>
  <c r="Z43" i="3"/>
  <c r="Z20" i="3"/>
  <c r="Z8" i="3"/>
  <c r="Z29" i="3"/>
  <c r="Z58" i="3"/>
  <c r="Z35" i="3"/>
  <c r="Z73" i="3"/>
  <c r="R96" i="3"/>
  <c r="Q65" i="3" s="1"/>
  <c r="Q63" i="3"/>
  <c r="J20" i="4"/>
  <c r="X82" i="3"/>
  <c r="X69" i="3"/>
  <c r="X53" i="3"/>
  <c r="X43" i="3"/>
  <c r="X85" i="3"/>
  <c r="X72" i="3"/>
  <c r="X56" i="3"/>
  <c r="X46" i="3"/>
  <c r="X12" i="3"/>
  <c r="X88" i="3"/>
  <c r="X75" i="3"/>
  <c r="X59" i="3"/>
  <c r="X27" i="3"/>
  <c r="X94" i="3"/>
  <c r="X65" i="3"/>
  <c r="X49" i="3"/>
  <c r="X33" i="3"/>
  <c r="X14" i="3"/>
  <c r="X9" i="3"/>
  <c r="X68" i="3"/>
  <c r="X36" i="3"/>
  <c r="X20" i="3"/>
  <c r="X78" i="3"/>
  <c r="X39" i="3"/>
  <c r="X23" i="3"/>
  <c r="X87" i="3"/>
  <c r="X66" i="3"/>
  <c r="X5" i="3"/>
  <c r="X91" i="3"/>
  <c r="X83" i="3"/>
  <c r="X79" i="3"/>
  <c r="X74" i="3"/>
  <c r="X32" i="3"/>
  <c r="X24" i="3"/>
  <c r="X70" i="3"/>
  <c r="X51" i="3"/>
  <c r="X28" i="3"/>
  <c r="X80" i="3"/>
  <c r="X7" i="3"/>
  <c r="X60" i="3"/>
  <c r="X18" i="3"/>
  <c r="X89" i="3"/>
  <c r="X84" i="3"/>
  <c r="X64" i="3"/>
  <c r="X55" i="3"/>
  <c r="X37" i="3"/>
  <c r="X93" i="3"/>
  <c r="X41" i="3"/>
  <c r="X22" i="3"/>
  <c r="X6" i="3"/>
  <c r="X77" i="3"/>
  <c r="X71" i="3"/>
  <c r="X58" i="3"/>
  <c r="X52" i="3"/>
  <c r="X40" i="3"/>
  <c r="X29" i="3"/>
  <c r="X16" i="3"/>
  <c r="X95" i="3"/>
  <c r="X76" i="3"/>
  <c r="X45" i="3"/>
  <c r="X63" i="3"/>
  <c r="X57" i="3"/>
  <c r="X34" i="3"/>
  <c r="X44" i="3"/>
  <c r="X30" i="3"/>
  <c r="X13" i="3"/>
  <c r="X92" i="3"/>
  <c r="X67" i="3"/>
  <c r="X50" i="3"/>
  <c r="X21" i="3"/>
  <c r="Z26" i="3"/>
  <c r="Z66" i="3"/>
  <c r="X38" i="3"/>
  <c r="Z47" i="3"/>
  <c r="Q83" i="3"/>
  <c r="Q34" i="3"/>
  <c r="Q86" i="3"/>
  <c r="X47" i="3"/>
  <c r="Z87" i="3"/>
  <c r="AW314" i="1"/>
  <c r="Z5" i="3"/>
  <c r="E38" i="4"/>
  <c r="E41" i="4"/>
  <c r="E43" i="4"/>
  <c r="E40" i="4"/>
  <c r="E39" i="4"/>
  <c r="Q38" i="3"/>
  <c r="Q28" i="3"/>
  <c r="Q29" i="3"/>
  <c r="E42" i="4"/>
  <c r="Q71" i="3"/>
  <c r="Q82" i="3"/>
  <c r="Q90" i="3"/>
  <c r="I14" i="5"/>
  <c r="AW315" i="1"/>
  <c r="M4" i="5"/>
  <c r="M14" i="5" s="1"/>
  <c r="Q37" i="3"/>
  <c r="Q92" i="3"/>
  <c r="N13" i="3"/>
  <c r="K6" i="3" s="1"/>
  <c r="AM74" i="1" l="1"/>
  <c r="AM54" i="1"/>
  <c r="AM141" i="1"/>
  <c r="AM295" i="1"/>
  <c r="AQ317" i="1"/>
  <c r="AY317" i="1"/>
  <c r="AQ367" i="1"/>
  <c r="AY367" i="1"/>
  <c r="AN167" i="1"/>
  <c r="AV167" i="1"/>
  <c r="AO322" i="1"/>
  <c r="AW322" i="1"/>
  <c r="AQ141" i="1"/>
  <c r="AY141" i="1"/>
  <c r="AO236" i="1"/>
  <c r="AW236" i="1"/>
  <c r="AM161" i="1"/>
  <c r="AU161" i="1"/>
  <c r="AM102" i="1"/>
  <c r="AU102" i="1"/>
  <c r="AO304" i="1"/>
  <c r="AW304" i="1"/>
  <c r="AN481" i="1"/>
  <c r="AV481" i="1"/>
  <c r="AQ318" i="1"/>
  <c r="AY318" i="1"/>
  <c r="AO99" i="1"/>
  <c r="AW99" i="1"/>
  <c r="AO110" i="1"/>
  <c r="AW110" i="1"/>
  <c r="AN290" i="1"/>
  <c r="AV290" i="1"/>
  <c r="AO362" i="1"/>
  <c r="AW362" i="1"/>
  <c r="AQ343" i="1"/>
  <c r="AY343" i="1"/>
  <c r="AO299" i="1"/>
  <c r="AW299" i="1"/>
  <c r="AO174" i="1"/>
  <c r="AW174" i="1"/>
  <c r="AO121" i="1"/>
  <c r="AW121" i="1"/>
  <c r="AM239" i="1"/>
  <c r="AU239" i="1"/>
  <c r="AO313" i="1"/>
  <c r="AW313" i="1"/>
  <c r="AP298" i="1"/>
  <c r="AX298" i="1"/>
  <c r="AO94" i="1"/>
  <c r="AW94" i="1"/>
  <c r="AM264" i="1"/>
  <c r="AU264" i="1"/>
  <c r="AN318" i="1"/>
  <c r="AV318" i="1"/>
  <c r="AM168" i="1"/>
  <c r="AU168" i="1"/>
  <c r="AP516" i="1"/>
  <c r="AX516" i="1"/>
  <c r="AP503" i="1"/>
  <c r="AX503" i="1"/>
  <c r="AM443" i="1"/>
  <c r="AU443" i="1"/>
  <c r="AO395" i="1"/>
  <c r="AW395" i="1"/>
  <c r="AM381" i="1"/>
  <c r="AU381" i="1"/>
  <c r="AM41" i="1"/>
  <c r="AU41" i="1"/>
  <c r="AO399" i="1"/>
  <c r="AW399" i="1"/>
  <c r="AQ394" i="1"/>
  <c r="AY394" i="1"/>
  <c r="AP392" i="1"/>
  <c r="AX392" i="1"/>
  <c r="AM334" i="1"/>
  <c r="AU334" i="1"/>
  <c r="AM446" i="1"/>
  <c r="AU446" i="1"/>
  <c r="AM538" i="1"/>
  <c r="AU538" i="1"/>
  <c r="AO398" i="1"/>
  <c r="AW398" i="1"/>
  <c r="AM463" i="1"/>
  <c r="AU463" i="1"/>
  <c r="AM432" i="1"/>
  <c r="AU432" i="1"/>
  <c r="AM467" i="1"/>
  <c r="AU467" i="1"/>
  <c r="AM40" i="1"/>
  <c r="AU40" i="1"/>
  <c r="AM104" i="1"/>
  <c r="AU104" i="1"/>
  <c r="AP387" i="1"/>
  <c r="AX387" i="1"/>
  <c r="AM386" i="1"/>
  <c r="AU386" i="1"/>
  <c r="AM34" i="1"/>
  <c r="AU34" i="1"/>
  <c r="AM448" i="1"/>
  <c r="AU448" i="1"/>
  <c r="AM461" i="1"/>
  <c r="AU461" i="1"/>
  <c r="AO488" i="1"/>
  <c r="AW488" i="1"/>
  <c r="AQ308" i="1"/>
  <c r="AY308" i="1"/>
  <c r="AP480" i="1"/>
  <c r="AX480" i="1"/>
  <c r="AO486" i="1"/>
  <c r="AW486" i="1"/>
  <c r="AP181" i="1"/>
  <c r="AX181" i="1"/>
  <c r="AM296" i="1"/>
  <c r="AU296" i="1"/>
  <c r="AM402" i="1"/>
  <c r="AU402" i="1"/>
  <c r="AO403" i="1"/>
  <c r="AW403" i="1"/>
  <c r="AN411" i="1"/>
  <c r="AV411" i="1"/>
  <c r="AN413" i="1"/>
  <c r="AV413" i="1"/>
  <c r="AO358" i="1"/>
  <c r="AW358" i="1"/>
  <c r="AO239" i="1"/>
  <c r="AW239" i="1"/>
  <c r="AQ167" i="1"/>
  <c r="AY167" i="1"/>
  <c r="AP322" i="1"/>
  <c r="AX322" i="1"/>
  <c r="AN119" i="1"/>
  <c r="AV119" i="1"/>
  <c r="AM120" i="1"/>
  <c r="AU120" i="1"/>
  <c r="AN165" i="1"/>
  <c r="AV165" i="1"/>
  <c r="AP491" i="1"/>
  <c r="AX491" i="1"/>
  <c r="AN173" i="1"/>
  <c r="AV173" i="1"/>
  <c r="AQ107" i="1"/>
  <c r="AY107" i="1"/>
  <c r="AO500" i="1"/>
  <c r="AW500" i="1"/>
  <c r="AN297" i="1"/>
  <c r="AV297" i="1"/>
  <c r="AO341" i="1"/>
  <c r="AW341" i="1"/>
  <c r="AP318" i="1"/>
  <c r="AX318" i="1"/>
  <c r="AQ93" i="1"/>
  <c r="AY93" i="1"/>
  <c r="AQ66" i="1"/>
  <c r="AY66" i="1"/>
  <c r="AQ291" i="1"/>
  <c r="AY291" i="1"/>
  <c r="AP362" i="1"/>
  <c r="AX362" i="1"/>
  <c r="AO261" i="1"/>
  <c r="AW261" i="1"/>
  <c r="AM154" i="1"/>
  <c r="AU154" i="1"/>
  <c r="AN91" i="1"/>
  <c r="AV91" i="1"/>
  <c r="AO178" i="1"/>
  <c r="AW178" i="1"/>
  <c r="AN264" i="1"/>
  <c r="AV264" i="1"/>
  <c r="AQ321" i="1"/>
  <c r="AY321" i="1"/>
  <c r="AM128" i="1"/>
  <c r="AU128" i="1"/>
  <c r="AO267" i="1"/>
  <c r="AW267" i="1"/>
  <c r="AM297" i="1"/>
  <c r="AU297" i="1"/>
  <c r="AQ506" i="1"/>
  <c r="AY506" i="1"/>
  <c r="AN506" i="1"/>
  <c r="AV506" i="1"/>
  <c r="AN306" i="1"/>
  <c r="AV306" i="1"/>
  <c r="AM100" i="1"/>
  <c r="AU100" i="1"/>
  <c r="AQ313" i="1"/>
  <c r="AY313" i="1"/>
  <c r="AN315" i="1"/>
  <c r="AV315" i="1"/>
  <c r="AO388" i="1"/>
  <c r="AW388" i="1"/>
  <c r="AO422" i="1"/>
  <c r="AW422" i="1"/>
  <c r="AN177" i="1"/>
  <c r="AV177" i="1"/>
  <c r="AN296" i="1"/>
  <c r="AV296" i="1"/>
  <c r="AO284" i="1"/>
  <c r="AW284" i="1"/>
  <c r="AQ408" i="1"/>
  <c r="AY408" i="1"/>
  <c r="AN415" i="1"/>
  <c r="AV415" i="1"/>
  <c r="AO416" i="1"/>
  <c r="AW416" i="1"/>
  <c r="AQ361" i="1"/>
  <c r="AY361" i="1"/>
  <c r="AM155" i="1"/>
  <c r="AU155" i="1"/>
  <c r="AN132" i="1"/>
  <c r="AV132" i="1"/>
  <c r="AQ322" i="1"/>
  <c r="AY322" i="1"/>
  <c r="AO119" i="1"/>
  <c r="AW119" i="1"/>
  <c r="AO165" i="1"/>
  <c r="AW165" i="1"/>
  <c r="AN489" i="1"/>
  <c r="AV489" i="1"/>
  <c r="AO483" i="1"/>
  <c r="AW483" i="1"/>
  <c r="AO262" i="1"/>
  <c r="AW262" i="1"/>
  <c r="AO326" i="1"/>
  <c r="AW326" i="1"/>
  <c r="AM292" i="1"/>
  <c r="AU292" i="1"/>
  <c r="AP325" i="1"/>
  <c r="AX325" i="1"/>
  <c r="AM144" i="1"/>
  <c r="AU144" i="1"/>
  <c r="AQ296" i="1"/>
  <c r="AY296" i="1"/>
  <c r="AQ365" i="1"/>
  <c r="AY365" i="1"/>
  <c r="AP164" i="1"/>
  <c r="AX164" i="1"/>
  <c r="AN127" i="1"/>
  <c r="AV127" i="1"/>
  <c r="AO91" i="1"/>
  <c r="AW91" i="1"/>
  <c r="AP131" i="1"/>
  <c r="AX131" i="1"/>
  <c r="AQ303" i="1"/>
  <c r="AY303" i="1"/>
  <c r="AM122" i="1"/>
  <c r="AU122" i="1"/>
  <c r="AP306" i="1"/>
  <c r="AX306" i="1"/>
  <c r="AP267" i="1"/>
  <c r="AX267" i="1"/>
  <c r="AQ130" i="1"/>
  <c r="AY130" i="1"/>
  <c r="AM267" i="1"/>
  <c r="AU267" i="1"/>
  <c r="AP501" i="1"/>
  <c r="AX501" i="1"/>
  <c r="AQ424" i="1"/>
  <c r="AY424" i="1"/>
  <c r="AO400" i="1"/>
  <c r="AW400" i="1"/>
  <c r="AM300" i="1"/>
  <c r="AU300" i="1"/>
  <c r="AO481" i="1"/>
  <c r="AW481" i="1"/>
  <c r="AM89" i="1"/>
  <c r="AU89" i="1"/>
  <c r="AP400" i="1"/>
  <c r="AX400" i="1"/>
  <c r="AM368" i="1"/>
  <c r="AU368" i="1"/>
  <c r="AM348" i="1"/>
  <c r="AU348" i="1"/>
  <c r="AM539" i="1"/>
  <c r="AU539" i="1"/>
  <c r="AM376" i="1"/>
  <c r="AU376" i="1"/>
  <c r="AO390" i="1"/>
  <c r="AW390" i="1"/>
  <c r="AM519" i="1"/>
  <c r="AU519" i="1"/>
  <c r="AM258" i="1"/>
  <c r="AU258" i="1"/>
  <c r="AP389" i="1"/>
  <c r="AX389" i="1"/>
  <c r="AM459" i="1"/>
  <c r="AU459" i="1"/>
  <c r="AQ393" i="1"/>
  <c r="AY393" i="1"/>
  <c r="AM441" i="1"/>
  <c r="AU441" i="1"/>
  <c r="AO393" i="1"/>
  <c r="AW393" i="1"/>
  <c r="AM445" i="1"/>
  <c r="AU445" i="1"/>
  <c r="AM17" i="1"/>
  <c r="AU17" i="1"/>
  <c r="AM35" i="1"/>
  <c r="AU35" i="1"/>
  <c r="AM374" i="1"/>
  <c r="AU374" i="1"/>
  <c r="AM457" i="1"/>
  <c r="AU457" i="1"/>
  <c r="AM373" i="1"/>
  <c r="AU373" i="1"/>
  <c r="AM401" i="1"/>
  <c r="AU401" i="1"/>
  <c r="AM439" i="1"/>
  <c r="AU439" i="1"/>
  <c r="AM180" i="1"/>
  <c r="AU180" i="1"/>
  <c r="AM415" i="1"/>
  <c r="AU415" i="1"/>
  <c r="AN321" i="1"/>
  <c r="AV321" i="1"/>
  <c r="AM7" i="1"/>
  <c r="AU7" i="1"/>
  <c r="AO100" i="1"/>
  <c r="AW100" i="1"/>
  <c r="AN406" i="1"/>
  <c r="AV406" i="1"/>
  <c r="AP406" i="1"/>
  <c r="AX406" i="1"/>
  <c r="AM306" i="1"/>
  <c r="AU306" i="1"/>
  <c r="AP90" i="1"/>
  <c r="AX90" i="1"/>
  <c r="AQ405" i="1"/>
  <c r="AY405" i="1"/>
  <c r="AM150" i="1"/>
  <c r="AU150" i="1"/>
  <c r="AQ307" i="1"/>
  <c r="AY307" i="1"/>
  <c r="AP100" i="1"/>
  <c r="AX100" i="1"/>
  <c r="AM515" i="1"/>
  <c r="AU515" i="1"/>
  <c r="AQ180" i="1"/>
  <c r="AY180" i="1"/>
  <c r="AO335" i="1"/>
  <c r="AW335" i="1"/>
  <c r="AM438" i="1"/>
  <c r="AU438" i="1"/>
  <c r="AM188" i="1"/>
  <c r="AU188" i="1"/>
  <c r="AO392" i="1"/>
  <c r="AW392" i="1"/>
  <c r="AM156" i="1"/>
  <c r="AU156" i="1"/>
  <c r="AM347" i="1"/>
  <c r="AU347" i="1"/>
  <c r="AP398" i="1"/>
  <c r="AX398" i="1"/>
  <c r="AQ388" i="1"/>
  <c r="AY388" i="1"/>
  <c r="AM257" i="1"/>
  <c r="AU257" i="1"/>
  <c r="AM379" i="1"/>
  <c r="AU379" i="1"/>
  <c r="AM453" i="1"/>
  <c r="AU453" i="1"/>
  <c r="AM247" i="1"/>
  <c r="AU247" i="1"/>
  <c r="AO396" i="1"/>
  <c r="AW396" i="1"/>
  <c r="AM185" i="1"/>
  <c r="AU185" i="1"/>
  <c r="AM382" i="1"/>
  <c r="AU382" i="1"/>
  <c r="AN298" i="1"/>
  <c r="AV298" i="1"/>
  <c r="AQ128" i="1"/>
  <c r="AY128" i="1"/>
  <c r="AO291" i="1"/>
  <c r="AW291" i="1"/>
  <c r="AO489" i="1"/>
  <c r="AW489" i="1"/>
  <c r="AM405" i="1"/>
  <c r="AU405" i="1"/>
  <c r="AM460" i="1"/>
  <c r="AU460" i="1"/>
  <c r="AQ391" i="1"/>
  <c r="AY391" i="1"/>
  <c r="AQ489" i="1"/>
  <c r="AY489" i="1"/>
  <c r="AQ320" i="1"/>
  <c r="AY320" i="1"/>
  <c r="AP182" i="1"/>
  <c r="AX182" i="1"/>
  <c r="AO104" i="1"/>
  <c r="AW104" i="1"/>
  <c r="AN485" i="1"/>
  <c r="AV485" i="1"/>
  <c r="AQ314" i="1"/>
  <c r="AY314" i="1"/>
  <c r="AM143" i="1"/>
  <c r="AU143" i="1"/>
  <c r="AM159" i="1"/>
  <c r="AU159" i="1"/>
  <c r="AM250" i="1"/>
  <c r="AU250" i="1"/>
  <c r="AN126" i="1"/>
  <c r="AV126" i="1"/>
  <c r="AN123" i="1"/>
  <c r="AV123" i="1"/>
  <c r="AQ110" i="1"/>
  <c r="AY110" i="1"/>
  <c r="AM146" i="1"/>
  <c r="AU146" i="1"/>
  <c r="AP127" i="1"/>
  <c r="AX127" i="1"/>
  <c r="AP492" i="1"/>
  <c r="AX492" i="1"/>
  <c r="AM342" i="1"/>
  <c r="AU342" i="1"/>
  <c r="AM112" i="1"/>
  <c r="AU112" i="1"/>
  <c r="AO241" i="1"/>
  <c r="AW241" i="1"/>
  <c r="AN101" i="1"/>
  <c r="AV101" i="1"/>
  <c r="AQ414" i="1"/>
  <c r="AY414" i="1"/>
  <c r="AM127" i="1"/>
  <c r="AU127" i="1"/>
  <c r="AP266" i="1"/>
  <c r="AX266" i="1"/>
  <c r="AO42" i="1"/>
  <c r="AW42" i="1"/>
  <c r="AP169" i="1"/>
  <c r="AX169" i="1"/>
  <c r="AQ127" i="1"/>
  <c r="AY127" i="1"/>
  <c r="AQ57" i="1"/>
  <c r="AY57" i="1"/>
  <c r="AO89" i="1"/>
  <c r="AW89" i="1"/>
  <c r="AO405" i="1"/>
  <c r="AW405" i="1"/>
  <c r="AO298" i="1"/>
  <c r="AW298" i="1"/>
  <c r="AQ100" i="1"/>
  <c r="AY100" i="1"/>
  <c r="AN507" i="1"/>
  <c r="AV507" i="1"/>
  <c r="AQ510" i="1"/>
  <c r="AY510" i="1"/>
  <c r="AQ423" i="1"/>
  <c r="AY423" i="1"/>
  <c r="AQ304" i="1"/>
  <c r="AY304" i="1"/>
  <c r="AM119" i="1"/>
  <c r="AU119" i="1"/>
  <c r="AO164" i="1"/>
  <c r="AW164" i="1"/>
  <c r="AO513" i="1"/>
  <c r="AW513" i="1"/>
  <c r="AN182" i="1"/>
  <c r="AV182" i="1"/>
  <c r="AO412" i="1"/>
  <c r="AW412" i="1"/>
  <c r="AQ119" i="1"/>
  <c r="AY119" i="1"/>
  <c r="AQ47" i="1"/>
  <c r="AY47" i="1"/>
  <c r="AN292" i="1"/>
  <c r="AV292" i="1"/>
  <c r="AQ483" i="1"/>
  <c r="AY483" i="1"/>
  <c r="AQ101" i="1"/>
  <c r="AY101" i="1"/>
  <c r="AO172" i="1"/>
  <c r="AW172" i="1"/>
  <c r="AM352" i="1"/>
  <c r="AU352" i="1"/>
  <c r="AM384" i="1"/>
  <c r="AU384" i="1"/>
  <c r="AM350" i="1"/>
  <c r="AU350" i="1"/>
  <c r="AN423" i="1"/>
  <c r="AV423" i="1"/>
  <c r="AO162" i="1"/>
  <c r="AW162" i="1"/>
  <c r="AQ142" i="1"/>
  <c r="AY142" i="1"/>
  <c r="AQ132" i="1"/>
  <c r="AY132" i="1"/>
  <c r="AM166" i="1"/>
  <c r="AU166" i="1"/>
  <c r="AN300" i="1"/>
  <c r="AV300" i="1"/>
  <c r="AO406" i="1"/>
  <c r="AW406" i="1"/>
  <c r="AQ362" i="1"/>
  <c r="AY362" i="1"/>
  <c r="AN174" i="1"/>
  <c r="AV174" i="1"/>
  <c r="AO127" i="1"/>
  <c r="AW127" i="1"/>
  <c r="AP83" i="1"/>
  <c r="AX83" i="1"/>
  <c r="AQ113" i="1"/>
  <c r="AY113" i="1"/>
  <c r="AN422" i="1"/>
  <c r="AV422" i="1"/>
  <c r="AN97" i="1"/>
  <c r="AV97" i="1"/>
  <c r="AP299" i="1"/>
  <c r="AX299" i="1"/>
  <c r="AP514" i="1"/>
  <c r="AX514" i="1"/>
  <c r="AN514" i="1"/>
  <c r="AV514" i="1"/>
  <c r="AO423" i="1"/>
  <c r="AW423" i="1"/>
  <c r="AO115" i="1"/>
  <c r="AW115" i="1"/>
  <c r="AO129" i="1"/>
  <c r="AW129" i="1"/>
  <c r="AO290" i="1"/>
  <c r="AW290" i="1"/>
  <c r="AQ410" i="1"/>
  <c r="AY410" i="1"/>
  <c r="AQ418" i="1"/>
  <c r="AY418" i="1"/>
  <c r="AQ358" i="1"/>
  <c r="AY358" i="1"/>
  <c r="AM414" i="1"/>
  <c r="AU414" i="1"/>
  <c r="AN95" i="1"/>
  <c r="AV95" i="1"/>
  <c r="AQ58" i="1"/>
  <c r="AY58" i="1"/>
  <c r="AN323" i="1"/>
  <c r="AV323" i="1"/>
  <c r="AO366" i="1"/>
  <c r="AW366" i="1"/>
  <c r="AQ169" i="1"/>
  <c r="AY169" i="1"/>
  <c r="AO266" i="1"/>
  <c r="AW266" i="1"/>
  <c r="AM514" i="1"/>
  <c r="AU514" i="1"/>
  <c r="AP171" i="1"/>
  <c r="AX171" i="1"/>
  <c r="AN404" i="1"/>
  <c r="AV404" i="1"/>
  <c r="AN512" i="1"/>
  <c r="AV512" i="1"/>
  <c r="AP515" i="1"/>
  <c r="AX515" i="1"/>
  <c r="AO338" i="1"/>
  <c r="AW338" i="1"/>
  <c r="AM226" i="1"/>
  <c r="AU226" i="1"/>
  <c r="AM336" i="1"/>
  <c r="AU336" i="1"/>
  <c r="AP511" i="1"/>
  <c r="AX511" i="1"/>
  <c r="AP423" i="1"/>
  <c r="AX423" i="1"/>
  <c r="AN490" i="1"/>
  <c r="AV490" i="1"/>
  <c r="AN93" i="1"/>
  <c r="AV93" i="1"/>
  <c r="AQ182" i="1"/>
  <c r="AY182" i="1"/>
  <c r="AO293" i="1"/>
  <c r="AW293" i="1"/>
  <c r="AO96" i="1"/>
  <c r="AW96" i="1"/>
  <c r="AO415" i="1"/>
  <c r="AW415" i="1"/>
  <c r="AP412" i="1"/>
  <c r="AX412" i="1"/>
  <c r="AO485" i="1"/>
  <c r="AW485" i="1"/>
  <c r="AM277" i="1"/>
  <c r="AU277" i="1"/>
  <c r="AP95" i="1"/>
  <c r="AX95" i="1"/>
  <c r="AQ43" i="1"/>
  <c r="AY43" i="1"/>
  <c r="AQ137" i="1"/>
  <c r="AY137" i="1"/>
  <c r="AM234" i="1"/>
  <c r="AU234" i="1"/>
  <c r="AM240" i="1"/>
  <c r="AU240" i="1"/>
  <c r="AN113" i="1"/>
  <c r="AV113" i="1"/>
  <c r="AM99" i="1"/>
  <c r="AU99" i="1"/>
  <c r="AM366" i="1"/>
  <c r="AU366" i="1"/>
  <c r="AO171" i="1"/>
  <c r="AW171" i="1"/>
  <c r="AQ502" i="1"/>
  <c r="AY502" i="1"/>
  <c r="AO490" i="1"/>
  <c r="AW490" i="1"/>
  <c r="AM171" i="1"/>
  <c r="AU171" i="1"/>
  <c r="AN112" i="1"/>
  <c r="AV112" i="1"/>
  <c r="AM289" i="1"/>
  <c r="AU289" i="1"/>
  <c r="AP290" i="1"/>
  <c r="AX290" i="1"/>
  <c r="AP96" i="1"/>
  <c r="AX96" i="1"/>
  <c r="AQ406" i="1"/>
  <c r="AY406" i="1"/>
  <c r="AQ415" i="1"/>
  <c r="AY415" i="1"/>
  <c r="AQ485" i="1"/>
  <c r="AY485" i="1"/>
  <c r="AN356" i="1"/>
  <c r="AV356" i="1"/>
  <c r="AQ398" i="1"/>
  <c r="AY398" i="1"/>
  <c r="AO242" i="1"/>
  <c r="AW242" i="1"/>
  <c r="AQ95" i="1"/>
  <c r="AY95" i="1"/>
  <c r="AM145" i="1"/>
  <c r="AU145" i="1"/>
  <c r="AM135" i="1"/>
  <c r="AU135" i="1"/>
  <c r="AM173" i="1"/>
  <c r="AU173" i="1"/>
  <c r="AQ512" i="1"/>
  <c r="AY512" i="1"/>
  <c r="AM248" i="1"/>
  <c r="AU248" i="1"/>
  <c r="AM107" i="1"/>
  <c r="AU107" i="1"/>
  <c r="AP179" i="1"/>
  <c r="AX179" i="1"/>
  <c r="AM417" i="1"/>
  <c r="AU417" i="1"/>
  <c r="AP93" i="1"/>
  <c r="AX93" i="1"/>
  <c r="AP122" i="1"/>
  <c r="AX122" i="1"/>
  <c r="AO249" i="1"/>
  <c r="AW249" i="1"/>
  <c r="AN366" i="1"/>
  <c r="AV366" i="1"/>
  <c r="AM273" i="1"/>
  <c r="AU273" i="1"/>
  <c r="AN163" i="1"/>
  <c r="AV163" i="1"/>
  <c r="AM256" i="1"/>
  <c r="AU256" i="1"/>
  <c r="AP307" i="1"/>
  <c r="AX307" i="1"/>
  <c r="AQ126" i="1"/>
  <c r="AY126" i="1"/>
  <c r="AP323" i="1"/>
  <c r="AX323" i="1"/>
  <c r="AQ124" i="1"/>
  <c r="AY124" i="1"/>
  <c r="AM508" i="1"/>
  <c r="AU508" i="1"/>
  <c r="AN500" i="1"/>
  <c r="AV500" i="1"/>
  <c r="AQ514" i="1"/>
  <c r="AY514" i="1"/>
  <c r="AM92" i="1"/>
  <c r="AU92" i="1"/>
  <c r="AM94" i="1"/>
  <c r="AU94" i="1"/>
  <c r="AM505" i="1"/>
  <c r="AU505" i="1"/>
  <c r="AM285" i="1"/>
  <c r="AU285" i="1"/>
  <c r="AM33" i="1"/>
  <c r="AU33" i="1"/>
  <c r="AQ399" i="1"/>
  <c r="AY399" i="1"/>
  <c r="AM14" i="1"/>
  <c r="AU14" i="1"/>
  <c r="AM221" i="1"/>
  <c r="AU221" i="1"/>
  <c r="AM378" i="1"/>
  <c r="AU378" i="1"/>
  <c r="AM108" i="1"/>
  <c r="AU108" i="1"/>
  <c r="AM32" i="1"/>
  <c r="AU32" i="1"/>
  <c r="AM371" i="1"/>
  <c r="AU371" i="1"/>
  <c r="AM375" i="1"/>
  <c r="AU375" i="1"/>
  <c r="AM224" i="1"/>
  <c r="AU224" i="1"/>
  <c r="AO16" i="1"/>
  <c r="AW16" i="1"/>
  <c r="AM431" i="1"/>
  <c r="AU431" i="1"/>
  <c r="AM232" i="1"/>
  <c r="AU232" i="1"/>
  <c r="AM369" i="1"/>
  <c r="AU369" i="1"/>
  <c r="AM85" i="1"/>
  <c r="AU85" i="1"/>
  <c r="AM380" i="1"/>
  <c r="AU380" i="1"/>
  <c r="AQ511" i="1"/>
  <c r="AY511" i="1"/>
  <c r="AN170" i="1"/>
  <c r="AV170" i="1"/>
  <c r="AM364" i="1"/>
  <c r="AU364" i="1"/>
  <c r="AO170" i="1"/>
  <c r="AW170" i="1"/>
  <c r="AO49" i="1"/>
  <c r="AW49" i="1"/>
  <c r="AN402" i="1"/>
  <c r="AV402" i="1"/>
  <c r="AQ294" i="1"/>
  <c r="AY294" i="1"/>
  <c r="AP174" i="1"/>
  <c r="AX174" i="1"/>
  <c r="AO303" i="1"/>
  <c r="AW303" i="1"/>
  <c r="AP502" i="1"/>
  <c r="AX502" i="1"/>
  <c r="AQ283" i="1"/>
  <c r="AY283" i="1"/>
  <c r="AO235" i="1"/>
  <c r="AW235" i="1"/>
  <c r="AP91" i="1"/>
  <c r="AX91" i="1"/>
  <c r="AO426" i="1"/>
  <c r="AW426" i="1"/>
  <c r="AP418" i="1"/>
  <c r="AX418" i="1"/>
  <c r="AN100" i="1"/>
  <c r="AV100" i="1"/>
  <c r="AM377" i="1"/>
  <c r="AU377" i="1"/>
  <c r="AP393" i="1"/>
  <c r="AX393" i="1"/>
  <c r="AM65" i="1"/>
  <c r="AU65" i="1"/>
  <c r="AQ266" i="1"/>
  <c r="AY266" i="1"/>
  <c r="AO112" i="1"/>
  <c r="AW112" i="1"/>
  <c r="AN361" i="1"/>
  <c r="AV361" i="1"/>
  <c r="AN107" i="1"/>
  <c r="AV107" i="1"/>
  <c r="AM175" i="1"/>
  <c r="AU175" i="1"/>
  <c r="AM148" i="1"/>
  <c r="AU148" i="1"/>
  <c r="AM249" i="1"/>
  <c r="AU249" i="1"/>
  <c r="AO515" i="1"/>
  <c r="AW515" i="1"/>
  <c r="AN511" i="1"/>
  <c r="AV511" i="1"/>
  <c r="AN181" i="1"/>
  <c r="AV181" i="1"/>
  <c r="AP366" i="1"/>
  <c r="AX366" i="1"/>
  <c r="AO319" i="1"/>
  <c r="AW319" i="1"/>
  <c r="AP52" i="1"/>
  <c r="AX52" i="1"/>
  <c r="AO130" i="1"/>
  <c r="AW130" i="1"/>
  <c r="AO48" i="1"/>
  <c r="AW48" i="1"/>
  <c r="AM165" i="1"/>
  <c r="AU165" i="1"/>
  <c r="AO417" i="1"/>
  <c r="AW417" i="1"/>
  <c r="AO285" i="1"/>
  <c r="AW285" i="1"/>
  <c r="AO122" i="1"/>
  <c r="AW122" i="1"/>
  <c r="AP103" i="1"/>
  <c r="AX103" i="1"/>
  <c r="AP163" i="1"/>
  <c r="AX163" i="1"/>
  <c r="AO50" i="1"/>
  <c r="AW50" i="1"/>
  <c r="AN121" i="1"/>
  <c r="AV121" i="1"/>
  <c r="AM136" i="1"/>
  <c r="AU136" i="1"/>
  <c r="AQ298" i="1"/>
  <c r="AY298" i="1"/>
  <c r="AQ311" i="1"/>
  <c r="AY311" i="1"/>
  <c r="AP302" i="1"/>
  <c r="AX302" i="1"/>
  <c r="AM93" i="1"/>
  <c r="AU93" i="1"/>
  <c r="AO180" i="1"/>
  <c r="AW180" i="1"/>
  <c r="AP510" i="1"/>
  <c r="AX510" i="1"/>
  <c r="AM114" i="1"/>
  <c r="AU114" i="1"/>
  <c r="AM91" i="1"/>
  <c r="AU91" i="1"/>
  <c r="AM268" i="1"/>
  <c r="AU268" i="1"/>
  <c r="AM133" i="1"/>
  <c r="AU133" i="1"/>
  <c r="AM372" i="1"/>
  <c r="AU372" i="1"/>
  <c r="AM4" i="1"/>
  <c r="AU4" i="1"/>
  <c r="AM332" i="1"/>
  <c r="AU332" i="1"/>
  <c r="AM97" i="1"/>
  <c r="AU97" i="1"/>
  <c r="AM27" i="1"/>
  <c r="AU27" i="1"/>
  <c r="AM229" i="1"/>
  <c r="AU229" i="1"/>
  <c r="AM36" i="1"/>
  <c r="AU36" i="1"/>
  <c r="AO337" i="1"/>
  <c r="AW337" i="1"/>
  <c r="AM117" i="1"/>
  <c r="AU117" i="1"/>
  <c r="AM270" i="1"/>
  <c r="AU270" i="1"/>
  <c r="AM449" i="1"/>
  <c r="AU449" i="1"/>
  <c r="AQ396" i="1"/>
  <c r="AY396" i="1"/>
  <c r="AM186" i="1"/>
  <c r="AU186" i="1"/>
  <c r="AM345" i="1"/>
  <c r="AU345" i="1"/>
  <c r="AM124" i="1"/>
  <c r="AU124" i="1"/>
  <c r="AM139" i="1"/>
  <c r="AU139" i="1"/>
  <c r="AN131" i="1"/>
  <c r="AV131" i="1"/>
  <c r="AM132" i="1"/>
  <c r="AU132" i="1"/>
  <c r="AN320" i="1"/>
  <c r="AV320" i="1"/>
  <c r="AP358" i="1"/>
  <c r="AX358" i="1"/>
  <c r="AN362" i="1"/>
  <c r="AV362" i="1"/>
  <c r="AM353" i="1"/>
  <c r="AU353" i="1"/>
  <c r="AQ397" i="1"/>
  <c r="AY397" i="1"/>
  <c r="AO324" i="1"/>
  <c r="AW324" i="1"/>
  <c r="AQ112" i="1"/>
  <c r="AY112" i="1"/>
  <c r="AO95" i="1"/>
  <c r="AW95" i="1"/>
  <c r="AN417" i="1"/>
  <c r="AV417" i="1"/>
  <c r="AQ116" i="1"/>
  <c r="AY116" i="1"/>
  <c r="AP311" i="1"/>
  <c r="AX311" i="1"/>
  <c r="AO124" i="1"/>
  <c r="AW124" i="1"/>
  <c r="AP295" i="1"/>
  <c r="AX295" i="1"/>
  <c r="AQ56" i="1"/>
  <c r="AY56" i="1"/>
  <c r="AN412" i="1"/>
  <c r="AV412" i="1"/>
  <c r="AQ360" i="1"/>
  <c r="AY360" i="1"/>
  <c r="AP173" i="1"/>
  <c r="AX173" i="1"/>
  <c r="AQ500" i="1"/>
  <c r="AY500" i="1"/>
  <c r="AN130" i="1"/>
  <c r="AV130" i="1"/>
  <c r="AN115" i="1"/>
  <c r="AV115" i="1"/>
  <c r="AQ103" i="1"/>
  <c r="AY103" i="1"/>
  <c r="AN89" i="1"/>
  <c r="AV89" i="1"/>
  <c r="AO307" i="1"/>
  <c r="AW307" i="1"/>
  <c r="AQ160" i="1"/>
  <c r="AY160" i="1"/>
  <c r="AQ166" i="1"/>
  <c r="AY166" i="1"/>
  <c r="AP132" i="1"/>
  <c r="AX132" i="1"/>
  <c r="AO175" i="1"/>
  <c r="AW175" i="1"/>
  <c r="AP509" i="1"/>
  <c r="AX509" i="1"/>
  <c r="AM261" i="1"/>
  <c r="AU261" i="1"/>
  <c r="AO177" i="1"/>
  <c r="AW177" i="1"/>
  <c r="AP128" i="1"/>
  <c r="AX128" i="1"/>
  <c r="AM501" i="1"/>
  <c r="AU501" i="1"/>
  <c r="AO414" i="1"/>
  <c r="AW414" i="1"/>
  <c r="AQ333" i="1"/>
  <c r="AY333" i="1"/>
  <c r="AO305" i="1"/>
  <c r="AW305" i="1"/>
  <c r="AO108" i="1"/>
  <c r="AW108" i="1"/>
  <c r="AM407" i="1"/>
  <c r="AU407" i="1"/>
  <c r="AM167" i="1"/>
  <c r="AU167" i="1"/>
  <c r="AN265" i="1"/>
  <c r="AV265" i="1"/>
  <c r="AO105" i="1"/>
  <c r="AW105" i="1"/>
  <c r="AO60" i="1"/>
  <c r="AW60" i="1"/>
  <c r="AM177" i="1"/>
  <c r="AU177" i="1"/>
  <c r="AO404" i="1"/>
  <c r="AW404" i="1"/>
  <c r="AO361" i="1"/>
  <c r="AW361" i="1"/>
  <c r="AN117" i="1"/>
  <c r="AV117" i="1"/>
  <c r="AP99" i="1"/>
  <c r="AX99" i="1"/>
  <c r="AN114" i="1"/>
  <c r="AV114" i="1"/>
  <c r="AM263" i="1"/>
  <c r="AU263" i="1"/>
  <c r="AO240" i="1"/>
  <c r="AW240" i="1"/>
  <c r="AN487" i="1"/>
  <c r="AV487" i="1"/>
  <c r="AN304" i="1"/>
  <c r="AV304" i="1"/>
  <c r="AM126" i="1"/>
  <c r="AU126" i="1"/>
  <c r="AN414" i="1"/>
  <c r="AV414" i="1"/>
  <c r="AP176" i="1"/>
  <c r="AX176" i="1"/>
  <c r="AP365" i="1"/>
  <c r="AX365" i="1"/>
  <c r="AO103" i="1"/>
  <c r="AW103" i="1"/>
  <c r="AO64" i="1"/>
  <c r="AW64" i="1"/>
  <c r="AO109" i="1"/>
  <c r="AW109" i="1"/>
  <c r="AO245" i="1"/>
  <c r="AW245" i="1"/>
  <c r="AP98" i="1"/>
  <c r="AX98" i="1"/>
  <c r="AN483" i="1"/>
  <c r="AV483" i="1"/>
  <c r="AP166" i="1"/>
  <c r="AX166" i="1"/>
  <c r="AQ297" i="1"/>
  <c r="AY297" i="1"/>
  <c r="AP109" i="1"/>
  <c r="AX109" i="1"/>
  <c r="AN513" i="1"/>
  <c r="AV513" i="1"/>
  <c r="AQ123" i="1"/>
  <c r="AY123" i="1"/>
  <c r="AP410" i="1"/>
  <c r="AX410" i="1"/>
  <c r="AN409" i="1"/>
  <c r="AV409" i="1"/>
  <c r="AO510" i="1"/>
  <c r="AW510" i="1"/>
  <c r="AN299" i="1"/>
  <c r="AV299" i="1"/>
  <c r="AM121" i="1"/>
  <c r="AU121" i="1"/>
  <c r="AM48" i="1"/>
  <c r="AU48" i="1"/>
  <c r="AM24" i="1"/>
  <c r="AU24" i="1"/>
  <c r="AO37" i="1"/>
  <c r="AW37" i="1"/>
  <c r="AM230" i="1"/>
  <c r="AU230" i="1"/>
  <c r="AM370" i="1"/>
  <c r="AU370" i="1"/>
  <c r="AM269" i="1"/>
  <c r="AU269" i="1"/>
  <c r="AM62" i="1"/>
  <c r="AU62" i="1"/>
  <c r="AM537" i="1"/>
  <c r="AU537" i="1"/>
  <c r="AM183" i="1"/>
  <c r="AU183" i="1"/>
  <c r="AM13" i="1"/>
  <c r="AU13" i="1"/>
  <c r="AM187" i="1"/>
  <c r="AU187" i="1"/>
  <c r="AO397" i="1"/>
  <c r="AW397" i="1"/>
  <c r="AM223" i="1"/>
  <c r="AU223" i="1"/>
  <c r="AM286" i="1"/>
  <c r="AU286" i="1"/>
  <c r="AM76" i="1"/>
  <c r="AU76" i="1"/>
  <c r="AQ407" i="1"/>
  <c r="AY407" i="1"/>
  <c r="AO173" i="1"/>
  <c r="AW173" i="1"/>
  <c r="AQ118" i="1"/>
  <c r="AY118" i="1"/>
  <c r="AO125" i="1"/>
  <c r="AW125" i="1"/>
  <c r="AQ175" i="1"/>
  <c r="AY175" i="1"/>
  <c r="AO387" i="1"/>
  <c r="AW387" i="1"/>
  <c r="AN129" i="1"/>
  <c r="AV129" i="1"/>
  <c r="AP320" i="1"/>
  <c r="AX320" i="1"/>
  <c r="AQ63" i="1"/>
  <c r="AY63" i="1"/>
  <c r="AO264" i="1"/>
  <c r="AW264" i="1"/>
  <c r="AO310" i="1"/>
  <c r="AW310" i="1"/>
  <c r="AM105" i="1"/>
  <c r="AU105" i="1"/>
  <c r="AM131" i="1"/>
  <c r="AU131" i="1"/>
  <c r="AN324" i="1"/>
  <c r="AV324" i="1"/>
  <c r="AM110" i="1"/>
  <c r="AU110" i="1"/>
  <c r="AN175" i="1"/>
  <c r="AV175" i="1"/>
  <c r="AP415" i="1"/>
  <c r="AX415" i="1"/>
  <c r="AO323" i="1"/>
  <c r="AW323" i="1"/>
  <c r="AP107" i="1"/>
  <c r="AX107" i="1"/>
  <c r="AM272" i="1"/>
  <c r="AU272" i="1"/>
  <c r="AQ262" i="1"/>
  <c r="AY262" i="1"/>
  <c r="AQ108" i="1"/>
  <c r="AY108" i="1"/>
  <c r="AP104" i="1"/>
  <c r="AX104" i="1"/>
  <c r="AN301" i="1"/>
  <c r="AV301" i="1"/>
  <c r="AO363" i="1"/>
  <c r="AW363" i="1"/>
  <c r="AO131" i="1"/>
  <c r="AW131" i="1"/>
  <c r="AM169" i="1"/>
  <c r="AU169" i="1"/>
  <c r="AP324" i="1"/>
  <c r="AX324" i="1"/>
  <c r="AO133" i="1"/>
  <c r="AW133" i="1"/>
  <c r="AQ140" i="1"/>
  <c r="AY140" i="1"/>
  <c r="AP94" i="1"/>
  <c r="AX94" i="1"/>
  <c r="AN302" i="1"/>
  <c r="AV302" i="1"/>
  <c r="AP123" i="1"/>
  <c r="AX123" i="1"/>
  <c r="AP507" i="1"/>
  <c r="AX507" i="1"/>
  <c r="AM512" i="1"/>
  <c r="AU512" i="1"/>
  <c r="AO516" i="1"/>
  <c r="AW516" i="1"/>
  <c r="AM109" i="1"/>
  <c r="AU109" i="1"/>
  <c r="AN305" i="1"/>
  <c r="AV305" i="1"/>
  <c r="AO503" i="1"/>
  <c r="AW503" i="1"/>
  <c r="AO38" i="1"/>
  <c r="AW38" i="1"/>
  <c r="AM10" i="1"/>
  <c r="AU10" i="1"/>
  <c r="AM517" i="1"/>
  <c r="AU517" i="1"/>
  <c r="AM184" i="1"/>
  <c r="AU184" i="1"/>
  <c r="AM228" i="1"/>
  <c r="AU228" i="1"/>
  <c r="AM442" i="1"/>
  <c r="AU442" i="1"/>
  <c r="AM455" i="1"/>
  <c r="AU455" i="1"/>
  <c r="AM60" i="1"/>
  <c r="AU60" i="1"/>
  <c r="AM172" i="1"/>
  <c r="AU172" i="1"/>
  <c r="AM8" i="1"/>
  <c r="AU8" i="1"/>
  <c r="AM87" i="1"/>
  <c r="AU87" i="1"/>
  <c r="AP397" i="1"/>
  <c r="AX397" i="1"/>
  <c r="AQ387" i="1"/>
  <c r="AY387" i="1"/>
  <c r="AM541" i="1"/>
  <c r="AU541" i="1"/>
  <c r="AO30" i="1"/>
  <c r="AW30" i="1"/>
  <c r="AM227" i="1"/>
  <c r="AU227" i="1"/>
  <c r="AM29" i="1"/>
  <c r="AU29" i="1"/>
  <c r="AQ289" i="1"/>
  <c r="AY289" i="1"/>
  <c r="AN322" i="1"/>
  <c r="AV322" i="1"/>
  <c r="AN312" i="1"/>
  <c r="AV312" i="1"/>
  <c r="AN365" i="1"/>
  <c r="AV365" i="1"/>
  <c r="AP405" i="1"/>
  <c r="AX405" i="1"/>
  <c r="AN501" i="1"/>
  <c r="AV501" i="1"/>
  <c r="AN488" i="1"/>
  <c r="AV488" i="1"/>
  <c r="AN303" i="1"/>
  <c r="AV303" i="1"/>
  <c r="AO487" i="1"/>
  <c r="AW487" i="1"/>
  <c r="AO482" i="1"/>
  <c r="AW482" i="1"/>
  <c r="AO101" i="1"/>
  <c r="AW101" i="1"/>
  <c r="AO248" i="1"/>
  <c r="AW248" i="1"/>
  <c r="AP289" i="1"/>
  <c r="AX289" i="1"/>
  <c r="AP414" i="1"/>
  <c r="AX414" i="1"/>
  <c r="AO418" i="1"/>
  <c r="AW418" i="1"/>
  <c r="AM408" i="1"/>
  <c r="AU408" i="1"/>
  <c r="AN410" i="1"/>
  <c r="AV410" i="1"/>
  <c r="AO258" i="1"/>
  <c r="AW258" i="1"/>
  <c r="AO246" i="1"/>
  <c r="AW246" i="1"/>
  <c r="AM160" i="1"/>
  <c r="AU160" i="1"/>
  <c r="AN291" i="1"/>
  <c r="AV291" i="1"/>
  <c r="AM237" i="1"/>
  <c r="AU237" i="1"/>
  <c r="AQ413" i="1"/>
  <c r="AY413" i="1"/>
  <c r="AQ409" i="1"/>
  <c r="AY409" i="1"/>
  <c r="AP117" i="1"/>
  <c r="AX117" i="1"/>
  <c r="AP364" i="1"/>
  <c r="AX364" i="1"/>
  <c r="AO117" i="1"/>
  <c r="AW117" i="1"/>
  <c r="AN314" i="1"/>
  <c r="AV314" i="1"/>
  <c r="AP119" i="1"/>
  <c r="AX119" i="1"/>
  <c r="AQ357" i="1"/>
  <c r="AY357" i="1"/>
  <c r="AQ513" i="1"/>
  <c r="AY513" i="1"/>
  <c r="AN424" i="1"/>
  <c r="AV424" i="1"/>
  <c r="AO92" i="1"/>
  <c r="AW92" i="1"/>
  <c r="AQ165" i="1"/>
  <c r="AY165" i="1"/>
  <c r="AQ176" i="1"/>
  <c r="AY176" i="1"/>
  <c r="AM123" i="1"/>
  <c r="AU123" i="1"/>
  <c r="AO306" i="1"/>
  <c r="AW306" i="1"/>
  <c r="AM466" i="1"/>
  <c r="AU466" i="1"/>
  <c r="AM435" i="1"/>
  <c r="AU435" i="1"/>
  <c r="AN92" i="1"/>
  <c r="AV92" i="1"/>
  <c r="AO126" i="1"/>
  <c r="AW126" i="1"/>
  <c r="AP312" i="1"/>
  <c r="AX312" i="1"/>
  <c r="AM181" i="1"/>
  <c r="AU181" i="1"/>
  <c r="AP317" i="1"/>
  <c r="AX317" i="1"/>
  <c r="AQ265" i="1"/>
  <c r="AY265" i="1"/>
  <c r="AM509" i="1"/>
  <c r="AU509" i="1"/>
  <c r="AO325" i="1"/>
  <c r="AW325" i="1"/>
  <c r="AN169" i="1"/>
  <c r="AV169" i="1"/>
  <c r="AP303" i="1"/>
  <c r="AX303" i="1"/>
  <c r="AM113" i="1"/>
  <c r="AU113" i="1"/>
  <c r="AP487" i="1"/>
  <c r="AX487" i="1"/>
  <c r="AP402" i="1"/>
  <c r="AX402" i="1"/>
  <c r="AQ69" i="1"/>
  <c r="AY69" i="1"/>
  <c r="AQ480" i="1"/>
  <c r="AY480" i="1"/>
  <c r="AO356" i="1"/>
  <c r="AW356" i="1"/>
  <c r="AO265" i="1"/>
  <c r="AW265" i="1"/>
  <c r="AO504" i="1"/>
  <c r="AW504" i="1"/>
  <c r="AO300" i="1"/>
  <c r="AW300" i="1"/>
  <c r="AP416" i="1"/>
  <c r="AX416" i="1"/>
  <c r="AP486" i="1"/>
  <c r="AX486" i="1"/>
  <c r="AN357" i="1"/>
  <c r="AV357" i="1"/>
  <c r="AP161" i="1"/>
  <c r="AX161" i="1"/>
  <c r="AO391" i="1"/>
  <c r="AW391" i="1"/>
  <c r="AQ324" i="1"/>
  <c r="AY324" i="1"/>
  <c r="AN160" i="1"/>
  <c r="AV160" i="1"/>
  <c r="AP316" i="1"/>
  <c r="AX316" i="1"/>
  <c r="AO90" i="1"/>
  <c r="AW90" i="1"/>
  <c r="AM416" i="1"/>
  <c r="AU416" i="1"/>
  <c r="AO263" i="1"/>
  <c r="AW263" i="1"/>
  <c r="AP326" i="1"/>
  <c r="AX326" i="1"/>
  <c r="AM504" i="1"/>
  <c r="AU504" i="1"/>
  <c r="AO339" i="1"/>
  <c r="AW339" i="1"/>
  <c r="AP113" i="1"/>
  <c r="AX113" i="1"/>
  <c r="AP300" i="1"/>
  <c r="AX300" i="1"/>
  <c r="AM244" i="1"/>
  <c r="AU244" i="1"/>
  <c r="AQ416" i="1"/>
  <c r="AY416" i="1"/>
  <c r="AO65" i="1"/>
  <c r="AW65" i="1"/>
  <c r="AN491" i="1"/>
  <c r="AV491" i="1"/>
  <c r="AO238" i="1"/>
  <c r="AW238" i="1"/>
  <c r="AP263" i="1"/>
  <c r="AX263" i="1"/>
  <c r="AO297" i="1"/>
  <c r="AW297" i="1"/>
  <c r="AQ515" i="1"/>
  <c r="AY515" i="1"/>
  <c r="AP106" i="1"/>
  <c r="AX106" i="1"/>
  <c r="AM506" i="1"/>
  <c r="AU506" i="1"/>
  <c r="AM176" i="1"/>
  <c r="AU176" i="1"/>
  <c r="AO409" i="1"/>
  <c r="AW409" i="1"/>
  <c r="AO359" i="1"/>
  <c r="AW359" i="1"/>
  <c r="AQ5" i="1"/>
  <c r="AY5" i="1"/>
  <c r="AO163" i="1"/>
  <c r="AW163" i="1"/>
  <c r="AM174" i="1"/>
  <c r="AU174" i="1"/>
  <c r="AP133" i="1"/>
  <c r="AX133" i="1"/>
  <c r="AM242" i="1"/>
  <c r="AU242" i="1"/>
  <c r="AM510" i="1"/>
  <c r="AU510" i="1"/>
  <c r="AP59" i="1"/>
  <c r="AX59" i="1"/>
  <c r="AQ509" i="1"/>
  <c r="AY509" i="1"/>
  <c r="AP168" i="1"/>
  <c r="AX168" i="1"/>
  <c r="AP309" i="1"/>
  <c r="AX309" i="1"/>
  <c r="AM507" i="1"/>
  <c r="AU507" i="1"/>
  <c r="AO511" i="1"/>
  <c r="AW511" i="1"/>
  <c r="AN310" i="1"/>
  <c r="AV310" i="1"/>
  <c r="AQ299" i="1"/>
  <c r="AY299" i="1"/>
  <c r="AQ302" i="1"/>
  <c r="AY302" i="1"/>
  <c r="AO132" i="1"/>
  <c r="AW132" i="1"/>
  <c r="AO120" i="1"/>
  <c r="AW120" i="1"/>
  <c r="AQ55" i="1"/>
  <c r="AY55" i="1"/>
  <c r="AQ267" i="1"/>
  <c r="AY267" i="1"/>
  <c r="AN360" i="1"/>
  <c r="AV360" i="1"/>
  <c r="AQ91" i="1"/>
  <c r="AY91" i="1"/>
  <c r="AO389" i="1"/>
  <c r="AW389" i="1"/>
  <c r="AM225" i="1"/>
  <c r="AU225" i="1"/>
  <c r="AP391" i="1"/>
  <c r="AX391" i="1"/>
  <c r="AP314" i="1"/>
  <c r="AX314" i="1"/>
  <c r="AM164" i="1"/>
  <c r="AU164" i="1"/>
  <c r="AN480" i="1"/>
  <c r="AV480" i="1"/>
  <c r="AN295" i="1"/>
  <c r="AV295" i="1"/>
  <c r="AO394" i="1"/>
  <c r="AW394" i="1"/>
  <c r="AQ179" i="1"/>
  <c r="AY179" i="1"/>
  <c r="AQ122" i="1"/>
  <c r="AY122" i="1"/>
  <c r="AN125" i="1"/>
  <c r="AV125" i="1"/>
  <c r="AQ354" i="1"/>
  <c r="AY354" i="1"/>
  <c r="AN105" i="1"/>
  <c r="AV105" i="1"/>
  <c r="AQ504" i="1"/>
  <c r="AY504" i="1"/>
  <c r="AP310" i="1"/>
  <c r="AX310" i="1"/>
  <c r="AO181" i="1"/>
  <c r="AW181" i="1"/>
  <c r="AQ412" i="1"/>
  <c r="AY412" i="1"/>
  <c r="AN99" i="1"/>
  <c r="AV99" i="1"/>
  <c r="AM235" i="1"/>
  <c r="AU235" i="1"/>
  <c r="AN311" i="1"/>
  <c r="AV311" i="1"/>
  <c r="AO402" i="1"/>
  <c r="AW402" i="1"/>
  <c r="AO316" i="1"/>
  <c r="AW316" i="1"/>
  <c r="AM403" i="1"/>
  <c r="AU403" i="1"/>
  <c r="AM236" i="1"/>
  <c r="AU236" i="1"/>
  <c r="AQ158" i="1"/>
  <c r="AY158" i="1"/>
  <c r="AQ503" i="1"/>
  <c r="AY503" i="1"/>
  <c r="AM511" i="1"/>
  <c r="AU511" i="1"/>
  <c r="AQ315" i="1"/>
  <c r="AY315" i="1"/>
  <c r="AQ402" i="1"/>
  <c r="AY402" i="1"/>
  <c r="AO357" i="1"/>
  <c r="AW357" i="1"/>
  <c r="AP356" i="1"/>
  <c r="AX356" i="1"/>
  <c r="AO61" i="1"/>
  <c r="AW61" i="1"/>
  <c r="AP513" i="1"/>
  <c r="AX513" i="1"/>
  <c r="AP508" i="1"/>
  <c r="AX508" i="1"/>
  <c r="AQ316" i="1"/>
  <c r="AY316" i="1"/>
  <c r="AN486" i="1"/>
  <c r="AV486" i="1"/>
  <c r="AN408" i="1"/>
  <c r="AV408" i="1"/>
  <c r="AP404" i="1"/>
  <c r="AX404" i="1"/>
  <c r="AP357" i="1"/>
  <c r="AX357" i="1"/>
  <c r="AP361" i="1"/>
  <c r="AX361" i="1"/>
  <c r="AQ170" i="1"/>
  <c r="AY170" i="1"/>
  <c r="AO505" i="1"/>
  <c r="AW505" i="1"/>
  <c r="AQ305" i="1"/>
  <c r="AY305" i="1"/>
  <c r="AN266" i="1"/>
  <c r="AV266" i="1"/>
  <c r="AP177" i="1"/>
  <c r="AX177" i="1"/>
  <c r="AP482" i="1"/>
  <c r="AX482" i="1"/>
  <c r="AO295" i="1"/>
  <c r="AW295" i="1"/>
  <c r="AO497" i="1"/>
  <c r="AW497" i="1"/>
  <c r="AM418" i="1"/>
  <c r="AU418" i="1"/>
  <c r="AN403" i="1"/>
  <c r="AV403" i="1"/>
  <c r="AP407" i="1"/>
  <c r="AX407" i="1"/>
  <c r="AO367" i="1"/>
  <c r="AW367" i="1"/>
  <c r="AM359" i="1"/>
  <c r="AU359" i="1"/>
  <c r="AO491" i="1"/>
  <c r="AW491" i="1"/>
  <c r="AM278" i="1"/>
  <c r="AU278" i="1"/>
  <c r="AP170" i="1"/>
  <c r="AX170" i="1"/>
  <c r="AQ263" i="1"/>
  <c r="AY263" i="1"/>
  <c r="AP319" i="1"/>
  <c r="AX319" i="1"/>
  <c r="AO102" i="1"/>
  <c r="AW102" i="1"/>
  <c r="AP262" i="1"/>
  <c r="AX262" i="1"/>
  <c r="AP512" i="1"/>
  <c r="AX512" i="1"/>
  <c r="AO62" i="1"/>
  <c r="AW62" i="1"/>
  <c r="AN326" i="1"/>
  <c r="AV326" i="1"/>
  <c r="AN325" i="1"/>
  <c r="AV325" i="1"/>
  <c r="AP490" i="1"/>
  <c r="AX490" i="1"/>
  <c r="AP359" i="1"/>
  <c r="AX359" i="1"/>
  <c r="AM152" i="1"/>
  <c r="AU152" i="1"/>
  <c r="AM163" i="1"/>
  <c r="AU163" i="1"/>
  <c r="AQ133" i="1"/>
  <c r="AY133" i="1"/>
  <c r="AQ178" i="1"/>
  <c r="AY178" i="1"/>
  <c r="AP484" i="1"/>
  <c r="AX484" i="1"/>
  <c r="AQ417" i="1"/>
  <c r="AY417" i="1"/>
  <c r="AQ516" i="1"/>
  <c r="AY516" i="1"/>
  <c r="AN124" i="1"/>
  <c r="AV124" i="1"/>
  <c r="AO168" i="1"/>
  <c r="AW168" i="1"/>
  <c r="AO312" i="1"/>
  <c r="AW312" i="1"/>
  <c r="AQ501" i="1"/>
  <c r="AY501" i="1"/>
  <c r="AP506" i="1"/>
  <c r="AX506" i="1"/>
  <c r="AO309" i="1"/>
  <c r="AW309" i="1"/>
  <c r="AP301" i="1"/>
  <c r="AX301" i="1"/>
  <c r="AM305" i="1"/>
  <c r="AU305" i="1"/>
  <c r="AM262" i="1"/>
  <c r="AU262" i="1"/>
  <c r="AM15" i="1"/>
  <c r="AU15" i="1"/>
  <c r="AM522" i="1"/>
  <c r="AU522" i="1"/>
  <c r="AM464" i="1"/>
  <c r="AU464" i="1"/>
  <c r="AM28" i="1"/>
  <c r="AU28" i="1"/>
  <c r="AM451" i="1"/>
  <c r="AU451" i="1"/>
  <c r="AO23" i="1"/>
  <c r="AW23" i="1"/>
  <c r="AM433" i="1"/>
  <c r="AU433" i="1"/>
  <c r="AM9" i="1"/>
  <c r="AU9" i="1"/>
  <c r="AP396" i="1"/>
  <c r="AX396" i="1"/>
  <c r="AM151" i="1"/>
  <c r="AU151" i="1"/>
  <c r="AM341" i="1"/>
  <c r="AU341" i="1"/>
  <c r="AM22" i="1"/>
  <c r="AU22" i="1"/>
  <c r="AM26" i="1"/>
  <c r="AU26" i="1"/>
  <c r="AM458" i="1"/>
  <c r="AU458" i="1"/>
  <c r="AM383" i="1"/>
  <c r="AU383" i="1"/>
  <c r="AM462" i="1"/>
  <c r="AU462" i="1"/>
  <c r="AM21" i="1"/>
  <c r="AU21" i="1"/>
  <c r="AM39" i="1"/>
  <c r="AU39" i="1"/>
  <c r="AM430" i="1"/>
  <c r="AU430" i="1"/>
  <c r="AM20" i="1"/>
  <c r="AU20" i="1"/>
  <c r="AP291" i="1"/>
  <c r="AX291" i="1"/>
  <c r="AP360" i="1"/>
  <c r="AX360" i="1"/>
  <c r="AM412" i="1"/>
  <c r="AU412" i="1"/>
  <c r="AP110" i="1"/>
  <c r="AX110" i="1"/>
  <c r="AO424" i="1"/>
  <c r="AW424" i="1"/>
  <c r="AN289" i="1"/>
  <c r="AV289" i="1"/>
  <c r="AQ77" i="1"/>
  <c r="AY77" i="1"/>
  <c r="AM406" i="1"/>
  <c r="AU406" i="1"/>
  <c r="AQ359" i="1"/>
  <c r="AY359" i="1"/>
  <c r="AN116" i="1"/>
  <c r="AV116" i="1"/>
  <c r="AP178" i="1"/>
  <c r="AX178" i="1"/>
  <c r="AM276" i="1"/>
  <c r="AU276" i="1"/>
  <c r="AM513" i="1"/>
  <c r="AU513" i="1"/>
  <c r="AM116" i="1"/>
  <c r="AU116" i="1"/>
  <c r="AQ92" i="1"/>
  <c r="AY92" i="1"/>
  <c r="AM503" i="1"/>
  <c r="AU503" i="1"/>
  <c r="AM409" i="1"/>
  <c r="AU409" i="1"/>
  <c r="AO501" i="1"/>
  <c r="AW501" i="1"/>
  <c r="AO76" i="1"/>
  <c r="AW76" i="1"/>
  <c r="AM129" i="1"/>
  <c r="AU129" i="1"/>
  <c r="AP489" i="1"/>
  <c r="AX489" i="1"/>
  <c r="AO296" i="1"/>
  <c r="AW296" i="1"/>
  <c r="AM302" i="1"/>
  <c r="AU302" i="1"/>
  <c r="AQ172" i="1"/>
  <c r="AY172" i="1"/>
  <c r="AM179" i="1"/>
  <c r="AU179" i="1"/>
  <c r="AQ153" i="1"/>
  <c r="AY153" i="1"/>
  <c r="AM279" i="1"/>
  <c r="AU279" i="1"/>
  <c r="AM304" i="1"/>
  <c r="AU304" i="1"/>
  <c r="AM275" i="1"/>
  <c r="AU275" i="1"/>
  <c r="AM170" i="1"/>
  <c r="AU170" i="1"/>
  <c r="AM516" i="1"/>
  <c r="AU516" i="1"/>
  <c r="AM265" i="1"/>
  <c r="AU265" i="1"/>
  <c r="AM385" i="1"/>
  <c r="AU385" i="1"/>
  <c r="AP388" i="1"/>
  <c r="AX388" i="1"/>
  <c r="AM231" i="1"/>
  <c r="AU231" i="1"/>
  <c r="AO320" i="1"/>
  <c r="AW320" i="1"/>
  <c r="AO182" i="1"/>
  <c r="AW182" i="1"/>
  <c r="AQ364" i="1"/>
  <c r="AY364" i="1"/>
  <c r="AM61" i="1"/>
  <c r="AU61" i="1"/>
  <c r="AM404" i="1"/>
  <c r="AU404" i="1"/>
  <c r="AN103" i="1"/>
  <c r="AV103" i="1"/>
  <c r="AN309" i="1"/>
  <c r="AV309" i="1"/>
  <c r="AN407" i="1"/>
  <c r="AV407" i="1"/>
  <c r="AO114" i="1"/>
  <c r="AW114" i="1"/>
  <c r="AO411" i="1"/>
  <c r="AW411" i="1"/>
  <c r="AN98" i="1"/>
  <c r="AV98" i="1"/>
  <c r="AO360" i="1"/>
  <c r="AW360" i="1"/>
  <c r="AP315" i="1"/>
  <c r="AX315" i="1"/>
  <c r="AP108" i="1"/>
  <c r="AX108" i="1"/>
  <c r="AO407" i="1"/>
  <c r="AW407" i="1"/>
  <c r="AQ104" i="1"/>
  <c r="AY104" i="1"/>
  <c r="AQ99" i="1"/>
  <c r="AY99" i="1"/>
  <c r="AN263" i="1"/>
  <c r="AV263" i="1"/>
  <c r="AP304" i="1"/>
  <c r="AX304" i="1"/>
  <c r="AO106" i="1"/>
  <c r="AW106" i="1"/>
  <c r="AO31" i="1"/>
  <c r="AW31" i="1"/>
  <c r="AO484" i="1"/>
  <c r="AW484" i="1"/>
  <c r="AP488" i="1"/>
  <c r="AX488" i="1"/>
  <c r="AN133" i="1"/>
  <c r="AV133" i="1"/>
  <c r="AQ98" i="1"/>
  <c r="AY98" i="1"/>
  <c r="AP275" i="1"/>
  <c r="AX275" i="1"/>
  <c r="AO509" i="1"/>
  <c r="AW509" i="1"/>
  <c r="AP395" i="1"/>
  <c r="AX395" i="1"/>
  <c r="AN172" i="1"/>
  <c r="AV172" i="1"/>
  <c r="AQ310" i="1"/>
  <c r="AY310" i="1"/>
  <c r="AP411" i="1"/>
  <c r="AX411" i="1"/>
  <c r="AN502" i="1"/>
  <c r="AV502" i="1"/>
  <c r="AN308" i="1"/>
  <c r="AV308" i="1"/>
  <c r="AN179" i="1"/>
  <c r="AV179" i="1"/>
  <c r="AM162" i="1"/>
  <c r="AU162" i="1"/>
  <c r="AO160" i="1"/>
  <c r="AW160" i="1"/>
  <c r="AQ482" i="1"/>
  <c r="AY482" i="1"/>
  <c r="AO408" i="1"/>
  <c r="AW408" i="1"/>
  <c r="AQ411" i="1"/>
  <c r="AY411" i="1"/>
  <c r="AM410" i="1"/>
  <c r="AU410" i="1"/>
  <c r="AM358" i="1"/>
  <c r="AU358" i="1"/>
  <c r="AN364" i="1"/>
  <c r="AV364" i="1"/>
  <c r="AP390" i="1"/>
  <c r="AX390" i="1"/>
  <c r="AM252" i="1"/>
  <c r="AU252" i="1"/>
  <c r="AO254" i="1"/>
  <c r="AW254" i="1"/>
  <c r="AO161" i="1"/>
  <c r="AW161" i="1"/>
  <c r="AN102" i="1"/>
  <c r="AV102" i="1"/>
  <c r="AM246" i="1"/>
  <c r="AU246" i="1"/>
  <c r="AP504" i="1"/>
  <c r="AX504" i="1"/>
  <c r="AN106" i="1"/>
  <c r="AV106" i="1"/>
  <c r="AO176" i="1"/>
  <c r="AW176" i="1"/>
  <c r="AQ352" i="1"/>
  <c r="AY352" i="1"/>
  <c r="AN109" i="1"/>
  <c r="AV109" i="1"/>
  <c r="AP121" i="1"/>
  <c r="AX121" i="1"/>
  <c r="AN405" i="1"/>
  <c r="AV405" i="1"/>
  <c r="AO508" i="1"/>
  <c r="AW508" i="1"/>
  <c r="AN313" i="1"/>
  <c r="AV313" i="1"/>
  <c r="AM115" i="1"/>
  <c r="AU115" i="1"/>
  <c r="AP129" i="1"/>
  <c r="AX129" i="1"/>
  <c r="AO311" i="1"/>
  <c r="AW311" i="1"/>
  <c r="AP292" i="1"/>
  <c r="AX292" i="1"/>
  <c r="AO413" i="1"/>
  <c r="AW413" i="1"/>
  <c r="AP403" i="1"/>
  <c r="AX403" i="1"/>
  <c r="AM413" i="1"/>
  <c r="AU413" i="1"/>
  <c r="AP367" i="1"/>
  <c r="AX367" i="1"/>
  <c r="AN359" i="1"/>
  <c r="AV359" i="1"/>
  <c r="AQ331" i="1"/>
  <c r="AY331" i="1"/>
  <c r="AP265" i="1"/>
  <c r="AX265" i="1"/>
  <c r="AQ334" i="1"/>
  <c r="AY334" i="1"/>
  <c r="AM254" i="1"/>
  <c r="AU254" i="1"/>
  <c r="AP102" i="1"/>
  <c r="AX102" i="1"/>
  <c r="AN180" i="1"/>
  <c r="AV180" i="1"/>
  <c r="AP500" i="1"/>
  <c r="AX500" i="1"/>
  <c r="AN515" i="1"/>
  <c r="AV515" i="1"/>
  <c r="AM84" i="1"/>
  <c r="AU84" i="1"/>
  <c r="AO420" i="1"/>
  <c r="AW420" i="1"/>
  <c r="AN118" i="1"/>
  <c r="AV118" i="1"/>
  <c r="AP294" i="1"/>
  <c r="AX294" i="1"/>
  <c r="AP363" i="1"/>
  <c r="AX363" i="1"/>
  <c r="AM5" i="1"/>
  <c r="AU5" i="1"/>
  <c r="AQ42" i="1"/>
  <c r="AY42" i="1"/>
  <c r="AP419" i="1"/>
  <c r="AX419" i="1"/>
  <c r="AM88" i="1"/>
  <c r="AU88" i="1"/>
  <c r="AQ125" i="1"/>
  <c r="AY125" i="1"/>
  <c r="AO98" i="1"/>
  <c r="AW98" i="1"/>
  <c r="AQ306" i="1"/>
  <c r="AY306" i="1"/>
  <c r="AP422" i="1"/>
  <c r="AX422" i="1"/>
  <c r="AO301" i="1"/>
  <c r="AW301" i="1"/>
  <c r="AQ264" i="1"/>
  <c r="AY264" i="1"/>
  <c r="AM103" i="1"/>
  <c r="AU103" i="1"/>
  <c r="AM106" i="1"/>
  <c r="AU106" i="1"/>
  <c r="AQ505" i="1"/>
  <c r="AY505" i="1"/>
  <c r="AM518" i="1"/>
  <c r="AU518" i="1"/>
  <c r="AM456" i="1"/>
  <c r="AU456" i="1"/>
  <c r="AM447" i="1"/>
  <c r="AU447" i="1"/>
  <c r="AP394" i="1"/>
  <c r="AX394" i="1"/>
  <c r="AM19" i="1"/>
  <c r="AU19" i="1"/>
  <c r="AM429" i="1"/>
  <c r="AU429" i="1"/>
  <c r="AM468" i="1"/>
  <c r="AU468" i="1"/>
  <c r="AM420" i="1"/>
  <c r="AU420" i="1"/>
  <c r="AM280" i="1"/>
  <c r="AU280" i="1"/>
  <c r="AM339" i="1"/>
  <c r="AU339" i="1"/>
  <c r="AM498" i="1"/>
  <c r="AU498" i="1"/>
  <c r="AQ400" i="1"/>
  <c r="AY400" i="1"/>
  <c r="AM436" i="1"/>
  <c r="AU436" i="1"/>
  <c r="AM355" i="1"/>
  <c r="AU355" i="1"/>
  <c r="AM440" i="1"/>
  <c r="AU440" i="1"/>
  <c r="AM12" i="1"/>
  <c r="AU12" i="1"/>
  <c r="AM25" i="1"/>
  <c r="AU25" i="1"/>
  <c r="AQ395" i="1"/>
  <c r="AY395" i="1"/>
  <c r="AM452" i="1"/>
  <c r="AU452" i="1"/>
  <c r="AP413" i="1"/>
  <c r="AX413" i="1"/>
  <c r="AP167" i="1"/>
  <c r="AX167" i="1"/>
  <c r="AN319" i="1"/>
  <c r="AV319" i="1"/>
  <c r="AN363" i="1"/>
  <c r="AV363" i="1"/>
  <c r="AP424" i="1"/>
  <c r="AX424" i="1"/>
  <c r="AM125" i="1"/>
  <c r="AU125" i="1"/>
  <c r="AP165" i="1"/>
  <c r="AX165" i="1"/>
  <c r="AM86" i="1"/>
  <c r="AU86" i="1"/>
  <c r="AP305" i="1"/>
  <c r="AX305" i="1"/>
  <c r="AO292" i="1"/>
  <c r="AW292" i="1"/>
  <c r="AP162" i="1"/>
  <c r="AX162" i="1"/>
  <c r="AN358" i="1"/>
  <c r="AV358" i="1"/>
  <c r="AN171" i="1"/>
  <c r="AV171" i="1"/>
  <c r="AM82" i="1"/>
  <c r="AU82" i="1"/>
  <c r="AQ290" i="1"/>
  <c r="AY290" i="1"/>
  <c r="AP89" i="1"/>
  <c r="AX89" i="1"/>
  <c r="AQ74" i="1"/>
  <c r="AY74" i="1"/>
  <c r="AQ312" i="1"/>
  <c r="AY312" i="1"/>
  <c r="AO302" i="1"/>
  <c r="AW302" i="1"/>
  <c r="AO365" i="1"/>
  <c r="AW365" i="1"/>
  <c r="AQ344" i="1"/>
  <c r="AY344" i="1"/>
  <c r="AO512" i="1"/>
  <c r="AW512" i="1"/>
  <c r="AQ309" i="1"/>
  <c r="AY309" i="1"/>
  <c r="AN516" i="1"/>
  <c r="AV516" i="1"/>
  <c r="AM118" i="1"/>
  <c r="AU118" i="1"/>
  <c r="AO294" i="1"/>
  <c r="AW294" i="1"/>
  <c r="AM95" i="1"/>
  <c r="AU95" i="1"/>
  <c r="AM178" i="1"/>
  <c r="AU178" i="1"/>
  <c r="AQ282" i="1"/>
  <c r="AY282" i="1"/>
  <c r="AQ293" i="1"/>
  <c r="AY293" i="1"/>
  <c r="AQ164" i="1"/>
  <c r="AY164" i="1"/>
  <c r="AO97" i="1"/>
  <c r="AW97" i="1"/>
  <c r="AM437" i="1"/>
  <c r="AU437" i="1"/>
  <c r="AN108" i="1"/>
  <c r="AV108" i="1"/>
  <c r="AO259" i="1"/>
  <c r="AW259" i="1"/>
  <c r="AP296" i="1"/>
  <c r="AX296" i="1"/>
  <c r="AQ490" i="1"/>
  <c r="AY490" i="1"/>
  <c r="AN120" i="1"/>
  <c r="AV120" i="1"/>
  <c r="AP97" i="1"/>
  <c r="AX97" i="1"/>
  <c r="AN509" i="1"/>
  <c r="AV509" i="1"/>
  <c r="AO480" i="1"/>
  <c r="AW480" i="1"/>
  <c r="AQ363" i="1"/>
  <c r="AY363" i="1"/>
  <c r="AQ508" i="1"/>
  <c r="AY508" i="1"/>
  <c r="AN293" i="1"/>
  <c r="AV293" i="1"/>
  <c r="AQ157" i="1"/>
  <c r="AY157" i="1"/>
  <c r="AP417" i="1"/>
  <c r="AX417" i="1"/>
  <c r="AM138" i="1"/>
  <c r="AU138" i="1"/>
  <c r="AQ507" i="1"/>
  <c r="AY507" i="1"/>
  <c r="AP505" i="1"/>
  <c r="AX505" i="1"/>
  <c r="AP105" i="1"/>
  <c r="AX105" i="1"/>
  <c r="AQ295" i="1"/>
  <c r="AY295" i="1"/>
  <c r="AO502" i="1"/>
  <c r="AW502" i="1"/>
  <c r="AN90" i="1"/>
  <c r="AV90" i="1"/>
  <c r="AQ366" i="1"/>
  <c r="AY366" i="1"/>
  <c r="AM245" i="1"/>
  <c r="AU245" i="1"/>
  <c r="AO169" i="1"/>
  <c r="AW169" i="1"/>
  <c r="AN94" i="1"/>
  <c r="AV94" i="1"/>
  <c r="AN505" i="1"/>
  <c r="AV505" i="1"/>
  <c r="AP308" i="1"/>
  <c r="AX308" i="1"/>
  <c r="AN128" i="1"/>
  <c r="AV128" i="1"/>
  <c r="AO116" i="1"/>
  <c r="AW116" i="1"/>
  <c r="AO289" i="1"/>
  <c r="AW289" i="1"/>
  <c r="AO250" i="1"/>
  <c r="AW250" i="1"/>
  <c r="AN418" i="1"/>
  <c r="AV418" i="1"/>
  <c r="AQ403" i="1"/>
  <c r="AY403" i="1"/>
  <c r="AN416" i="1"/>
  <c r="AV416" i="1"/>
  <c r="AO364" i="1"/>
  <c r="AW364" i="1"/>
  <c r="AO317" i="1"/>
  <c r="AW317" i="1"/>
  <c r="AP54" i="1"/>
  <c r="AX54" i="1"/>
  <c r="AP114" i="1"/>
  <c r="AX114" i="1"/>
  <c r="AM149" i="1"/>
  <c r="AU149" i="1"/>
  <c r="AM45" i="1"/>
  <c r="AU45" i="1"/>
  <c r="AQ102" i="1"/>
  <c r="AY102" i="1"/>
  <c r="AN508" i="1"/>
  <c r="AV508" i="1"/>
  <c r="AO118" i="1"/>
  <c r="AW118" i="1"/>
  <c r="AM365" i="1"/>
  <c r="AU365" i="1"/>
  <c r="AO8" i="1"/>
  <c r="AW8" i="1"/>
  <c r="AP125" i="1"/>
  <c r="AX125" i="1"/>
  <c r="AM502" i="1"/>
  <c r="AU502" i="1"/>
  <c r="AP313" i="1"/>
  <c r="AX313" i="1"/>
  <c r="AP115" i="1"/>
  <c r="AX115" i="1"/>
  <c r="AQ162" i="1"/>
  <c r="AY162" i="1"/>
  <c r="AP112" i="1"/>
  <c r="AX112" i="1"/>
  <c r="AP293" i="1"/>
  <c r="AX293" i="1"/>
  <c r="AQ292" i="1"/>
  <c r="AY292" i="1"/>
  <c r="AP408" i="1"/>
  <c r="AX408" i="1"/>
  <c r="AM411" i="1"/>
  <c r="AU411" i="1"/>
  <c r="AQ404" i="1"/>
  <c r="AY404" i="1"/>
  <c r="AM361" i="1"/>
  <c r="AU361" i="1"/>
  <c r="AM367" i="1"/>
  <c r="AU367" i="1"/>
  <c r="AO167" i="1"/>
  <c r="AW167" i="1"/>
  <c r="AQ114" i="1"/>
  <c r="AY114" i="1"/>
  <c r="AM147" i="1"/>
  <c r="AU147" i="1"/>
  <c r="AN161" i="1"/>
  <c r="AV161" i="1"/>
  <c r="AO45" i="1"/>
  <c r="AW45" i="1"/>
  <c r="AM241" i="1"/>
  <c r="AU241" i="1"/>
  <c r="AO166" i="1"/>
  <c r="AW166" i="1"/>
  <c r="AO321" i="1"/>
  <c r="AW321" i="1"/>
  <c r="AM500" i="1"/>
  <c r="AU500" i="1"/>
  <c r="AO410" i="1"/>
  <c r="AW410" i="1"/>
  <c r="AP118" i="1"/>
  <c r="AX118" i="1"/>
  <c r="AM291" i="1"/>
  <c r="AU291" i="1"/>
  <c r="AM360" i="1"/>
  <c r="AU360" i="1"/>
  <c r="AN164" i="1"/>
  <c r="AV164" i="1"/>
  <c r="AO498" i="1"/>
  <c r="AW498" i="1"/>
  <c r="AQ174" i="1"/>
  <c r="AY174" i="1"/>
  <c r="AO234" i="1"/>
  <c r="AW234" i="1"/>
  <c r="AN484" i="1"/>
  <c r="AV484" i="1"/>
  <c r="AN510" i="1"/>
  <c r="AV510" i="1"/>
  <c r="AO308" i="1"/>
  <c r="AW308" i="1"/>
  <c r="AP297" i="1"/>
  <c r="AX297" i="1"/>
  <c r="AN307" i="1"/>
  <c r="AV307" i="1"/>
  <c r="AM182" i="1"/>
  <c r="AU182" i="1"/>
  <c r="AN168" i="1"/>
  <c r="AV168" i="1"/>
  <c r="AO507" i="1"/>
  <c r="AW507" i="1"/>
  <c r="AP120" i="1"/>
  <c r="AX120" i="1"/>
  <c r="AO506" i="1"/>
  <c r="AW506" i="1"/>
  <c r="AQ300" i="1"/>
  <c r="AY300" i="1"/>
  <c r="AM266" i="1"/>
  <c r="AU266" i="1"/>
  <c r="AM465" i="1"/>
  <c r="AU465" i="1"/>
  <c r="AM434" i="1"/>
  <c r="AU434" i="1"/>
  <c r="AQ390" i="1"/>
  <c r="AY390" i="1"/>
  <c r="AM271" i="1"/>
  <c r="AU271" i="1"/>
  <c r="AP399" i="1"/>
  <c r="AX399" i="1"/>
  <c r="AM18" i="1"/>
  <c r="AU18" i="1"/>
  <c r="AQ389" i="1"/>
  <c r="AY389" i="1"/>
  <c r="AM521" i="1"/>
  <c r="AU521" i="1"/>
  <c r="AM450" i="1"/>
  <c r="AU450" i="1"/>
  <c r="AM222" i="1"/>
  <c r="AU222" i="1"/>
  <c r="AM454" i="1"/>
  <c r="AU454" i="1"/>
  <c r="AM520" i="1"/>
  <c r="AU520" i="1"/>
  <c r="AM346" i="1"/>
  <c r="AU346" i="1"/>
  <c r="AM327" i="1"/>
  <c r="AU327" i="1"/>
  <c r="AQ392" i="1"/>
  <c r="AY392" i="1"/>
  <c r="AM444" i="1"/>
  <c r="AU444" i="1"/>
  <c r="AM251" i="1"/>
  <c r="AU251" i="1"/>
  <c r="AM523" i="1"/>
  <c r="AU523" i="1"/>
  <c r="AM540" i="1"/>
  <c r="AU540" i="1"/>
  <c r="AM544" i="1"/>
  <c r="AM547" i="1"/>
  <c r="AM546" i="1"/>
  <c r="AM545" i="1"/>
  <c r="AM548" i="1"/>
  <c r="AM542" i="1"/>
  <c r="AO314" i="1"/>
  <c r="AO315" i="1"/>
  <c r="AP481" i="1"/>
  <c r="Y85" i="3"/>
  <c r="Y72" i="3"/>
  <c r="Y56" i="3"/>
  <c r="Y46" i="3"/>
  <c r="Y12" i="3"/>
  <c r="Y88" i="3"/>
  <c r="W88" i="3" s="1"/>
  <c r="Y75" i="3"/>
  <c r="W75" i="3" s="1"/>
  <c r="Y59" i="3"/>
  <c r="W59" i="3" s="1"/>
  <c r="Y27" i="3"/>
  <c r="W27" i="3" s="1"/>
  <c r="Y91" i="3"/>
  <c r="W91" i="3" s="1"/>
  <c r="Y62" i="3"/>
  <c r="W62" i="3" s="1"/>
  <c r="Y30" i="3"/>
  <c r="W30" i="3" s="1"/>
  <c r="Y17" i="3"/>
  <c r="W17" i="3" s="1"/>
  <c r="Y6" i="3"/>
  <c r="W6" i="3" s="1"/>
  <c r="Y68" i="3"/>
  <c r="W68" i="3" s="1"/>
  <c r="Y36" i="3"/>
  <c r="W36" i="3" s="1"/>
  <c r="Y20" i="3"/>
  <c r="Y78" i="3"/>
  <c r="Y39" i="3"/>
  <c r="Y23" i="3"/>
  <c r="Y81" i="3"/>
  <c r="W81" i="3" s="1"/>
  <c r="Y52" i="3"/>
  <c r="Y42" i="3"/>
  <c r="W42" i="3" s="1"/>
  <c r="Y87" i="3"/>
  <c r="Y66" i="3"/>
  <c r="Y5" i="3"/>
  <c r="Y83" i="3"/>
  <c r="W83" i="3" s="1"/>
  <c r="Y79" i="3"/>
  <c r="Y74" i="3"/>
  <c r="W74" i="3" s="1"/>
  <c r="Y49" i="3"/>
  <c r="Y32" i="3"/>
  <c r="W32" i="3" s="1"/>
  <c r="Y24" i="3"/>
  <c r="W24" i="3" s="1"/>
  <c r="Y9" i="3"/>
  <c r="Y70" i="3"/>
  <c r="W70" i="3" s="1"/>
  <c r="Y28" i="3"/>
  <c r="Y94" i="3"/>
  <c r="Y80" i="3"/>
  <c r="W80" i="3" s="1"/>
  <c r="Y33" i="3"/>
  <c r="Y14" i="3"/>
  <c r="W14" i="3" s="1"/>
  <c r="Y7" i="3"/>
  <c r="Y60" i="3"/>
  <c r="Y18" i="3"/>
  <c r="W18" i="3" s="1"/>
  <c r="Y89" i="3"/>
  <c r="W89" i="3" s="1"/>
  <c r="Y84" i="3"/>
  <c r="Y64" i="3"/>
  <c r="Y55" i="3"/>
  <c r="Y37" i="3"/>
  <c r="Y93" i="3"/>
  <c r="W93" i="3" s="1"/>
  <c r="Y41" i="3"/>
  <c r="Y22" i="3"/>
  <c r="W22" i="3" s="1"/>
  <c r="Y40" i="3"/>
  <c r="W40" i="3" s="1"/>
  <c r="Y29" i="3"/>
  <c r="W29" i="3" s="1"/>
  <c r="Y16" i="3"/>
  <c r="W16" i="3" s="1"/>
  <c r="Y95" i="3"/>
  <c r="W95" i="3" s="1"/>
  <c r="Y45" i="3"/>
  <c r="Y82" i="3"/>
  <c r="W82" i="3" s="1"/>
  <c r="Y76" i="3"/>
  <c r="Y69" i="3"/>
  <c r="Y15" i="3"/>
  <c r="W15" i="3" s="1"/>
  <c r="Y11" i="3"/>
  <c r="W11" i="3" s="1"/>
  <c r="Y63" i="3"/>
  <c r="Y57" i="3"/>
  <c r="Y51" i="3"/>
  <c r="Y34" i="3"/>
  <c r="W34" i="3" s="1"/>
  <c r="Y92" i="3"/>
  <c r="Y77" i="3"/>
  <c r="W77" i="3" s="1"/>
  <c r="Y67" i="3"/>
  <c r="Y50" i="3"/>
  <c r="W50" i="3" s="1"/>
  <c r="Y58" i="3"/>
  <c r="Y13" i="3"/>
  <c r="Y43" i="3"/>
  <c r="Y35" i="3"/>
  <c r="W35" i="3" s="1"/>
  <c r="Y21" i="3"/>
  <c r="W21" i="3" s="1"/>
  <c r="Y38" i="3"/>
  <c r="W38" i="3" s="1"/>
  <c r="Y54" i="3"/>
  <c r="W54" i="3" s="1"/>
  <c r="Y86" i="3"/>
  <c r="W86" i="3" s="1"/>
  <c r="Y53" i="3"/>
  <c r="W53" i="3" s="1"/>
  <c r="Y25" i="3"/>
  <c r="Y61" i="3"/>
  <c r="W61" i="3" s="1"/>
  <c r="Y19" i="3"/>
  <c r="W19" i="3" s="1"/>
  <c r="Y26" i="3"/>
  <c r="W26" i="3" s="1"/>
  <c r="Y65" i="3"/>
  <c r="Y10" i="3"/>
  <c r="W10" i="3" s="1"/>
  <c r="Y8" i="3"/>
  <c r="W8" i="3" s="1"/>
  <c r="Y47" i="3"/>
  <c r="Y73" i="3"/>
  <c r="W73" i="3" s="1"/>
  <c r="Y44" i="3"/>
  <c r="Y48" i="3"/>
  <c r="Y31" i="3"/>
  <c r="W31" i="3" s="1"/>
  <c r="Y90" i="3"/>
  <c r="W90" i="3" s="1"/>
  <c r="Y71" i="3"/>
  <c r="W43" i="3"/>
  <c r="W39" i="3"/>
  <c r="W64" i="3"/>
  <c r="W44" i="3"/>
  <c r="W7" i="3"/>
  <c r="W65" i="3"/>
  <c r="W23" i="3"/>
  <c r="W92" i="3"/>
  <c r="W55" i="3"/>
  <c r="W84" i="3"/>
  <c r="W9" i="3"/>
  <c r="W57" i="3"/>
  <c r="Q69" i="3"/>
  <c r="Q85" i="3"/>
  <c r="Q72" i="3"/>
  <c r="Q56" i="3"/>
  <c r="Q46" i="3"/>
  <c r="Q88" i="3"/>
  <c r="Q75" i="3"/>
  <c r="Q59" i="3"/>
  <c r="Q27" i="3"/>
  <c r="Q62" i="3"/>
  <c r="Q20" i="3"/>
  <c r="Q58" i="3"/>
  <c r="Q45" i="3"/>
  <c r="Q41" i="3"/>
  <c r="Q16" i="3"/>
  <c r="Q76" i="3"/>
  <c r="Q94" i="3"/>
  <c r="Q47" i="3"/>
  <c r="Q42" i="3"/>
  <c r="Q33" i="3"/>
  <c r="Q23" i="3"/>
  <c r="Q14" i="3"/>
  <c r="Q11" i="3"/>
  <c r="Q80" i="3"/>
  <c r="Q64" i="3"/>
  <c r="Q52" i="3"/>
  <c r="Q35" i="3"/>
  <c r="Q77" i="3"/>
  <c r="Q40" i="3"/>
  <c r="Q89" i="3"/>
  <c r="Q22" i="3"/>
  <c r="Q60" i="3"/>
  <c r="Q15" i="3"/>
  <c r="Q74" i="3"/>
  <c r="Q9" i="3"/>
  <c r="Q91" i="3"/>
  <c r="Q84" i="3"/>
  <c r="Q67" i="3"/>
  <c r="Q30" i="3"/>
  <c r="Q44" i="3"/>
  <c r="Q36" i="3"/>
  <c r="Q6" i="3"/>
  <c r="Q93" i="3"/>
  <c r="Q17" i="3"/>
  <c r="Q26" i="3"/>
  <c r="Q73" i="3"/>
  <c r="Q48" i="3"/>
  <c r="Q5" i="3"/>
  <c r="Q68" i="3"/>
  <c r="Q57" i="3"/>
  <c r="Q55" i="3"/>
  <c r="Q87" i="3"/>
  <c r="Q78" i="3"/>
  <c r="Q54" i="3"/>
  <c r="Q25" i="3"/>
  <c r="Q79" i="3"/>
  <c r="Q32" i="3"/>
  <c r="Q49" i="3"/>
  <c r="Q24" i="3"/>
  <c r="Q19" i="3"/>
  <c r="W45" i="3"/>
  <c r="W49" i="3"/>
  <c r="W51" i="3"/>
  <c r="Q53" i="3"/>
  <c r="W47" i="3"/>
  <c r="W58" i="3"/>
  <c r="W79" i="3"/>
  <c r="W12" i="3"/>
  <c r="Q95" i="3"/>
  <c r="W71" i="3"/>
  <c r="W46" i="3"/>
  <c r="Q43" i="3"/>
  <c r="Q8" i="3"/>
  <c r="W41" i="3"/>
  <c r="W13" i="3"/>
  <c r="W87" i="3"/>
  <c r="W37" i="3"/>
  <c r="W67" i="3"/>
  <c r="W78" i="3"/>
  <c r="W60" i="3"/>
  <c r="W63" i="3"/>
  <c r="W33" i="3"/>
  <c r="W28" i="3"/>
  <c r="W94" i="3"/>
  <c r="Q12" i="3"/>
  <c r="Q18" i="3"/>
  <c r="Q61" i="3"/>
  <c r="Q51" i="3"/>
  <c r="W56" i="3"/>
  <c r="Q21" i="3"/>
  <c r="W5" i="3"/>
  <c r="W72" i="3"/>
  <c r="Q66" i="3"/>
  <c r="Q50" i="3"/>
  <c r="Q7" i="3"/>
  <c r="Q70" i="3"/>
  <c r="Q10" i="3"/>
  <c r="Q31" i="3"/>
  <c r="W66" i="3"/>
  <c r="W85" i="3"/>
  <c r="Q81" i="3"/>
  <c r="AU74" i="1" l="1"/>
  <c r="AU295" i="1"/>
  <c r="AU54" i="1"/>
  <c r="AU141" i="1"/>
  <c r="AM44" i="1"/>
  <c r="AU44" i="1"/>
  <c r="AQ11" i="1"/>
  <c r="AY11" i="1"/>
  <c r="AM481" i="1"/>
  <c r="AU481" i="1"/>
  <c r="AM422" i="1"/>
  <c r="AU422" i="1"/>
  <c r="AM299" i="1"/>
  <c r="AU299" i="1"/>
  <c r="AM98" i="1"/>
  <c r="AU98" i="1"/>
  <c r="AM63" i="1"/>
  <c r="AU63" i="1"/>
  <c r="AM96" i="1"/>
  <c r="AU96" i="1"/>
  <c r="AM337" i="1"/>
  <c r="AU337" i="1"/>
  <c r="AM321" i="1"/>
  <c r="AU321" i="1"/>
  <c r="AM325" i="1"/>
  <c r="AU325" i="1"/>
  <c r="AM318" i="1"/>
  <c r="AU318" i="1"/>
  <c r="AM387" i="1"/>
  <c r="AU387" i="1"/>
  <c r="AM30" i="1"/>
  <c r="AU30" i="1"/>
  <c r="AM157" i="1"/>
  <c r="AU157" i="1"/>
  <c r="AM153" i="1"/>
  <c r="AU153" i="1"/>
  <c r="AM316" i="1"/>
  <c r="AU316" i="1"/>
  <c r="AM323" i="1"/>
  <c r="AU323" i="1"/>
  <c r="AM137" i="1"/>
  <c r="AU137" i="1"/>
  <c r="AM69" i="1"/>
  <c r="AU69" i="1"/>
  <c r="AM56" i="1"/>
  <c r="AU56" i="1"/>
  <c r="AM311" i="1"/>
  <c r="AU311" i="1"/>
  <c r="AM90" i="1"/>
  <c r="AU90" i="1"/>
  <c r="AQ134" i="1"/>
  <c r="AY134" i="1"/>
  <c r="AM426" i="1"/>
  <c r="AU426" i="1"/>
  <c r="AM130" i="1"/>
  <c r="AU130" i="1"/>
  <c r="AM23" i="1"/>
  <c r="AU23" i="1"/>
  <c r="AM497" i="1"/>
  <c r="AU497" i="1"/>
  <c r="AO67" i="1"/>
  <c r="AW67" i="1"/>
  <c r="AP427" i="1"/>
  <c r="AX427" i="1"/>
  <c r="AM308" i="1"/>
  <c r="AU308" i="1"/>
  <c r="AM487" i="1"/>
  <c r="AU487" i="1"/>
  <c r="AM142" i="1"/>
  <c r="AU142" i="1"/>
  <c r="AO71" i="1"/>
  <c r="AW71" i="1"/>
  <c r="AM294" i="1"/>
  <c r="AU294" i="1"/>
  <c r="AM492" i="1"/>
  <c r="AU492" i="1"/>
  <c r="AM320" i="1"/>
  <c r="AU320" i="1"/>
  <c r="AM309" i="1"/>
  <c r="AU309" i="1"/>
  <c r="AM490" i="1"/>
  <c r="AU490" i="1"/>
  <c r="AM394" i="1"/>
  <c r="AU394" i="1"/>
  <c r="AM52" i="1"/>
  <c r="AU52" i="1"/>
  <c r="AM31" i="1"/>
  <c r="AU31" i="1"/>
  <c r="AM397" i="1"/>
  <c r="AU397" i="1"/>
  <c r="AM493" i="1"/>
  <c r="AU493" i="1"/>
  <c r="AM315" i="1"/>
  <c r="AU315" i="1"/>
  <c r="AM486" i="1"/>
  <c r="AU486" i="1"/>
  <c r="AM72" i="1"/>
  <c r="AU72" i="1"/>
  <c r="AM398" i="1"/>
  <c r="AU398" i="1"/>
  <c r="AN427" i="1"/>
  <c r="AV427" i="1"/>
  <c r="AM46" i="1"/>
  <c r="AU46" i="1"/>
  <c r="AO70" i="1"/>
  <c r="AW70" i="1"/>
  <c r="AM58" i="1"/>
  <c r="AU58" i="1"/>
  <c r="AM255" i="1"/>
  <c r="AU255" i="1"/>
  <c r="AP425" i="1"/>
  <c r="AX425" i="1"/>
  <c r="AM331" i="1"/>
  <c r="AU331" i="1"/>
  <c r="AM290" i="1"/>
  <c r="AU290" i="1"/>
  <c r="AM356" i="1"/>
  <c r="AU356" i="1"/>
  <c r="AM101" i="1"/>
  <c r="AU101" i="1"/>
  <c r="AM16" i="1"/>
  <c r="AU16" i="1"/>
  <c r="AM396" i="1"/>
  <c r="AU396" i="1"/>
  <c r="AM399" i="1"/>
  <c r="AU399" i="1"/>
  <c r="AM50" i="1"/>
  <c r="AU50" i="1"/>
  <c r="AM400" i="1"/>
  <c r="AU400" i="1"/>
  <c r="AM317" i="1"/>
  <c r="AU317" i="1"/>
  <c r="AM322" i="1"/>
  <c r="AU322" i="1"/>
  <c r="AM324" i="1"/>
  <c r="AU324" i="1"/>
  <c r="AO425" i="1"/>
  <c r="AW425" i="1"/>
  <c r="AM389" i="1"/>
  <c r="AU389" i="1"/>
  <c r="AM282" i="1"/>
  <c r="AU282" i="1"/>
  <c r="AM59" i="1"/>
  <c r="AU59" i="1"/>
  <c r="AM390" i="1"/>
  <c r="AU390" i="1"/>
  <c r="AM314" i="1"/>
  <c r="AU314" i="1"/>
  <c r="AO427" i="1"/>
  <c r="AW427" i="1"/>
  <c r="AQ427" i="1"/>
  <c r="AY427" i="1"/>
  <c r="AM283" i="1"/>
  <c r="AU283" i="1"/>
  <c r="AM310" i="1"/>
  <c r="AU310" i="1"/>
  <c r="AN425" i="1"/>
  <c r="AV425" i="1"/>
  <c r="AM298" i="1"/>
  <c r="AU298" i="1"/>
  <c r="AM319" i="1"/>
  <c r="AU319" i="1"/>
  <c r="AM326" i="1"/>
  <c r="AU326" i="1"/>
  <c r="AM354" i="1"/>
  <c r="AU354" i="1"/>
  <c r="AQ287" i="1"/>
  <c r="AY287" i="1"/>
  <c r="AP426" i="1"/>
  <c r="AX426" i="1"/>
  <c r="AM303" i="1"/>
  <c r="AU303" i="1"/>
  <c r="AM38" i="1"/>
  <c r="AU38" i="1"/>
  <c r="AM158" i="1"/>
  <c r="AU158" i="1"/>
  <c r="AM253" i="1"/>
  <c r="AU253" i="1"/>
  <c r="AM301" i="1"/>
  <c r="AU301" i="1"/>
  <c r="AQ68" i="1"/>
  <c r="AY68" i="1"/>
  <c r="AM260" i="1"/>
  <c r="AU260" i="1"/>
  <c r="AM281" i="1"/>
  <c r="AU281" i="1"/>
  <c r="AM51" i="1"/>
  <c r="AU51" i="1"/>
  <c r="AM47" i="1"/>
  <c r="AU47" i="1"/>
  <c r="AM312" i="1"/>
  <c r="AU312" i="1"/>
  <c r="AM338" i="1"/>
  <c r="AU338" i="1"/>
  <c r="AM53" i="1"/>
  <c r="AU53" i="1"/>
  <c r="AM259" i="1"/>
  <c r="AU259" i="1"/>
  <c r="AP428" i="1"/>
  <c r="AX428" i="1"/>
  <c r="AQ111" i="1"/>
  <c r="AY111" i="1"/>
  <c r="AM57" i="1"/>
  <c r="AU57" i="1"/>
  <c r="AQ425" i="1"/>
  <c r="AY425" i="1"/>
  <c r="AM343" i="1"/>
  <c r="AU343" i="1"/>
  <c r="AM43" i="1"/>
  <c r="AU43" i="1"/>
  <c r="AM494" i="1"/>
  <c r="AU494" i="1"/>
  <c r="AM349" i="1"/>
  <c r="AU349" i="1"/>
  <c r="AM357" i="1"/>
  <c r="AU357" i="1"/>
  <c r="AM489" i="1"/>
  <c r="AU489" i="1"/>
  <c r="AM293" i="1"/>
  <c r="AU293" i="1"/>
  <c r="AM344" i="1"/>
  <c r="AU344" i="1"/>
  <c r="AM313" i="1"/>
  <c r="AU313" i="1"/>
  <c r="AM238" i="1"/>
  <c r="AU238" i="1"/>
  <c r="AM351" i="1"/>
  <c r="AU351" i="1"/>
  <c r="AM77" i="1"/>
  <c r="AU77" i="1"/>
  <c r="AM328" i="1"/>
  <c r="AU328" i="1"/>
  <c r="AM482" i="1"/>
  <c r="AU482" i="1"/>
  <c r="AM483" i="1"/>
  <c r="AU483" i="1"/>
  <c r="AM423" i="1"/>
  <c r="AU423" i="1"/>
  <c r="AM37" i="1"/>
  <c r="AU37" i="1"/>
  <c r="AM362" i="1"/>
  <c r="AU362" i="1"/>
  <c r="AM428" i="1"/>
  <c r="AU428" i="1"/>
  <c r="AM233" i="1"/>
  <c r="AU233" i="1"/>
  <c r="AM485" i="1"/>
  <c r="AU485" i="1"/>
  <c r="AM333" i="1"/>
  <c r="AU333" i="1"/>
  <c r="AM140" i="1"/>
  <c r="AU140" i="1"/>
  <c r="AO6" i="1"/>
  <c r="AW6" i="1"/>
  <c r="AM496" i="1"/>
  <c r="AU496" i="1"/>
  <c r="AM393" i="1"/>
  <c r="AU393" i="1"/>
  <c r="AO428" i="1"/>
  <c r="AW428" i="1"/>
  <c r="AM484" i="1"/>
  <c r="AU484" i="1"/>
  <c r="AM488" i="1"/>
  <c r="AU488" i="1"/>
  <c r="AM335" i="1"/>
  <c r="AU335" i="1"/>
  <c r="AM419" i="1"/>
  <c r="AU419" i="1"/>
  <c r="AM495" i="1"/>
  <c r="AU495" i="1"/>
  <c r="AM421" i="1"/>
  <c r="AU421" i="1"/>
  <c r="AM388" i="1"/>
  <c r="AU388" i="1"/>
  <c r="AN426" i="1"/>
  <c r="AV426" i="1"/>
  <c r="AM307" i="1"/>
  <c r="AU307" i="1"/>
  <c r="AM64" i="1"/>
  <c r="AU64" i="1"/>
  <c r="AM42" i="1"/>
  <c r="AU42" i="1"/>
  <c r="AQ329" i="1"/>
  <c r="AY329" i="1"/>
  <c r="AM49" i="1"/>
  <c r="AU49" i="1"/>
  <c r="AM392" i="1"/>
  <c r="AU392" i="1"/>
  <c r="AM363" i="1"/>
  <c r="AU363" i="1"/>
  <c r="AM480" i="1"/>
  <c r="AU480" i="1"/>
  <c r="AQ426" i="1"/>
  <c r="AY426" i="1"/>
  <c r="AM499" i="1"/>
  <c r="AU499" i="1"/>
  <c r="AM243" i="1"/>
  <c r="AU243" i="1"/>
  <c r="AN428" i="1"/>
  <c r="AV428" i="1"/>
  <c r="AM425" i="1"/>
  <c r="AU425" i="1"/>
  <c r="AM391" i="1"/>
  <c r="AU391" i="1"/>
  <c r="AM66" i="1"/>
  <c r="AU66" i="1"/>
  <c r="AQ330" i="1"/>
  <c r="AY330" i="1"/>
  <c r="AQ428" i="1"/>
  <c r="AY428" i="1"/>
  <c r="AM491" i="1"/>
  <c r="AU491" i="1"/>
  <c r="AM55" i="1"/>
  <c r="AU55" i="1"/>
  <c r="AQ72" i="1"/>
  <c r="AY72" i="1"/>
  <c r="AM340" i="1"/>
  <c r="AU340" i="1"/>
  <c r="AM395" i="1"/>
  <c r="AU395" i="1"/>
  <c r="AM284" i="1"/>
  <c r="AU284" i="1"/>
  <c r="AM424" i="1"/>
  <c r="AU424" i="1"/>
  <c r="V59" i="3"/>
  <c r="V21" i="3"/>
  <c r="V40" i="3"/>
  <c r="V74" i="3"/>
  <c r="V75" i="3"/>
  <c r="V22" i="3"/>
  <c r="W96" i="3"/>
  <c r="V12" i="3"/>
  <c r="V64" i="3"/>
  <c r="V79" i="3"/>
  <c r="V58" i="3"/>
  <c r="V45" i="3"/>
  <c r="V71" i="3"/>
  <c r="V7" i="3"/>
  <c r="V73" i="3"/>
  <c r="Q96" i="3"/>
  <c r="V8" i="3"/>
  <c r="V15" i="3"/>
  <c r="V72" i="3"/>
  <c r="V11" i="3"/>
  <c r="AM288" i="1" l="1"/>
  <c r="AU288" i="1"/>
  <c r="AM330" i="1"/>
  <c r="AU330" i="1"/>
  <c r="AP111" i="1"/>
  <c r="AX111" i="1"/>
  <c r="AM287" i="1"/>
  <c r="AU287" i="1"/>
  <c r="AM11" i="1"/>
  <c r="AU11" i="1"/>
  <c r="AM427" i="1"/>
  <c r="AU427" i="1"/>
  <c r="AP134" i="1"/>
  <c r="AX134" i="1"/>
  <c r="AM67" i="1"/>
  <c r="AU67" i="1"/>
  <c r="AM71" i="1"/>
  <c r="AU71" i="1"/>
  <c r="AM70" i="1"/>
  <c r="AU70" i="1"/>
  <c r="AM6" i="1"/>
  <c r="AU6" i="1"/>
  <c r="AM329" i="1"/>
  <c r="AU329" i="1"/>
  <c r="AQ288" i="1"/>
  <c r="AY288" i="1"/>
  <c r="AM68" i="1"/>
  <c r="AU68" i="1"/>
  <c r="AO75" i="1"/>
  <c r="AW75" i="1"/>
  <c r="V69" i="3"/>
  <c r="V20" i="3"/>
  <c r="V52" i="3"/>
  <c r="V76" i="3"/>
  <c r="V48" i="3"/>
  <c r="V25" i="3"/>
  <c r="V10" i="3"/>
  <c r="V35" i="3"/>
  <c r="V57" i="3"/>
  <c r="V81" i="3"/>
  <c r="V23" i="3"/>
  <c r="V5" i="3"/>
  <c r="V29" i="3"/>
  <c r="V67" i="3"/>
  <c r="V46" i="3"/>
  <c r="V38" i="3"/>
  <c r="V65" i="3"/>
  <c r="V94" i="3"/>
  <c r="V27" i="3"/>
  <c r="V44" i="3"/>
  <c r="V47" i="3"/>
  <c r="V92" i="3"/>
  <c r="V26" i="3"/>
  <c r="V32" i="3"/>
  <c r="V78" i="3"/>
  <c r="V56" i="3"/>
  <c r="V16" i="3"/>
  <c r="V37" i="3"/>
  <c r="V66" i="3"/>
  <c r="V85" i="3"/>
  <c r="V51" i="3"/>
  <c r="V91" i="3"/>
  <c r="V86" i="3"/>
  <c r="V43" i="3"/>
  <c r="V39" i="3"/>
  <c r="V87" i="3"/>
  <c r="V24" i="3"/>
  <c r="V33" i="3"/>
  <c r="V55" i="3"/>
  <c r="V18" i="3"/>
  <c r="V95" i="3"/>
  <c r="V62" i="3"/>
  <c r="V60" i="3"/>
  <c r="V34" i="3"/>
  <c r="V53" i="3"/>
  <c r="V49" i="3"/>
  <c r="V42" i="3"/>
  <c r="V54" i="3"/>
  <c r="V89" i="3"/>
  <c r="V30" i="3"/>
  <c r="V13" i="3"/>
  <c r="V31" i="3"/>
  <c r="V84" i="3"/>
  <c r="V77" i="3"/>
  <c r="V70" i="3"/>
  <c r="V17" i="3"/>
  <c r="V68" i="3"/>
  <c r="V82" i="3"/>
  <c r="V61" i="3"/>
  <c r="V50" i="3"/>
  <c r="V6" i="3"/>
  <c r="V28" i="3"/>
  <c r="V93" i="3"/>
  <c r="V80" i="3"/>
  <c r="V19" i="3"/>
  <c r="V90" i="3"/>
  <c r="V41" i="3"/>
  <c r="V83" i="3"/>
  <c r="V36" i="3"/>
  <c r="V9" i="3"/>
  <c r="V63" i="3"/>
  <c r="V88" i="3"/>
  <c r="V14" i="3"/>
  <c r="AO134" i="1" l="1"/>
  <c r="AW134" i="1"/>
  <c r="AM75" i="1"/>
  <c r="AU75" i="1"/>
  <c r="AO111" i="1"/>
  <c r="AW111" i="1"/>
  <c r="V96" i="3"/>
  <c r="AM111" i="1" l="1"/>
  <c r="AU111" i="1"/>
  <c r="AM134" i="1"/>
  <c r="AU134"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Akash Kailas Patil</author>
  </authors>
  <commentList>
    <comment ref="T4" authorId="0" shapeId="0" xr:uid="{00000000-0006-0000-0000-000083010000}">
      <text>
        <r>
          <rPr>
            <sz val="11"/>
            <color theme="1"/>
            <rFont val="Calibri"/>
            <family val="2"/>
            <scheme val="minor"/>
          </rPr>
          <t>======
ID#AAABgPOYtdc
tc={BD58612B-C4F0-42F9-AD0A-7B791103377F}    (2025-04-24 02:27:59)
[Threaded comment]
Your version of Excel allows you to read this threaded comment; however, any edits to it will get removed if the file is opened in a newer version of Excel. Learn more: https://go.microsoft.com/fwlink/?linkid=870924
Comment:
    Ethane feedstock</t>
        </r>
      </text>
    </comment>
    <comment ref="AG4" authorId="0" shapeId="0" xr:uid="{00000000-0006-0000-0000-000035010000}">
      <text>
        <r>
          <rPr>
            <sz val="11"/>
            <color theme="1"/>
            <rFont val="Calibri"/>
            <family val="2"/>
            <scheme val="minor"/>
          </rPr>
          <t>======
ID#AAABrLiRNoY
Jibran Zuberi    (2025-09-16 01:30:47)
https://news.oilandgaswatch.org/post/with-14-ethane-cracker-projects-looming-analysts-wonder-whether-companies-are-overbuilding#:~:text=The%20capacity%20to%20make%20ethylene,million%20metric%20tons%20per%20year.</t>
        </r>
      </text>
    </comment>
    <comment ref="J6" authorId="0" shapeId="0" xr:uid="{00000000-0006-0000-0000-0000DB010000}">
      <text>
        <r>
          <rPr>
            <sz val="11"/>
            <color theme="1"/>
            <rFont val="Calibri"/>
            <family val="2"/>
            <scheme val="minor"/>
          </rPr>
          <t>======
ID#AAABia1I0qY
tc={DD02BE15-1890-4869-9C48-E6A7C84F72ED}    (2025-04-24 02:27:58)
[Threaded comment]
Your version of Excel allows you to read this threaded comment; however, any edits to it will get removed if the file is opened in a newer version of Excel. Learn more: https://go.microsoft.com/fwlink/?linkid=870924
Comment:
    https://www.turbinesinfo.com/steam-turbine-efficiency/</t>
        </r>
      </text>
    </comment>
    <comment ref="J9" authorId="0" shapeId="0" xr:uid="{00000000-0006-0000-0000-00003D000000}">
      <text>
        <r>
          <rPr>
            <sz val="11"/>
            <color theme="1"/>
            <rFont val="Calibri"/>
            <family val="2"/>
            <scheme val="minor"/>
          </rPr>
          <t>======
ID#AAAB4KSUTas
Akash Kailas Patil    (2026-04-08 23:26:15)
https://www.sciencedirect.com/science/article/pii/S1364032124001655</t>
        </r>
      </text>
    </comment>
    <comment ref="J11" authorId="0" shapeId="0" xr:uid="{00000000-0006-0000-0000-0000CA000000}">
      <text>
        <r>
          <rPr>
            <sz val="11"/>
            <color theme="1"/>
            <rFont val="Calibri"/>
            <family val="2"/>
            <scheme val="minor"/>
          </rPr>
          <t>======
ID#AAAB4J9eaUQ
Akash Kailas Patil    (2026-04-08 23:26:15)
https://www.prefeed.com/common/pdf/1509E.pdf</t>
        </r>
      </text>
    </comment>
    <comment ref="D14" authorId="0" shapeId="0" xr:uid="{00000000-0006-0000-0000-0000D4010000}">
      <text>
        <r>
          <rPr>
            <sz val="11"/>
            <color theme="1"/>
            <rFont val="Calibri"/>
            <family val="2"/>
            <scheme val="minor"/>
          </rPr>
          <t>======
ID#AAABia1I0q0
tc={73B4294D-FAD0-4C18-B7C2-158B5EEEAB51}    (2025-04-24 02:27:58)
[Threaded comment]
Your version of Excel allows you to read this threaded comment; however, any edits to it will get removed if the file is opened in a newer version of Excel. Learn more: https://go.microsoft.com/fwlink/?linkid=870924
Comment:
    Coal grinding</t>
        </r>
      </text>
    </comment>
    <comment ref="D15" authorId="0" shapeId="0" xr:uid="{00000000-0006-0000-0000-0000EA010000}">
      <text>
        <r>
          <rPr>
            <sz val="11"/>
            <color theme="1"/>
            <rFont val="Calibri"/>
            <family val="2"/>
            <scheme val="minor"/>
          </rPr>
          <t>======
ID#AAABia1I0pc
tc={C058CFE9-40A0-4474-8277-5F48BFF3EDE1}    (2025-04-24 02:27:58)
[Threaded comment]
Your version of Excel allows you to read this threaded comment; however, any edits to it will get removed if the file is opened in a newer version of Excel. Learn more: https://go.microsoft.com/fwlink/?linkid=870924
Comment:
    Raw material (limestone) grinding</t>
        </r>
      </text>
    </comment>
    <comment ref="T15" authorId="0" shapeId="0" xr:uid="{00000000-0006-0000-0000-0000B4010000}">
      <text>
        <r>
          <rPr>
            <sz val="11"/>
            <color theme="1"/>
            <rFont val="Calibri"/>
            <family val="2"/>
            <scheme val="minor"/>
          </rPr>
          <t>======
ID#AAABgPOYtaM
tc={8EECD6D5-9043-4086-92FC-30CE3C847A49}    (2025-04-24 02:27:59)
[Threaded comment]
Your version of Excel allows you to read this threaded comment; however, any edits to it will get removed if the file is opened in a newer version of Excel. Learn more: https://go.microsoft.com/fwlink/?linkid=870924
Comment:
    Primarily limestone</t>
        </r>
      </text>
    </comment>
    <comment ref="I16" authorId="0" shapeId="0" xr:uid="{00000000-0006-0000-0000-0000BF010000}">
      <text>
        <r>
          <rPr>
            <sz val="11"/>
            <color theme="1"/>
            <rFont val="Calibri"/>
            <family val="2"/>
            <scheme val="minor"/>
          </rPr>
          <t>======
ID#AAABgPOYtZg
tc={2C5E039E-F77D-4F41-BA53-A0F0EB37CC5D}    (2025-04-24 02:27:59)
[Threaded comment]
Your version of Excel allows you to read this threaded comment; however, any edits to it will get removed if the file is opened in a newer version of Excel. Learn more: https://go.microsoft.com/fwlink/?linkid=870924
Comment:
    https://www.ssiconsultingllc.com/blog/silo-design-best-practices-1-homogenizing-and-blending-silos</t>
        </r>
      </text>
    </comment>
    <comment ref="J17" authorId="0" shapeId="0" xr:uid="{00000000-0006-0000-0000-0000BE010000}">
      <text>
        <r>
          <rPr>
            <sz val="11"/>
            <color theme="1"/>
            <rFont val="Calibri"/>
            <family val="2"/>
            <scheme val="minor"/>
          </rPr>
          <t>======
ID#AAABgPOYtZk
tc={930BA52E-5367-492B-B8AE-204674AFA238}    (2025-04-24 02:27:59)
[Threaded comment]
Your version of Excel allows you to read this threaded comment; however, any edits to it will get removed if the file is opened in a newer version of Excel. Learn more: https://go.microsoft.com/fwlink/?linkid=870924
Comment:
    https://doi.org/10.1016/j.applthermaleng.2016.10.053</t>
        </r>
      </text>
    </comment>
    <comment ref="AB17" authorId="0" shapeId="0" xr:uid="{00000000-0006-0000-0000-00006E010000}">
      <text>
        <r>
          <rPr>
            <sz val="11"/>
            <color theme="1"/>
            <rFont val="Calibri"/>
            <family val="2"/>
            <scheme val="minor"/>
          </rPr>
          <t>======
ID#AAABgPOYtew
tc={B2BA9BC9-79FF-4419-B614-D510691FA5AA}    (2025-04-24 02:27:59)
[Threaded comment]
Your version of Excel allows you to read this threaded comment; however, any edits to it will get removed if the file is opened in a newer version of Excel. Learn more: https://go.microsoft.com/fwlink/?linkid=870924
Comment:
    Typically ¼ of electricity demand for raw meal grinding (Ullmann’s).</t>
        </r>
      </text>
    </comment>
    <comment ref="D18" authorId="0" shapeId="0" xr:uid="{00000000-0006-0000-0000-000072010000}">
      <text>
        <r>
          <rPr>
            <sz val="11"/>
            <color theme="1"/>
            <rFont val="Calibri"/>
            <family val="2"/>
            <scheme val="minor"/>
          </rPr>
          <t>======
ID#AAABgPOYteg
tc={833B7A4C-68E1-4FE3-8D77-141495541A04}    (2025-04-24 02:27:59)
[Threaded comment]
Your version of Excel allows you to read this threaded comment; however, any edits to it will get removed if the file is opened in a newer version of Excel. Learn more: https://go.microsoft.com/fwlink/?linkid=870924
Comment:
    Clinker cooling</t>
        </r>
      </text>
    </comment>
    <comment ref="D19" authorId="0" shapeId="0" xr:uid="{00000000-0006-0000-0000-0000E8010000}">
      <text>
        <r>
          <rPr>
            <sz val="11"/>
            <color theme="1"/>
            <rFont val="Calibri"/>
            <family val="2"/>
            <scheme val="minor"/>
          </rPr>
          <t>======
ID#AAABia1I0pk
tc={C175CB44-9D9C-4CB5-A293-B696261D06E7}    (2025-04-24 02:27:58)
[Threaded comment]
Your version of Excel allows you to read this threaded comment; however, any edits to it will get removed if the file is opened in a newer version of Excel. Learn more: https://go.microsoft.com/fwlink/?linkid=870924
Comment:
    Cement grinding</t>
        </r>
      </text>
    </comment>
    <comment ref="T22" authorId="0" shapeId="0" xr:uid="{00000000-0006-0000-0000-0000DC010000}">
      <text>
        <r>
          <rPr>
            <sz val="11"/>
            <color theme="1"/>
            <rFont val="Calibri"/>
            <family val="2"/>
            <scheme val="minor"/>
          </rPr>
          <t>======
ID#AAABia1I0qU
tc={567FC121-392E-45ED-8CF5-D24B8F9CC3BD}    (2025-04-24 02:27:58)
[Threaded comment]
Your version of Excel allows you to read this threaded comment; however, any edits to it will get removed if the file is opened in a newer version of Excel. Learn more: https://go.microsoft.com/fwlink/?linkid=870924
Comment:
    Limestone</t>
        </r>
      </text>
    </comment>
    <comment ref="J24" authorId="0" shapeId="0" xr:uid="{00000000-0006-0000-0000-000061010000}">
      <text>
        <r>
          <rPr>
            <sz val="11"/>
            <color theme="1"/>
            <rFont val="Calibri"/>
            <family val="2"/>
            <scheme val="minor"/>
          </rPr>
          <t>======
ID#AAABgPOYtfk
tc={69C46666-7AE8-4EF0-93DC-D61424025137}    (2025-04-24 02:27:59)
[Threaded comment]
Your version of Excel allows you to read this threaded comment; however, any edits to it will get removed if the file is opened in a newer version of Excel. Learn more: https://go.microsoft.com/fwlink/?linkid=870924
Comment:
    JRC IPTS (2022) - Confidential</t>
        </r>
      </text>
    </comment>
    <comment ref="AB24" authorId="0" shapeId="0" xr:uid="{00000000-0006-0000-0000-000079010000}">
      <text>
        <r>
          <rPr>
            <sz val="11"/>
            <color theme="1"/>
            <rFont val="Calibri"/>
            <family val="2"/>
            <scheme val="minor"/>
          </rPr>
          <t>======
ID#AAABgPOYteE
tc={30E23727-43B2-490E-B33A-8A7AFB224ECF}    (2025-04-24 02:27:59)
[Threaded comment]
Your version of Excel allows you to read this threaded comment; however, any edits to it will get removed if the file is opened in a newer version of Excel. Learn more: https://go.microsoft.com/fwlink/?linkid=870924
Comment:
    Typically ¼ of electricity demand for raw meal grinding (Ullmann’s).</t>
        </r>
      </text>
    </comment>
    <comment ref="T29" authorId="0" shapeId="0" xr:uid="{00000000-0006-0000-0000-0000E4010000}">
      <text>
        <r>
          <rPr>
            <sz val="11"/>
            <color theme="1"/>
            <rFont val="Calibri"/>
            <family val="2"/>
            <scheme val="minor"/>
          </rPr>
          <t>======
ID#AAABia1I0p0
tc={682BAE5C-5FB5-42D4-9725-2C9C63B52EB2}    (2025-04-24 02:27:58)
[Threaded comment]
Your version of Excel allows you to read this threaded comment; however, any edits to it will get removed if the file is opened in a newer version of Excel. Learn more: https://go.microsoft.com/fwlink/?linkid=870924
Comment:
    Limestone</t>
        </r>
      </text>
    </comment>
    <comment ref="J31" authorId="0" shapeId="0" xr:uid="{00000000-0006-0000-0000-000068010000}">
      <text>
        <r>
          <rPr>
            <sz val="11"/>
            <color theme="1"/>
            <rFont val="Calibri"/>
            <family val="2"/>
            <scheme val="minor"/>
          </rPr>
          <t>======
ID#AAABgPOYtfI
tc={872DC92C-753A-4120-9298-CE3A5AEF0EE6}    (2025-04-24 02:27:59)
[Threaded comment]
Your version of Excel allows you to read this threaded comment; however, any edits to it will get removed if the file is opened in a newer version of Excel. Learn more: https://go.microsoft.com/fwlink/?linkid=870924
Comment:
    JRC IPTS (2022) - Confidential</t>
        </r>
      </text>
    </comment>
    <comment ref="AB31" authorId="0" shapeId="0" xr:uid="{00000000-0006-0000-0000-0000AE010000}">
      <text>
        <r>
          <rPr>
            <sz val="11"/>
            <color theme="1"/>
            <rFont val="Calibri"/>
            <family val="2"/>
            <scheme val="minor"/>
          </rPr>
          <t>======
ID#AAABgPOYtak
tc={E94F10C1-12F2-4019-9D9B-3BA2CCEE639B}    (2025-04-24 02:27:59)
[Threaded comment]
Your version of Excel allows you to read this threaded comment; however, any edits to it will get removed if the file is opened in a newer version of Excel. Learn more: https://go.microsoft.com/fwlink/?linkid=870924
Comment:
    Typically ¼ of electricity demand for raw meal grinding (Ullmann’s).</t>
        </r>
      </text>
    </comment>
    <comment ref="T36" authorId="0" shapeId="0" xr:uid="{00000000-0006-0000-0000-00008B010000}">
      <text>
        <r>
          <rPr>
            <sz val="11"/>
            <color theme="1"/>
            <rFont val="Calibri"/>
            <family val="2"/>
            <scheme val="minor"/>
          </rPr>
          <t>======
ID#AAABgPOYtcw
tc={C5966549-927E-4DA5-ACF9-945C3090C0E0}    (2025-04-24 02:27:59)
[Threaded comment]
Your version of Excel allows you to read this threaded comment; however, any edits to it will get removed if the file is opened in a newer version of Excel. Learn more: https://go.microsoft.com/fwlink/?linkid=870924
Comment:
    Limestone</t>
        </r>
      </text>
    </comment>
    <comment ref="J38" authorId="0" shapeId="0" xr:uid="{00000000-0006-0000-0000-000074010000}">
      <text>
        <r>
          <rPr>
            <sz val="11"/>
            <color theme="1"/>
            <rFont val="Calibri"/>
            <family val="2"/>
            <scheme val="minor"/>
          </rPr>
          <t>======
ID#AAABgPOYteY
tc={B0DE9AFD-08F3-414B-B9F5-F58658FA24F8}    (2025-04-24 02:27:59)
[Threaded comment]
Your version of Excel allows you to read this threaded comment; however, any edits to it will get removed if the file is opened in a newer version of Excel. Learn more: https://go.microsoft.com/fwlink/?linkid=870924
Comment:
    JRC IPTS (2022) - Confidential
Ullmann’s 2011</t>
        </r>
      </text>
    </comment>
    <comment ref="AB38" authorId="0" shapeId="0" xr:uid="{00000000-0006-0000-0000-0000D1010000}">
      <text>
        <r>
          <rPr>
            <sz val="11"/>
            <color theme="1"/>
            <rFont val="Calibri"/>
            <family val="2"/>
            <scheme val="minor"/>
          </rPr>
          <t>======
ID#AAABia1I0rA
tc={FCA7D03E-9692-45EC-B2CE-A79E166D7548}    (2025-04-24 02:27:58)
[Threaded comment]
Your version of Excel allows you to read this threaded comment; however, any edits to it will get removed if the file is opened in a newer version of Excel. Learn more: https://go.microsoft.com/fwlink/?linkid=870924
Comment:
    Typically ¼ of electricity demand for raw meal grinding (Ullmann’s).</t>
        </r>
      </text>
    </comment>
    <comment ref="S42" authorId="0" shapeId="0" xr:uid="{00000000-0006-0000-0000-0000D2010000}">
      <text>
        <r>
          <rPr>
            <sz val="11"/>
            <color theme="1"/>
            <rFont val="Calibri"/>
            <family val="2"/>
            <scheme val="minor"/>
          </rPr>
          <t>======
ID#AAABia1I0q8
btuser    (2025-04-24 02:27:58)
1 bushel = 56 lb of corn kernels</t>
        </r>
      </text>
    </comment>
    <comment ref="AG42" authorId="0" shapeId="0" xr:uid="{00000000-0006-0000-0000-000001000000}">
      <text>
        <r>
          <rPr>
            <sz val="11"/>
            <color theme="1"/>
            <rFont val="Calibri"/>
            <family val="2"/>
            <scheme val="minor"/>
          </rPr>
          <t>https://downloads.usda.library.cornell.edu/usda-esmis/files/v979v304g/sq87d9947/3n205h555/cagcan23.pdf
======</t>
        </r>
      </text>
    </comment>
    <comment ref="AB43" authorId="0" shapeId="0" xr:uid="{00000000-0006-0000-0000-00008C010000}">
      <text>
        <r>
          <rPr>
            <sz val="11"/>
            <color theme="1"/>
            <rFont val="Calibri"/>
            <family val="2"/>
            <scheme val="minor"/>
          </rPr>
          <t>======
ID#AAABgPOYtc0
btuser    (2025-04-24 02:27:59)
214 Btu/bu
To convert from Btu/bu to GJ/bu, multiply by 1.055*10-6 GJ/Btu</t>
        </r>
      </text>
    </comment>
    <comment ref="J47" authorId="0" shapeId="0" xr:uid="{00000000-0006-0000-0000-0000F8000000}">
      <text>
        <r>
          <rPr>
            <sz val="11"/>
            <color theme="1"/>
            <rFont val="Calibri"/>
            <family val="2"/>
            <scheme val="minor"/>
          </rPr>
          <t>======
ID#AAAB4J8XJYc
Akash Kailas Patil    (2026-04-08 23:26:15)
https://www.sciencedirect.com/science/article/pii/S1364032124001655</t>
        </r>
      </text>
    </comment>
    <comment ref="E52" authorId="0" shapeId="0" xr:uid="{00000000-0006-0000-0000-0000D9010000}">
      <text>
        <r>
          <rPr>
            <sz val="11"/>
            <color theme="1"/>
            <rFont val="Calibri"/>
            <family val="2"/>
            <scheme val="minor"/>
          </rPr>
          <t>======
ID#AAABia1I0qg
btuser    (2025-04-24 02:27:58)
Gluten from endosperm is dewatered and dried to make corn gluten meal</t>
        </r>
      </text>
    </comment>
    <comment ref="J52" authorId="0" shapeId="0" xr:uid="{00000000-0006-0000-0000-0000E9010000}">
      <text>
        <r>
          <rPr>
            <sz val="11"/>
            <color theme="1"/>
            <rFont val="Calibri"/>
            <family val="2"/>
            <scheme val="minor"/>
          </rPr>
          <t>======
ID#AAABia1I0pg
btuser    (2025-04-24 02:27:58)
25%</t>
        </r>
      </text>
    </comment>
    <comment ref="F53" authorId="0" shapeId="0" xr:uid="{00000000-0006-0000-0000-0000D8010000}">
      <text>
        <r>
          <rPr>
            <sz val="11"/>
            <color theme="1"/>
            <rFont val="Calibri"/>
            <family val="2"/>
            <scheme val="minor"/>
          </rPr>
          <t>======
ID#AAABia1I0qk
btuser    (2025-04-24 02:27:58)
For unmodified corn starch</t>
        </r>
      </text>
    </comment>
    <comment ref="E54" authorId="0" shapeId="0" xr:uid="{00000000-0006-0000-0000-0000AC010000}">
      <text>
        <r>
          <rPr>
            <sz val="11"/>
            <color theme="1"/>
            <rFont val="Calibri"/>
            <family val="2"/>
            <scheme val="minor"/>
          </rPr>
          <t>======
ID#AAABgPOYtas
btuser    (2025-04-24 02:27:59)
Corn broken down into endosperm and germ. Endosperm has Gluten to make gluten feed, and Starch to make dextrose, ethanol, high fructose corn syrup, dextrin, and corn starch
Products made from drying: Dextrose, High Fructose Corn Syrup, Corn Starch.
Other product made from corn starch slurry: Ethanol</t>
        </r>
      </text>
    </comment>
    <comment ref="I54" authorId="0" shapeId="0" xr:uid="{00000000-0006-0000-0000-000081010000}">
      <text>
        <r>
          <rPr>
            <sz val="11"/>
            <color theme="1"/>
            <rFont val="Calibri"/>
            <family val="2"/>
            <scheme val="minor"/>
          </rPr>
          <t>======
ID#AAABgPOYtdk
btuser    (2025-04-24 02:27:59)
Flash dryers for Modified or unmodified corn starch
Double drum hot roll dryers
Tunnel dryers
Pan-type evaporators
Roller dryers
Spray dryers</t>
        </r>
      </text>
    </comment>
    <comment ref="J54" authorId="0" shapeId="0" xr:uid="{00000000-0006-0000-0000-00005B000000}">
      <text>
        <r>
          <rPr>
            <sz val="11"/>
            <color theme="1"/>
            <rFont val="Calibri"/>
            <family val="2"/>
            <scheme val="minor"/>
          </rPr>
          <t>======
ID#AAAB4KSUTYs
Akash Kailas Patil    (2026-04-08 23:26:15)
https://www.sciencedirect.com/science/article/pii/S1364032124001655</t>
        </r>
      </text>
    </comment>
    <comment ref="E55" authorId="0" shapeId="0" xr:uid="{00000000-0006-0000-0000-0000C6010000}">
      <text>
        <r>
          <rPr>
            <sz val="11"/>
            <color theme="1"/>
            <rFont val="Calibri"/>
            <family val="2"/>
            <scheme val="minor"/>
          </rPr>
          <t>======
ID#AAABia1I0rc
btuser    (2025-04-24 02:27:59)
Mix jet slurry with water, then heat it to make a uniform, soluble starch slurry (a.k.a dextrin)</t>
        </r>
      </text>
    </comment>
    <comment ref="E56" authorId="0" shapeId="0" xr:uid="{00000000-0006-0000-0000-000084010000}">
      <text>
        <r>
          <rPr>
            <sz val="11"/>
            <color theme="1"/>
            <rFont val="Calibri"/>
            <family val="2"/>
            <scheme val="minor"/>
          </rPr>
          <t>======
ID#AAABgPOYtdY
btuser    (2025-04-24 02:27:59)
Mixing CESS with enzymes (Glucoamylase) for saccharification (conversion of soluble starch to glucose)</t>
        </r>
      </text>
    </comment>
    <comment ref="AE56" authorId="0" shapeId="0" xr:uid="{00000000-0006-0000-0000-0000DE010000}">
      <text>
        <r>
          <rPr>
            <sz val="11"/>
            <color theme="1"/>
            <rFont val="Calibri"/>
            <family val="2"/>
            <scheme val="minor"/>
          </rPr>
          <t>======
ID#AAABia1I0qM
btuser    (2025-04-24 02:27:58)
Hot water</t>
        </r>
      </text>
    </comment>
    <comment ref="E57" authorId="0" shapeId="0" xr:uid="{00000000-0006-0000-0000-0000D7010000}">
      <text>
        <r>
          <rPr>
            <sz val="11"/>
            <color theme="1"/>
            <rFont val="Calibri"/>
            <family val="2"/>
            <scheme val="minor"/>
          </rPr>
          <t>======
ID#AAABia1I0qo
btuser    (2025-04-24 02:27:58)
high fructose corn syrup is obtained from fructose enriched by chromatographic
separation in the fractionation columns
Fructose is retained in a greater degree in the column. Dextrose passes through the column as raffinate. Dextrose is later crystallized and dried to make dextrose sugar crystals</t>
        </r>
      </text>
    </comment>
    <comment ref="AD57" authorId="0" shapeId="0" xr:uid="{00000000-0006-0000-0000-000093010000}">
      <text>
        <r>
          <rPr>
            <sz val="11"/>
            <color theme="1"/>
            <rFont val="Calibri"/>
            <family val="2"/>
            <scheme val="minor"/>
          </rPr>
          <t>======
ID#AAABgPOYtcU
btuser    (2025-04-24 02:27:59)
Hot water</t>
        </r>
      </text>
    </comment>
    <comment ref="E58" authorId="0" shapeId="0" xr:uid="{00000000-0006-0000-0000-000085010000}">
      <text>
        <r>
          <rPr>
            <sz val="11"/>
            <color theme="1"/>
            <rFont val="Calibri"/>
            <family val="2"/>
            <scheme val="minor"/>
          </rPr>
          <t>======
ID#AAABgPOYtdQ
btuser    (2025-04-24 02:27:59)
Concentrate high fructose corn syrup to 45% solids to 77% solids</t>
        </r>
      </text>
    </comment>
    <comment ref="E59" authorId="0" shapeId="0" xr:uid="{00000000-0006-0000-0000-0000CE010000}">
      <text>
        <r>
          <rPr>
            <sz val="11"/>
            <color theme="1"/>
            <rFont val="Calibri"/>
            <family val="2"/>
            <scheme val="minor"/>
          </rPr>
          <t>======
ID#AAABia1I0rM
btuser    (2025-04-24 02:27:58)
Drying Endosperm to make corn gluten feed which is commonly used as poultry feed</t>
        </r>
      </text>
    </comment>
    <comment ref="J59" authorId="0" shapeId="0" xr:uid="{00000000-0006-0000-0000-0000B6000000}">
      <text>
        <r>
          <rPr>
            <sz val="11"/>
            <color theme="1"/>
            <rFont val="Calibri"/>
            <family val="2"/>
            <scheme val="minor"/>
          </rPr>
          <t>======
ID#AAAB4J9eaVc
Akash Kailas Patil    (2026-04-08 23:26:15)
https://www.sciencedirect.com/science/article/pii/S1364032124001655</t>
        </r>
      </text>
    </comment>
    <comment ref="AG60" authorId="0" shapeId="0" xr:uid="{00000000-0006-0000-0000-000034010000}">
      <text>
        <r>
          <rPr>
            <sz val="11"/>
            <color theme="1"/>
            <rFont val="Calibri"/>
            <family val="2"/>
            <scheme val="minor"/>
          </rPr>
          <t>======
ID#AAABrQfsLQg
btuser    (2025-09-17 17:13:35)
Annual milk production and factors affecting supply (Annual)
https://www.ers.usda.gov/data-products/dairy-data</t>
        </r>
      </text>
    </comment>
    <comment ref="D61" authorId="0" shapeId="0" xr:uid="{00000000-0006-0000-0000-00009B010000}">
      <text>
        <r>
          <rPr>
            <sz val="11"/>
            <color theme="1"/>
            <rFont val="Calibri"/>
            <family val="2"/>
            <scheme val="minor"/>
          </rPr>
          <t>======
ID#AAABgPOYtbw
btuser    (2025-04-24 02:27:59)
Also called standardization. Milk and cream are separated. Then mixed again for desired fat cotnent, like whole milk, 3% milk, 2% milk, etc.</t>
        </r>
      </text>
    </comment>
    <comment ref="AB61" authorId="0" shapeId="0" xr:uid="{00000000-0006-0000-0000-000092010000}">
      <text>
        <r>
          <rPr>
            <sz val="11"/>
            <color theme="1"/>
            <rFont val="Calibri"/>
            <family val="2"/>
            <scheme val="minor"/>
          </rPr>
          <t>======
ID#AAABgPOYtcY
btuser    (2025-04-24 02:27:59)
https://natural-resources.canada.ca/sites/www.nrcan.gc.ca/files/oee/pdf/Publications/industrial/fluid-milk-plants/BenchmDairy_e.pdf</t>
        </r>
      </text>
    </comment>
    <comment ref="D62" authorId="0" shapeId="0" xr:uid="{00000000-0006-0000-0000-0000BB010000}">
      <text>
        <r>
          <rPr>
            <sz val="11"/>
            <color theme="1"/>
            <rFont val="Calibri"/>
            <family val="2"/>
            <scheme val="minor"/>
          </rPr>
          <t>======
ID#AAABgPOYtZs
btuser    (2025-04-24 02:27:59)
Homogenisation disperses fat globules and prevents separation
of the cream component. To achieve a sufficient creaming stability for pasteurised milks with a
relatively short shelf life, reduction of the fat globules’ size to a mean diameter of 1 μm to 2 μm
is required, while the long-shelf-life UHT milks require a much greater reduction in fat globule
size, &lt; 0.7 μm.
Another effect of homogenisation is the large increase in exposed fat area, which greatly
favours the action of lipases. For this reason, it is normal practice to pasteurise the milk to
inactivate the lipase, immediately after homogenisation.</t>
        </r>
      </text>
    </comment>
    <comment ref="AB62" authorId="0" shapeId="0" xr:uid="{00000000-0006-0000-0000-00005E010000}">
      <text>
        <r>
          <rPr>
            <sz val="11"/>
            <color theme="1"/>
            <rFont val="Calibri"/>
            <family val="2"/>
            <scheme val="minor"/>
          </rPr>
          <t>======
ID#AAABgPOYtfw
btuser    (2025-04-24 02:27:59)
https://natural-resources.canada.ca/sites/www.nrcan.gc.ca/files/oee/pdf/Publications/industrial/fluid-milk-plants/BenchmDairy_e.pdf</t>
        </r>
      </text>
    </comment>
    <comment ref="D63" authorId="0" shapeId="0" xr:uid="{00000000-0006-0000-0000-0000BC010000}">
      <text>
        <r>
          <rPr>
            <sz val="11"/>
            <color theme="1"/>
            <rFont val="Calibri"/>
            <family val="2"/>
            <scheme val="minor"/>
          </rPr>
          <t>======
ID#AAABgPOYtZ0
btuser    (2025-04-24 02:27:59)
HTST</t>
        </r>
      </text>
    </comment>
    <comment ref="AB63" authorId="0" shapeId="0" xr:uid="{00000000-0006-0000-0000-0000AF010000}">
      <text>
        <r>
          <rPr>
            <sz val="11"/>
            <color theme="1"/>
            <rFont val="Calibri"/>
            <family val="2"/>
            <scheme val="minor"/>
          </rPr>
          <t>======
ID#AAABgPOYtag
btuser    (2025-04-24 02:27:59)
https://natural-resources.canada.ca/sites/www.nrcan.gc.ca/files/oee/pdf/Publications/industrial/fluid-milk-plants/BenchmDairy_e.pdf
https://escholarship.org/content/qt6gt3t3tz/qt6gt3t3tz.pdf
10% of homogenization and pasteurization is assumed for homogenization energy use</t>
        </r>
      </text>
    </comment>
    <comment ref="J64" authorId="0" shapeId="0" xr:uid="{00000000-0006-0000-0000-00002A000000}">
      <text>
        <r>
          <rPr>
            <sz val="11"/>
            <color theme="1"/>
            <rFont val="Calibri"/>
            <family val="2"/>
            <scheme val="minor"/>
          </rPr>
          <t>======
ID#AAAB4KS0b1c
Akash Kailas Patil    (2026-04-08 23:26:15)
https://nationalpumpsandboilers.co.uk/blog/a-comparison-of-plate-vs-shell-and-tube-heat-exchangers-for-large-facilities</t>
        </r>
      </text>
    </comment>
    <comment ref="AD64" authorId="0" shapeId="0" xr:uid="{00000000-0006-0000-0000-000067010000}">
      <text>
        <r>
          <rPr>
            <sz val="11"/>
            <color theme="1"/>
            <rFont val="Calibri"/>
            <family val="2"/>
            <scheme val="minor"/>
          </rPr>
          <t>======
ID#AAABgPOYtfM
btuser    (2025-04-24 02:27:59)
https://natural-resources.canada.ca/sites/www.nrcan.gc.ca/files/oee/pdf/Publications/industrial/fluid-milk-plants/BenchmDairy_e.pdf</t>
        </r>
      </text>
    </comment>
    <comment ref="AB65" authorId="0" shapeId="0" xr:uid="{00000000-0006-0000-0000-0000AB010000}">
      <text>
        <r>
          <rPr>
            <sz val="11"/>
            <color theme="1"/>
            <rFont val="Calibri"/>
            <family val="2"/>
            <scheme val="minor"/>
          </rPr>
          <t>======
ID#AAABgPOYtaw
btuser    (2025-04-24 02:27:59)
https://natural-resources.canada.ca/sites/www.nrcan.gc.ca/files/oee/pdf/Publications/industrial/fluid-milk-plants/BenchmDairy_e.pdf</t>
        </r>
      </text>
    </comment>
    <comment ref="D66" authorId="0" shapeId="0" xr:uid="{00000000-0006-0000-0000-0000AD010000}">
      <text>
        <r>
          <rPr>
            <sz val="11"/>
            <color theme="1"/>
            <rFont val="Calibri"/>
            <family val="2"/>
            <scheme val="minor"/>
          </rPr>
          <t>======
ID#AAABgPOYtao
btuser    (2025-04-24 02:27:59)
Path 1 for UHT: Indirect sterilization</t>
        </r>
      </text>
    </comment>
    <comment ref="F66" authorId="0" shapeId="0" xr:uid="{00000000-0006-0000-0000-0000BA010000}">
      <text>
        <r>
          <rPr>
            <sz val="11"/>
            <color theme="1"/>
            <rFont val="Calibri"/>
            <family val="2"/>
            <scheme val="minor"/>
          </rPr>
          <t>======
ID#AAABgPOYtZw
btuser    (2025-04-24 02:27:59)
Ultra-pasteurized milk process</t>
        </r>
      </text>
    </comment>
    <comment ref="J67" authorId="0" shapeId="0" xr:uid="{00000000-0006-0000-0000-00007C000000}">
      <text>
        <r>
          <rPr>
            <sz val="11"/>
            <color theme="1"/>
            <rFont val="Calibri"/>
            <family val="2"/>
            <scheme val="minor"/>
          </rPr>
          <t>======
ID#AAAB4KSUTWo
Akash Kailas Patil    (2026-04-08 23:26:15)
https://nationalpumpsandboilers.co.uk/blog/a-comparison-of-plate-vs-shell-and-tube-heat-exchangers-for-large-facilities</t>
        </r>
      </text>
    </comment>
    <comment ref="AD67" authorId="0" shapeId="0" xr:uid="{00000000-0006-0000-0000-000090010000}">
      <text>
        <r>
          <rPr>
            <sz val="11"/>
            <color theme="1"/>
            <rFont val="Calibri"/>
            <family val="2"/>
            <scheme val="minor"/>
          </rPr>
          <t>======
ID#AAABgPOYtck
btuser    (2025-04-24 02:27:59)
30 kg steam per ton of fluid milk
2.763 MJ/kg of 165C saturated steam</t>
        </r>
      </text>
    </comment>
    <comment ref="D68" authorId="0" shapeId="0" xr:uid="{00000000-0006-0000-0000-00007E010000}">
      <text>
        <r>
          <rPr>
            <sz val="11"/>
            <color theme="1"/>
            <rFont val="Calibri"/>
            <family val="2"/>
            <scheme val="minor"/>
          </rPr>
          <t>======
ID#AAABgPOYtd0
btuser    (2025-04-24 02:27:59)
Path B for UHT: Direct Steam Infusion</t>
        </r>
      </text>
    </comment>
    <comment ref="H68" authorId="0" shapeId="0" xr:uid="{00000000-0006-0000-0000-00005F010000}">
      <text>
        <r>
          <rPr>
            <sz val="11"/>
            <color theme="1"/>
            <rFont val="Calibri"/>
            <family val="2"/>
            <scheme val="minor"/>
          </rPr>
          <t>======
ID#AAABgPOYtf0
btuser    (2025-04-24 02:27:59)
Plate and tube HXs for indirect pre-heating. After this steam is injected with milk in a 1:10 steam to milk</t>
        </r>
      </text>
    </comment>
    <comment ref="I69" authorId="0" shapeId="0" xr:uid="{00000000-0006-0000-0000-0000DA010000}">
      <text>
        <r>
          <rPr>
            <sz val="11"/>
            <color theme="1"/>
            <rFont val="Calibri"/>
            <family val="2"/>
            <scheme val="minor"/>
          </rPr>
          <t>======
ID#AAABia1I0qc
btuser    (2025-04-24 02:27:58)
1:10 steam to milk ratio</t>
        </r>
      </text>
    </comment>
    <comment ref="I70" authorId="0" shapeId="0" xr:uid="{00000000-0006-0000-0000-0000E7010000}">
      <text>
        <r>
          <rPr>
            <sz val="11"/>
            <color theme="1"/>
            <rFont val="Calibri"/>
            <family val="2"/>
            <scheme val="minor"/>
          </rPr>
          <t>======
ID#AAABia1I0po
btuser    (2025-04-24 02:27:58)
Cooled by expanding it under a vacuum to extract the steam mixed with the product</t>
        </r>
      </text>
    </comment>
    <comment ref="D71" authorId="0" shapeId="0" xr:uid="{00000000-0006-0000-0000-00008E010000}">
      <text>
        <r>
          <rPr>
            <sz val="11"/>
            <color theme="1"/>
            <rFont val="Calibri"/>
            <family val="2"/>
            <scheme val="minor"/>
          </rPr>
          <t>======
ID#AAABgPOYtcs
btuser    (2025-04-24 02:27:59)
Cooling done for both paths after initial cooling</t>
        </r>
      </text>
    </comment>
    <comment ref="J71" authorId="0" shapeId="0" xr:uid="{00000000-0006-0000-0000-0000CF000000}">
      <text>
        <r>
          <rPr>
            <sz val="11"/>
            <color theme="1"/>
            <rFont val="Calibri"/>
            <family val="2"/>
            <scheme val="minor"/>
          </rPr>
          <t>======
ID#AAAB4J9eaUA
Akash Kailas Patil    (2026-04-08 23:26:15)
https://nationalpumpsandboilers.co.uk/blog/a-comparison-of-plate-vs-shell-and-tube-heat-exchangers-for-large-facilities</t>
        </r>
      </text>
    </comment>
    <comment ref="D72" authorId="0" shapeId="0" xr:uid="{00000000-0006-0000-0000-000082010000}">
      <text>
        <r>
          <rPr>
            <sz val="11"/>
            <color theme="1"/>
            <rFont val="Calibri"/>
            <family val="2"/>
            <scheme val="minor"/>
          </rPr>
          <t>======
ID#AAABgPOYtdg
btuser    (2025-04-24 02:27:59)
Pre-sterilization</t>
        </r>
      </text>
    </comment>
    <comment ref="D74" authorId="0" shapeId="0" xr:uid="{00000000-0006-0000-0000-0000A8010000}">
      <text>
        <r>
          <rPr>
            <sz val="11"/>
            <color theme="1"/>
            <rFont val="Calibri"/>
            <family val="2"/>
            <scheme val="minor"/>
          </rPr>
          <t>======
ID#AAABgPOYta8
btuser    (2025-04-24 02:27:59)
Main-sterilization after filling milk in cans</t>
        </r>
      </text>
    </comment>
    <comment ref="I74" authorId="0" shapeId="0" xr:uid="{00000000-0006-0000-0000-0000A7010000}">
      <text>
        <r>
          <rPr>
            <sz val="11"/>
            <color theme="1"/>
            <rFont val="Calibri"/>
            <family val="2"/>
            <scheme val="minor"/>
          </rPr>
          <t>======
ID#AAABgPOYtbA
btuser    (2025-04-24 02:27:59)
Batch process for autoclave and continous for hydrostatic tower</t>
        </r>
      </text>
    </comment>
    <comment ref="I75" authorId="0" shapeId="0" xr:uid="{00000000-0006-0000-0000-0000EC010000}">
      <text>
        <r>
          <rPr>
            <sz val="11"/>
            <color theme="1"/>
            <rFont val="Calibri"/>
            <family val="2"/>
            <scheme val="minor"/>
          </rPr>
          <t>======
ID#AAABia1I0pU
btuser    (2025-04-24 02:27:58)
These are already packaged products, so direct contact with cooling water</t>
        </r>
      </text>
    </comment>
    <comment ref="AD75" authorId="0" shapeId="0" xr:uid="{00000000-0006-0000-0000-0000A5010000}">
      <text>
        <r>
          <rPr>
            <sz val="11"/>
            <color theme="1"/>
            <rFont val="Calibri"/>
            <family val="2"/>
            <scheme val="minor"/>
          </rPr>
          <t>======
ID#AAABgPOYtbI
btuser    (2025-04-24 02:27:59)
0.3 kg/l -&gt; 300 kg/ton</t>
        </r>
      </text>
    </comment>
    <comment ref="AB77" authorId="0" shapeId="0" xr:uid="{00000000-0006-0000-0000-000071010000}">
      <text>
        <r>
          <rPr>
            <sz val="11"/>
            <color theme="1"/>
            <rFont val="Calibri"/>
            <family val="2"/>
            <scheme val="minor"/>
          </rPr>
          <t>======
ID#AAABgPOYtek
btuser    (2025-04-24 02:27:59)
https://natural-resources.canada.ca/sites/www.nrcan.gc.ca/files/oee/pdf/Publications/industrial/fluid-milk-plants/BenchmDairy_e.pdf</t>
        </r>
      </text>
    </comment>
    <comment ref="AD78" authorId="0" shapeId="0" xr:uid="{00000000-0006-0000-0000-0000D5010000}">
      <text>
        <r>
          <rPr>
            <sz val="11"/>
            <color theme="1"/>
            <rFont val="Calibri"/>
            <family val="2"/>
            <scheme val="minor"/>
          </rPr>
          <t>======
ID#AAABia1I0qw
btuser    (2025-04-24 02:27:58)
https://natural-resources.canada.ca/sites/www.nrcan.gc.ca/files/oee/pdf/Publications/industrial/fluid-milk-plants/BenchmDairy_e.pdf</t>
        </r>
      </text>
    </comment>
    <comment ref="AG78" authorId="0" shapeId="0" xr:uid="{00000000-0006-0000-0000-000007000000}">
      <text>
        <r>
          <rPr>
            <sz val="11"/>
            <color theme="1"/>
            <rFont val="Calibri"/>
            <family val="2"/>
            <scheme val="minor"/>
          </rPr>
          <t>======
ID#AAAB3yjGHkA
btuser    (2026-04-21 17:50:27)
https://docs.google.com/document/d/1CcB1wj1LC9i4gpR1dvCpG6KTgOBiRrqv?rtpof=true&amp;usp=drive_fs</t>
        </r>
      </text>
    </comment>
    <comment ref="D79" authorId="0" shapeId="0" xr:uid="{00000000-0006-0000-0000-0000CA010000}">
      <text>
        <r>
          <rPr>
            <sz val="11"/>
            <color theme="1"/>
            <rFont val="Calibri"/>
            <family val="2"/>
            <scheme val="minor"/>
          </rPr>
          <t>======
ID#AAAB3yjGHj0
btuser    (2025-04-24 02:27:59)
Also called standardization. Milk and cream are separated. Then mixed again for desired fat cotnent, like whole milk, 3% milk, 2% milk, etc.</t>
        </r>
      </text>
    </comment>
    <comment ref="D80" authorId="0" shapeId="0" xr:uid="{00000000-0006-0000-0000-0000C8010000}">
      <text>
        <r>
          <rPr>
            <sz val="11"/>
            <color theme="1"/>
            <rFont val="Calibri"/>
            <family val="2"/>
            <scheme val="minor"/>
          </rPr>
          <t>======
ID#AAAB3yjGHkE
btuser    (2025-04-24 02:27:59)
HTST</t>
        </r>
      </text>
    </comment>
    <comment ref="J81" authorId="0" shapeId="0" xr:uid="{00000000-0006-0000-0000-000033010000}">
      <text>
        <r>
          <rPr>
            <sz val="11"/>
            <color theme="1"/>
            <rFont val="Calibri"/>
            <family val="2"/>
            <scheme val="minor"/>
          </rPr>
          <t>======
ID#AAAB3yjGHj4
Akash Kailas Patil    (2026-04-08 23:26:15)
https://nationalpumpsandboilers.co.uk/blog/a-comparison-of-plate-vs-shell-and-tube-heat-exchangers-for-large-facilities</t>
        </r>
      </text>
    </comment>
    <comment ref="F82" authorId="0" shapeId="0" xr:uid="{00000000-0006-0000-0000-0000B6010000}">
      <text>
        <r>
          <rPr>
            <sz val="11"/>
            <color theme="1"/>
            <rFont val="Calibri"/>
            <family val="2"/>
            <scheme val="minor"/>
          </rPr>
          <t>======
ID#AAABgPOYtaE
btuser    (2025-04-24 02:27:59)
Silica sand, SiO2 (73%)
Soda ash, Na2O (13%)
Lime, CaO (9%)
Magnesia, Mg. Alumina, Al2O3, etc. (4%)
Cullets (recycled waste glass) - 15-30%. Every 10% addition of cullets reduce metlting energy by 2.5%</t>
        </r>
      </text>
    </comment>
    <comment ref="AG82" authorId="0" shapeId="0" xr:uid="{00000000-0006-0000-0000-000056010000}">
      <text>
        <r>
          <rPr>
            <sz val="11"/>
            <color theme="1"/>
            <rFont val="Calibri"/>
            <family val="2"/>
            <scheme val="minor"/>
          </rPr>
          <t>======
ID#AAABlpngtmM
btuser    (2025-06-13 17:46:21)
NREL Data from Julien Walzberg
------
ID#AAAB4KS0b3k
Nick Karki    (2026-04-08 23:33:15)
https://www.marketsandmarkets.com/PressReleases/us-flat-glass-market.asp</t>
        </r>
      </text>
    </comment>
    <comment ref="D83" authorId="0" shapeId="0" xr:uid="{00000000-0006-0000-0000-0000A4010000}">
      <text>
        <r>
          <rPr>
            <sz val="11"/>
            <color theme="1"/>
            <rFont val="Calibri"/>
            <family val="2"/>
            <scheme val="minor"/>
          </rPr>
          <t>======
ID#AAABgPOYtbM
btuser    (2025-04-24 02:27:59)
Refining is also done here after melting to remove air bubbles and homogenize the melt</t>
        </r>
      </text>
    </comment>
    <comment ref="F83" authorId="0" shapeId="0" xr:uid="{00000000-0006-0000-0000-0000EE010000}">
      <text>
        <r>
          <rPr>
            <sz val="11"/>
            <color theme="1"/>
            <rFont val="Calibri"/>
            <family val="2"/>
            <scheme val="minor"/>
          </rPr>
          <t>======
ID#AAABia1I0pM
btuser    (2025-04-24 02:27:58)
Silica sand, SiO2 (73%)
Soda ash, Na2O (13%)
Lime, CaO (9%)
Magnesia, Mg. Alumina, Al2O3, etc. (4%)
Cullets (recycled waste glass) - 15-30%. Every 10% addition of cullets reduce metlting energy by 2.5%</t>
        </r>
      </text>
    </comment>
    <comment ref="D84" authorId="0" shapeId="0" xr:uid="{00000000-0006-0000-0000-00006B010000}">
      <text>
        <r>
          <rPr>
            <sz val="11"/>
            <color theme="1"/>
            <rFont val="Calibri"/>
            <family val="2"/>
            <scheme val="minor"/>
          </rPr>
          <t>======
ID#AAABgPOYte8
btuser    (2025-04-24 02:27:59)
Also called float process, the forming process has tin bath that gives width and depth to the molten glass. 
The molten tin is at about 1000C, and the glass floats on that
The glass, which is highly viscous, and the tin, which is very fluid, do not mix and the contact surface between these two materials is perfectly flat, giving the term “flat” glass to the final product</t>
        </r>
      </text>
    </comment>
    <comment ref="D85" authorId="0" shapeId="0" xr:uid="{00000000-0006-0000-0000-000063010000}">
      <text>
        <r>
          <rPr>
            <sz val="11"/>
            <color theme="1"/>
            <rFont val="Calibri"/>
            <family val="2"/>
            <scheme val="minor"/>
          </rPr>
          <t>======
ID#AAABgPOYtfc
btuser    (2025-04-24 02:27:59)
Hot solid glass passes through annealing lehr (150-200m long) where gradual cooling is done from 600 to 480C using compressed air. Second annealing part uses cooling water to bring down glass from 480-60C</t>
        </r>
      </text>
    </comment>
    <comment ref="D86" authorId="0" shapeId="0" xr:uid="{00000000-0006-0000-0000-000069010000}">
      <text>
        <r>
          <rPr>
            <sz val="11"/>
            <color theme="1"/>
            <rFont val="Calibri"/>
            <family val="2"/>
            <scheme val="minor"/>
          </rPr>
          <t>======
ID#AAABgPOYtfE
btuser    (2025-04-24 02:27:59)
Cutting, grinding, stacking</t>
        </r>
      </text>
    </comment>
    <comment ref="E88" authorId="0" shapeId="0" xr:uid="{00000000-0006-0000-0000-0000A3010000}">
      <text>
        <r>
          <rPr>
            <sz val="11"/>
            <color theme="1"/>
            <rFont val="Calibri"/>
            <family val="2"/>
            <scheme val="minor"/>
          </rPr>
          <t>======
ID#AAABgPOYtbQ
btuser    (2025-04-24 02:27:59)
It firmly combines layers of glasses and plastic interlayers through heating, pressurization and cooling process
two glasses and a polyvinyl butyral interlayer (PVB) in between</t>
        </r>
      </text>
    </comment>
    <comment ref="I88" authorId="0" shapeId="0" xr:uid="{00000000-0006-0000-0000-0000C2010000}">
      <text>
        <r>
          <rPr>
            <sz val="11"/>
            <color theme="1"/>
            <rFont val="Calibri"/>
            <family val="2"/>
            <scheme val="minor"/>
          </rPr>
          <t>======
ID#AAABgPOYtZQ
btuser    (2025-04-24 02:27:59)
transloaders to stack flat glass on top of each other for transport</t>
        </r>
      </text>
    </comment>
    <comment ref="T89" authorId="0" shapeId="0" xr:uid="{00000000-0006-0000-0000-0000B0010000}">
      <text>
        <r>
          <rPr>
            <sz val="11"/>
            <color theme="1"/>
            <rFont val="Calibri"/>
            <family val="2"/>
            <scheme val="minor"/>
          </rPr>
          <t>======
ID#AAABgPOYtaY
tc={F73D133C-E4B4-4332-A4FD-7729A8EA47AB}    (2025-04-24 02:27:59)
[Threaded comment]
Your version of Excel allows you to read this threaded comment; however, any edits to it will get removed if the file is opened in a newer version of Excel. Learn more: https://go.microsoft.com/fwlink/?linkid=870924
Comment:
    Saturated brine (25% (w/w) sodium chloride solution).
https://www.essentialchemicalindustry.org/chemicals/132kv</t>
        </r>
      </text>
    </comment>
    <comment ref="AD91" authorId="0" shapeId="0" xr:uid="{00000000-0006-0000-0000-0000CB010000}">
      <text>
        <r>
          <rPr>
            <sz val="11"/>
            <color theme="1"/>
            <rFont val="Calibri"/>
            <family val="2"/>
            <scheme val="minor"/>
          </rPr>
          <t>======
ID#AAABia1I0rU
tc={A2A9DA60-B98A-41B6-A34A-39CFD89DEA6F}    (2025-04-24 02:27:59)
[Threaded comment]
Your version of Excel allows you to read this threaded comment; however, any edits to it will get removed if the file is opened in a newer version of Excel. Learn more: https://go.microsoft.com/fwlink/?linkid=870924
Comment:
    6800 kg (mass of brine per tonne of Cl₂) × 3.5 kJ/kg·°C (specific heat capacity of 25% NaCl brine) × (90°C - 25°C) = 1.547 GJ
1.547 GJ / 0.82 (boiler efficiency) = 1.89 GJ per tonne of Cl₂
A chlorine plant can recover up to 1.7 GJ/tonne of Cl₂ from the electrolyzer cells, which is used to heat the brine and concentrate part of the caustic solution (EPA Energy Star, 2025).
Conservatively assuming 0.89 GJ/tonne Cl₂ of waste heat recovery, with the remainder provided by steam, the resulting steam demand aligns with EPA Energy Star (2025) estimate.</t>
        </r>
      </text>
    </comment>
    <comment ref="J92" authorId="0" shapeId="0" xr:uid="{00000000-0006-0000-0000-00002A010000}">
      <text>
        <r>
          <rPr>
            <sz val="11"/>
            <color theme="1"/>
            <rFont val="Calibri"/>
            <family val="2"/>
            <scheme val="minor"/>
          </rPr>
          <t>======
ID#AAAB4J8XJVQ
Akash Kailas Patil    (2026-04-08 23:26:15)
https://nationalpumpsandboilers.co.uk/blog/a-comparison-of-plate-vs-shell-and-tube-heat-exchangers-for-large-facilities</t>
        </r>
      </text>
    </comment>
    <comment ref="J93" authorId="0" shapeId="0" xr:uid="{00000000-0006-0000-0000-000051000000}">
      <text>
        <r>
          <rPr>
            <sz val="11"/>
            <color theme="1"/>
            <rFont val="Calibri"/>
            <family val="2"/>
            <scheme val="minor"/>
          </rPr>
          <t>======
ID#AAAB4KSUTZU
Akash Kailas Patil    (2026-04-08 23:26:15)
https://www.sciencedirect.com/science/article/pii/S1364032124001655</t>
        </r>
      </text>
    </comment>
    <comment ref="I94" authorId="0" shapeId="0" xr:uid="{00000000-0006-0000-0000-0000E5010000}">
      <text>
        <r>
          <rPr>
            <sz val="11"/>
            <color theme="1"/>
            <rFont val="Calibri"/>
            <family val="2"/>
            <scheme val="minor"/>
          </rPr>
          <t>======
ID#AAABia1I0pw
tc={91AFCB16-80A6-4B48-9D61-596F041D52C0}    (2025-04-24 02:27:58)
[Threaded comment]
Your version of Excel allows you to read this threaded comment; however, any edits to it will get removed if the file is opened in a newer version of Excel. Learn more: https://go.microsoft.com/fwlink/?linkid=870924
Comment:
    Rotary compressors, such as:
*sulphuric acid liquid ring compressors for throughputs of 150 t/d per compressor and for pressures of 4 bar or, in two-stage compressors, 12 bar;
*screw compressors for low throughputs and for pressures of up to 16 bar.
Reciprocating compressors, such as:
*dry ring compressors for throughputs of 200 t/d per compressor and for pressures of up to 16 bar.
Centrifugal compressors, such as:
*turbo compressors in mono- or multi stage operation for throughputs of up to ~ 1 800 t/d per unit and for pressures of up to 16 bar;
*sundyne blowers for throughputs of 80–250 t/d per compressor and for pressures of up to 3 bar. (BAT/BREF; Ullmann’s)</t>
        </r>
      </text>
    </comment>
    <comment ref="J97" authorId="0" shapeId="0" xr:uid="{00000000-0006-0000-0000-0000AF000000}">
      <text>
        <r>
          <rPr>
            <sz val="11"/>
            <color theme="1"/>
            <rFont val="Calibri"/>
            <family val="2"/>
            <scheme val="minor"/>
          </rPr>
          <t>======
ID#AAAB4J9eaWI
Akash Kailas Patil    (2026-04-08 23:26:15)
https://nationalpumpsandboilers.co.uk/blog/a-comparison-of-plate-vs-shell-and-tube-heat-exchangers-for-large-facilities</t>
        </r>
      </text>
    </comment>
    <comment ref="J98" authorId="0" shapeId="0" xr:uid="{00000000-0006-0000-0000-000083000000}">
      <text>
        <r>
          <rPr>
            <sz val="11"/>
            <color theme="1"/>
            <rFont val="Calibri"/>
            <family val="2"/>
            <scheme val="minor"/>
          </rPr>
          <t>======
ID#AAAB4KSUTWM
Akash Kailas Patil    (2026-04-08 23:26:15)
https://nationalpumpsandboilers.co.uk/blog/a-comparison-of-plate-vs-shell-and-tube-heat-exchangers-for-large-facilities</t>
        </r>
      </text>
    </comment>
    <comment ref="T100" authorId="0" shapeId="0" xr:uid="{00000000-0006-0000-0000-0000CF010000}">
      <text>
        <r>
          <rPr>
            <sz val="11"/>
            <color theme="1"/>
            <rFont val="Calibri"/>
            <family val="2"/>
            <scheme val="minor"/>
          </rPr>
          <t>======
ID#AAABia1I0rI
tc={1CD34C17-4438-47D7-8A33-27CFD88CDDA9}    (2025-04-24 02:27:58)
[Threaded comment]
Your version of Excel allows you to read this threaded comment; however, any edits to it will get removed if the file is opened in a newer version of Excel. Learn more: https://go.microsoft.com/fwlink/?linkid=870924
Comment:
    Saturated brine (25% (w/w) sodium chloride solution).
https://www.essentialchemicalindustry.org/chemicals/132kv</t>
        </r>
      </text>
    </comment>
    <comment ref="AD102" authorId="0" shapeId="0" xr:uid="{00000000-0006-0000-0000-0000AA010000}">
      <text>
        <r>
          <rPr>
            <sz val="11"/>
            <color theme="1"/>
            <rFont val="Calibri"/>
            <family val="2"/>
            <scheme val="minor"/>
          </rPr>
          <t>======
ID#AAABgPOYta0
tc={EB6D84BB-623F-427A-B596-4EB4FD494CD7}    (2025-04-24 02:27:59)
[Threaded comment]
Your version of Excel allows you to read this threaded comment; however, any edits to it will get removed if the file is opened in a newer version of Excel. Learn more: https://go.microsoft.com/fwlink/?linkid=870924
Comment:
    6800 kg (mass of brine per tonne of Cl₂) × 3.5 kJ/kg·°C (specific heat capacity of 25% NaCl brine) × (90°C - 25°C) = 1.547 GJ
1.547 GJ / 0.82 (boiler efficiency) = 1.89 GJ per tonne of Cl₂
A chlorine plant can recover up to 1.7 GJ/tonne of Cl₂ from the electrolyzer cells, which is used to heat the brine and concentrate part of the caustic solution (EPA Energy Star, 2025).
Conservatively assuming 0.89 GJ/tonne Cl₂ of waste heat recovery, with the remainder provided by steam, the resulting steam demand aligns with EPA Energy Star (2025) estimate.</t>
        </r>
      </text>
    </comment>
    <comment ref="J103" authorId="0" shapeId="0" xr:uid="{00000000-0006-0000-0000-0000D2000000}">
      <text>
        <r>
          <rPr>
            <sz val="11"/>
            <color theme="1"/>
            <rFont val="Calibri"/>
            <family val="2"/>
            <scheme val="minor"/>
          </rPr>
          <t>======
ID#AAAB4J9eaTs
Akash Kailas Patil    (2026-04-08 23:26:15)
https://nationalpumpsandboilers.co.uk/blog/a-comparison-of-plate-vs-shell-and-tube-heat-exchangers-for-large-facilities</t>
        </r>
      </text>
    </comment>
    <comment ref="J104" authorId="0" shapeId="0" xr:uid="{00000000-0006-0000-0000-000035000000}">
      <text>
        <r>
          <rPr>
            <sz val="11"/>
            <color theme="1"/>
            <rFont val="Calibri"/>
            <family val="2"/>
            <scheme val="minor"/>
          </rPr>
          <t>======
ID#AAAB4KSUTbQ
Akash Kailas Patil    (2026-04-08 23:26:15)
https://www.sciencedirect.com/science/article/pii/S1364032124001655</t>
        </r>
      </text>
    </comment>
    <comment ref="I105" authorId="0" shapeId="0" xr:uid="{00000000-0006-0000-0000-0000DD010000}">
      <text>
        <r>
          <rPr>
            <sz val="11"/>
            <color theme="1"/>
            <rFont val="Calibri"/>
            <family val="2"/>
            <scheme val="minor"/>
          </rPr>
          <t>======
ID#AAABia1I0qQ
tc={DFDE89EF-9D2E-4A1B-82DB-5747F99F4F6F}    (2025-04-24 02:27:58)
[Threaded comment]
Your version of Excel allows you to read this threaded comment; however, any edits to it will get removed if the file is opened in a newer version of Excel. Learn more: https://go.microsoft.com/fwlink/?linkid=870924
Comment:
    Rotary compressors, such as:
*sulphuric acid liquid ring compressors for throughputs of 150 t/d per compressor and for pressures of 4 bar or, in two-stage compressors, 12 bar;
*screw compressors for low throughputs and for pressures of up to 16 bar.
Reciprocating compressors, such as:
*dry ring compressors for throughputs of 200 t/d per compressor and for pressures of up to 16 bar.
Centrifugal compressors, such as:
*turbo compressors in mono- or multi stage operation for throughputs of up to ~ 1 800 t/d per unit and for pressures of up to 16 bar;
*sundyne blowers for throughputs of 80–250 t/d per compressor and for pressures of up to 3 bar. (BAT/BREF; Ullmann’s)</t>
        </r>
      </text>
    </comment>
    <comment ref="J108" authorId="0" shapeId="0" xr:uid="{00000000-0006-0000-0000-000009010000}">
      <text>
        <r>
          <rPr>
            <sz val="11"/>
            <color theme="1"/>
            <rFont val="Calibri"/>
            <family val="2"/>
            <scheme val="minor"/>
          </rPr>
          <t>======
ID#AAAB4J8XJXQ
Akash Kailas Patil    (2026-04-08 23:26:15)
https://www.tandfonline.com/doi/full/10.1080/23311916.2024.2376927</t>
        </r>
      </text>
    </comment>
    <comment ref="J109" authorId="0" shapeId="0" xr:uid="{00000000-0006-0000-0000-0000E0000000}">
      <text>
        <r>
          <rPr>
            <sz val="11"/>
            <color theme="1"/>
            <rFont val="Calibri"/>
            <family val="2"/>
            <scheme val="minor"/>
          </rPr>
          <t>======
ID#AAAB4J8XJZ8
Akash Kailas Patil    (2026-04-08 23:26:15)
https://nationalpumpsandboilers.co.uk/blog/a-comparison-of-plate-vs-shell-and-tube-heat-exchangers-for-large-facilities</t>
        </r>
      </text>
    </comment>
    <comment ref="T112" authorId="0" shapeId="0" xr:uid="{00000000-0006-0000-0000-000096010000}">
      <text>
        <r>
          <rPr>
            <sz val="11"/>
            <color theme="1"/>
            <rFont val="Calibri"/>
            <family val="2"/>
            <scheme val="minor"/>
          </rPr>
          <t>======
ID#AAABgPOYtcI
tc={8FE40D7F-E1A2-4D76-A5B2-23BA27499C47}    (2025-04-24 02:27:59)
[Threaded comment]
Your version of Excel allows you to read this threaded comment; however, any edits to it will get removed if the file is opened in a newer version of Excel. Learn more: https://go.microsoft.com/fwlink/?linkid=870924
Comment:
    Saturated brine (25% (w/w) sodium chloride solution).
https://www.essentialchemicalindustry.org/chemicals/132kv</t>
        </r>
      </text>
    </comment>
    <comment ref="AD114" authorId="0" shapeId="0" xr:uid="{00000000-0006-0000-0000-00009C010000}">
      <text>
        <r>
          <rPr>
            <sz val="11"/>
            <color theme="1"/>
            <rFont val="Calibri"/>
            <family val="2"/>
            <scheme val="minor"/>
          </rPr>
          <t>======
ID#AAABgPOYtbs
tc={82BE6195-D052-4666-9376-F21E7F0D4CF0}    (2025-04-24 02:27:59)
[Threaded comment]
Your version of Excel allows you to read this threaded comment; however, any edits to it will get removed if the file is opened in a newer version of Excel. Learn more: https://go.microsoft.com/fwlink/?linkid=870924
Comment:
    6800 kg (mass of brine per tonne of Cl₂) × 3.5 kJ/kg·°C (specific heat capacity of 25% NaCl brine) × (90°C - 25°C) = 1.547 GJ
1.547 GJ / 0.82 (boiler efficiency) = 1.89 GJ per tonne of Cl₂
A chlorine plant can recover up to 1.7 GJ/tonne of Cl₂ from the electrolyzer cells, which is used to heat the brine and concentrate part of the caustic solution (EPA Energy Star, 2025).
Conservatively assuming 0.89 GJ/tonne Cl₂ of waste heat recovery, with the remainder provided by steam, the resulting steam demand aligns with EPA Energy Star (2025) estimate.</t>
        </r>
      </text>
    </comment>
    <comment ref="J115" authorId="0" shapeId="0" xr:uid="{00000000-0006-0000-0000-0000C9000000}">
      <text>
        <r>
          <rPr>
            <sz val="11"/>
            <color theme="1"/>
            <rFont val="Calibri"/>
            <family val="2"/>
            <scheme val="minor"/>
          </rPr>
          <t>======
ID#AAAB4J9eaUM
Akash Kailas Patil    (2026-04-08 23:26:15)
https://nationalpumpsandboilers.co.uk/blog/a-comparison-of-plate-vs-shell-and-tube-heat-exchangers-for-large-facilities</t>
        </r>
      </text>
    </comment>
    <comment ref="J116" authorId="0" shapeId="0" xr:uid="{00000000-0006-0000-0000-000041000000}">
      <text>
        <r>
          <rPr>
            <sz val="11"/>
            <color theme="1"/>
            <rFont val="Calibri"/>
            <family val="2"/>
            <scheme val="minor"/>
          </rPr>
          <t>======
ID#AAAB4KSUTac
Akash Kailas Patil    (2026-04-08 23:26:15)
https://www.sciencedirect.com/science/article/pii/S1364032124001655</t>
        </r>
      </text>
    </comment>
    <comment ref="I117" authorId="0" shapeId="0" xr:uid="{00000000-0006-0000-0000-000066010000}">
      <text>
        <r>
          <rPr>
            <sz val="11"/>
            <color theme="1"/>
            <rFont val="Calibri"/>
            <family val="2"/>
            <scheme val="minor"/>
          </rPr>
          <t>======
ID#AAABgPOYtfQ
tc={33190BC2-4FD4-499B-9664-4D856FE24105}    (2025-04-24 02:27:59)
[Threaded comment]
Your version of Excel allows you to read this threaded comment; however, any edits to it will get removed if the file is opened in a newer version of Excel. Learn more: https://go.microsoft.com/fwlink/?linkid=870924
Comment:
    Rotary compressors, such as:
*sulphuric acid liquid ring compressors for throughputs of 150 t/d per compressor and for pressures of 4 bar or, in two-stage compressors, 12 bar;
*screw compressors for low throughputs and for pressures of up to 16 bar.
Reciprocating compressors, such as:
*dry ring compressors for throughputs of 200 t/d per compressor and for pressures of up to 16 bar.
Centrifugal compressors, such as:
*turbo compressors in mono- or multi stage operation for throughputs of up to ~ 1 800 t/d per unit and for pressures of up to 16 bar;
*sundyne blowers for throughputs of 80–250 t/d per compressor and for pressures of up to 3 bar. (BAT/BREF; Ullmann’s)</t>
        </r>
      </text>
    </comment>
    <comment ref="J120" authorId="0" shapeId="0" xr:uid="{00000000-0006-0000-0000-00006F000000}">
      <text>
        <r>
          <rPr>
            <sz val="11"/>
            <color theme="1"/>
            <rFont val="Calibri"/>
            <family val="2"/>
            <scheme val="minor"/>
          </rPr>
          <t>======
ID#AAAB4KSUTXY
Akash Kailas Patil    (2026-04-08 23:26:15)
https://www.tandfonline.com/doi/full/10.1080/23311916.2024.2376927</t>
        </r>
      </text>
    </comment>
    <comment ref="J121" authorId="0" shapeId="0" xr:uid="{00000000-0006-0000-0000-000044000000}">
      <text>
        <r>
          <rPr>
            <sz val="11"/>
            <color theme="1"/>
            <rFont val="Calibri"/>
            <family val="2"/>
            <scheme val="minor"/>
          </rPr>
          <t>======
ID#AAAB4KSUTaM
Akash Kailas Patil    (2026-04-08 23:26:15)
https://nationalpumpsandboilers.co.uk/blog/a-comparison-of-plate-vs-shell-and-tube-heat-exchangers-for-large-facilities</t>
        </r>
      </text>
    </comment>
    <comment ref="T123" authorId="0" shapeId="0" xr:uid="{00000000-0006-0000-0000-00006D010000}">
      <text>
        <r>
          <rPr>
            <sz val="11"/>
            <color theme="1"/>
            <rFont val="Calibri"/>
            <family val="2"/>
            <scheme val="minor"/>
          </rPr>
          <t>======
ID#AAABgPOYte0
tc={9551C5C8-D5EB-4B9B-B56A-1412BFD02485}    (2025-04-24 02:27:59)
[Threaded comment]
Your version of Excel allows you to read this threaded comment; however, any edits to it will get removed if the file is opened in a newer version of Excel. Learn more: https://go.microsoft.com/fwlink/?linkid=870924
Comment:
    Saturated brine (25% (w/w) sodium chloride solution).
https://www.essentialchemicalindustry.org/chemicals/132kv</t>
        </r>
      </text>
    </comment>
    <comment ref="AD125" authorId="0" shapeId="0" xr:uid="{00000000-0006-0000-0000-0000D6010000}">
      <text>
        <r>
          <rPr>
            <sz val="11"/>
            <color theme="1"/>
            <rFont val="Calibri"/>
            <family val="2"/>
            <scheme val="minor"/>
          </rPr>
          <t>======
ID#AAABia1I0qs
tc={859ABE6E-56D5-477C-88C1-2130B1DC2143}    (2025-04-24 02:27:58)
[Threaded comment]
Your version of Excel allows you to read this threaded comment; however, any edits to it will get removed if the file is opened in a newer version of Excel. Learn more: https://go.microsoft.com/fwlink/?linkid=870924
Comment:
    6800 kg (mass of brine per tonne of Cl₂) × 3.5 kJ/kg·°C (specific heat capacity of 25% NaCl brine) × (90°C - 25°C) = 1.547 GJ
1.547 GJ / 0.82 (boiler efficiency) = 1.89 GJ per tonne of Cl₂
A chlorine plant can recover up to 1.7 GJ/tonne of Cl₂ from the electrolyzer cells, which is used to heat the brine and concentrate part of the caustic solution (EPA Energy Star, 2025).
Conservatively assuming 0.89 GJ/tonne Cl₂ of waste heat recovery, with the remainder provided by steam, the resulting steam demand aligns with EPA Energy Star (2025) estimate.</t>
        </r>
      </text>
    </comment>
    <comment ref="J126" authorId="0" shapeId="0" xr:uid="{00000000-0006-0000-0000-000097000000}">
      <text>
        <r>
          <rPr>
            <sz val="11"/>
            <color theme="1"/>
            <rFont val="Calibri"/>
            <family val="2"/>
            <scheme val="minor"/>
          </rPr>
          <t>======
ID#AAAB4J9eaXo
Akash Kailas Patil    (2026-04-08 23:26:15)
https://nationalpumpsandboilers.co.uk/blog/a-comparison-of-plate-vs-shell-and-tube-heat-exchangers-for-large-facilities</t>
        </r>
      </text>
    </comment>
    <comment ref="J127" authorId="0" shapeId="0" xr:uid="{00000000-0006-0000-0000-000047000000}">
      <text>
        <r>
          <rPr>
            <sz val="11"/>
            <color theme="1"/>
            <rFont val="Calibri"/>
            <family val="2"/>
            <scheme val="minor"/>
          </rPr>
          <t>======
ID#AAAB4KSUTZ8
Akash Kailas Patil    (2026-04-08 23:26:15)
https://www.sciencedirect.com/science/article/pii/S1364032124001655</t>
        </r>
      </text>
    </comment>
    <comment ref="I128" authorId="0" shapeId="0" xr:uid="{00000000-0006-0000-0000-000080010000}">
      <text>
        <r>
          <rPr>
            <sz val="11"/>
            <color theme="1"/>
            <rFont val="Calibri"/>
            <family val="2"/>
            <scheme val="minor"/>
          </rPr>
          <t>======
ID#AAABgPOYtdo
tc={92FF8A1A-56F9-4E46-923A-EA3D16E5818B}    (2025-04-24 02:27:59)
[Threaded comment]
Your version of Excel allows you to read this threaded comment; however, any edits to it will get removed if the file is opened in a newer version of Excel. Learn more: https://go.microsoft.com/fwlink/?linkid=870924
Comment:
    Rotary compressors, such as:
*sulphuric acid liquid ring compressors for throughputs of 150 t/d per compressor and for pressures of 4 bar or, in two-stage compressors, 12 bar;
*screw compressors for low throughputs and for pressures of up to 16 bar.
Reciprocating compressors, such as:
*dry ring compressors for throughputs of 200 t/d per compressor and for pressures of up to 16 bar.
Centrifugal compressors, such as:
*turbo compressors in mono- or multi stage operation for throughputs of up to ~ 1 800 t/d per unit and for pressures of up to 16 bar;
*sundyne blowers for throughputs of 80–250 t/d per compressor and for pressures of up to 3 bar. (BAT/BREF; Ullmann’s)</t>
        </r>
      </text>
    </comment>
    <comment ref="J131" authorId="0" shapeId="0" xr:uid="{00000000-0006-0000-0000-0000E5000000}">
      <text>
        <r>
          <rPr>
            <sz val="11"/>
            <color theme="1"/>
            <rFont val="Calibri"/>
            <family val="2"/>
            <scheme val="minor"/>
          </rPr>
          <t>======
ID#AAAB4J8XJZo
Akash Kailas Patil    (2026-04-08 23:26:15)
https://www.tandfonline.com/doi/full/10.1080/23311916.2024.2376927</t>
        </r>
      </text>
    </comment>
    <comment ref="J132" authorId="0" shapeId="0" xr:uid="{00000000-0006-0000-0000-000025010000}">
      <text>
        <r>
          <rPr>
            <sz val="11"/>
            <color theme="1"/>
            <rFont val="Calibri"/>
            <family val="2"/>
            <scheme val="minor"/>
          </rPr>
          <t>======
ID#AAAB4J8XJVs
Akash Kailas Patil    (2026-04-08 23:26:15)
https://nationalpumpsandboilers.co.uk/blog/a-comparison-of-plate-vs-shell-and-tube-heat-exchangers-for-large-facilities</t>
        </r>
      </text>
    </comment>
    <comment ref="AG135" authorId="0" shapeId="0" xr:uid="{00000000-0006-0000-0000-00006A010000}">
      <text>
        <r>
          <rPr>
            <sz val="11"/>
            <color theme="1"/>
            <rFont val="Calibri"/>
            <family val="2"/>
            <scheme val="minor"/>
          </rPr>
          <t>======
ID#AAABgPOYtfA
btuser    (2025-04-24 02:27:59)
https://downloads.usda.library.cornell.edu/usda-esmis/files/b5644r54d/4x51hr87n/2r36v515p/cafoan19.pdf</t>
        </r>
      </text>
    </comment>
    <comment ref="J141" authorId="0" shapeId="0" xr:uid="{00000000-0006-0000-0000-000034000000}">
      <text>
        <r>
          <rPr>
            <sz val="11"/>
            <color theme="1"/>
            <rFont val="Calibri"/>
            <family val="2"/>
            <scheme val="minor"/>
          </rPr>
          <t>======
ID#AAAB4KSUTbU
Akash Kailas Patil    (2026-04-08 23:26:15)
https://www.sciencedirect.com/science/article/pii/S1364032124001655</t>
        </r>
      </text>
    </comment>
    <comment ref="S143" authorId="0" shapeId="0" xr:uid="{00000000-0006-0000-0000-000059010000}">
      <text>
        <r>
          <rPr>
            <sz val="11"/>
            <color theme="1"/>
            <rFont val="Calibri"/>
            <family val="2"/>
            <scheme val="minor"/>
          </rPr>
          <t>======
ID#AAABicl85oo
btuser    (2025-04-24 21:23:07)
31 gallons or 117 liters</t>
        </r>
      </text>
    </comment>
    <comment ref="E144" authorId="0" shapeId="0" xr:uid="{00000000-0006-0000-0000-00005A010000}">
      <text>
        <r>
          <rPr>
            <sz val="11"/>
            <color theme="1"/>
            <rFont val="Calibri"/>
            <family val="2"/>
            <scheme val="minor"/>
          </rPr>
          <t>======
ID#AAABicl85og
btuser    (2025-04-24 21:23:07)
The purpose of mashing is to obtain a high yield of extract (sweet wort) from the malt grist and to ensure product uniformity. Mashing consists of mixing and heating the mash in the mash tun, and takes place through infusion, decoction or a combination of the two. In US, it is mostly infusion. Although, decoction is used too which follows a traditional european (czech) method.
During this process the starchy content of the mash is hydrolyzed producing
liquor called sweet wort. In the infusion mashing process, hot water between 160-180°F (71-82 °C) is used to increase the efficiency of wort extraction in
the insulated mashing tuns.</t>
        </r>
      </text>
    </comment>
    <comment ref="E146" authorId="0" shapeId="0" xr:uid="{00000000-0006-0000-0000-000058010000}">
      <text>
        <r>
          <rPr>
            <sz val="11"/>
            <color theme="1"/>
            <rFont val="Calibri"/>
            <family val="2"/>
            <scheme val="minor"/>
          </rPr>
          <t>======
ID#AAABicl85pk
btuser    (2025-04-24 22:16:08)
wort boiling, involves the boiling and evaporation of the wort  (about a 4-12% evaporation rate)
The boiling sterilizes the wort, coagulates grain protein, stops enzyme activity, drives off volatile compounds, causes metal ions, tannin substances, and lipids to form insoluble complexes, extracts soluble substances from hops, and cultivates color and flavor</t>
        </r>
      </text>
    </comment>
    <comment ref="J147" authorId="0" shapeId="0" xr:uid="{00000000-0006-0000-0000-0000B8000000}">
      <text>
        <r>
          <rPr>
            <sz val="11"/>
            <color theme="1"/>
            <rFont val="Calibri"/>
            <family val="2"/>
            <scheme val="minor"/>
          </rPr>
          <t>======
ID#AAAB4J9eaVU
Akash Kailas Patil    (2026-04-08 23:26:15)
https://nationalpumpsandboilers.co.uk/blog/a-comparison-of-plate-vs-shell-and-tube-heat-exchangers-for-large-facilities</t>
        </r>
      </text>
    </comment>
    <comment ref="E148" authorId="0" shapeId="0" xr:uid="{00000000-0006-0000-0000-000057010000}">
      <text>
        <r>
          <rPr>
            <sz val="11"/>
            <color theme="1"/>
            <rFont val="Calibri"/>
            <family val="2"/>
            <scheme val="minor"/>
          </rPr>
          <t>======
ID#AAABicl85ps
btuser    (2025-04-24 22:16:08)
During fermentation the yeast metabolizes the fermentable sugars in the wort to produce alcohol, carbon dioxide, and a range of secondary etabolites
Fermentation temperatures vary significantly and are very dependant upon the type of yeast bring utilized. Ale yeasts ferment at warmer temperatures than lager yeasts.</t>
        </r>
      </text>
    </comment>
    <comment ref="AG152" authorId="0" shapeId="0" xr:uid="{00000000-0006-0000-0000-000032010000}">
      <text>
        <r>
          <rPr>
            <sz val="11"/>
            <color theme="1"/>
            <rFont val="Calibri"/>
            <family val="2"/>
            <scheme val="minor"/>
          </rPr>
          <t>======
ID#AAAB4J8XJUw
btuser    (2026-04-08 23:26:15)
https://ers.usda.gov/sites/default/files/_laserfiche/outlooks/95379/SSS-M-375.pdf?v=85080</t>
        </r>
      </text>
    </comment>
    <comment ref="J155" authorId="0" shapeId="0" xr:uid="{00000000-0006-0000-0000-000091000000}">
      <text>
        <r>
          <rPr>
            <sz val="11"/>
            <color theme="1"/>
            <rFont val="Calibri"/>
            <family val="2"/>
            <scheme val="minor"/>
          </rPr>
          <t>======
ID#AAAB4J9eaX0
Akash Kailas Patil    (2026-04-08 23:26:15)
https://www.sciencedirect.com/science/article/pii/S1364032124001655</t>
        </r>
      </text>
    </comment>
    <comment ref="J165" authorId="0" shapeId="0" xr:uid="{00000000-0006-0000-0000-0000F9000000}">
      <text>
        <r>
          <rPr>
            <sz val="11"/>
            <color theme="1"/>
            <rFont val="Calibri"/>
            <family val="2"/>
            <scheme val="minor"/>
          </rPr>
          <t>======
ID#AAAB4J8XJYU
Akash Kailas Patil    (2026-04-08 23:26:15)
https://www.sciencedirect.com/science/article/pii/S1364032124001655</t>
        </r>
      </text>
    </comment>
    <comment ref="J170" authorId="0" shapeId="0" xr:uid="{00000000-0006-0000-0000-00002F010000}">
      <text>
        <r>
          <rPr>
            <sz val="11"/>
            <color theme="1"/>
            <rFont val="Calibri"/>
            <family val="2"/>
            <scheme val="minor"/>
          </rPr>
          <t>======
ID#AAAB4J8XJVA
Akash Kailas Patil    (2026-04-08 23:26:15)
https://www.sciencedirect.com/science/article/pii/S0360544212005269</t>
        </r>
      </text>
    </comment>
    <comment ref="J173" authorId="0" shapeId="0" xr:uid="{00000000-0006-0000-0000-0000A4000000}">
      <text>
        <r>
          <rPr>
            <sz val="11"/>
            <color theme="1"/>
            <rFont val="Calibri"/>
            <family val="2"/>
            <scheme val="minor"/>
          </rPr>
          <t>======
ID#AAAB4J9eaWo
Akash Kailas Patil    (2026-04-08 23:26:15)
https://www.sciencedirect.com/science/article/pii/S1364032124001655</t>
        </r>
      </text>
    </comment>
    <comment ref="J178" authorId="0" shapeId="0" xr:uid="{00000000-0006-0000-0000-000081000000}">
      <text>
        <r>
          <rPr>
            <sz val="11"/>
            <color theme="1"/>
            <rFont val="Calibri"/>
            <family val="2"/>
            <scheme val="minor"/>
          </rPr>
          <t>======
ID#AAAB4KSUTWU
Akash Kailas Patil    (2026-04-08 23:26:15)
https://www.sciencedirect.com/science/article/pii/S0360544212005269</t>
        </r>
      </text>
    </comment>
    <comment ref="J181" authorId="0" shapeId="0" xr:uid="{00000000-0006-0000-0000-0000DA000000}">
      <text>
        <r>
          <rPr>
            <sz val="11"/>
            <color theme="1"/>
            <rFont val="Calibri"/>
            <family val="2"/>
            <scheme val="minor"/>
          </rPr>
          <t>======
ID#AAAB4J8XJaY
Akash Kailas Patil    (2026-04-08 23:26:15)
https://www.sciencedirect.com/science/article/pii/S1364032124001655</t>
        </r>
      </text>
    </comment>
    <comment ref="J186" authorId="0" shapeId="0" xr:uid="{00000000-0006-0000-0000-000021010000}">
      <text>
        <r>
          <rPr>
            <sz val="11"/>
            <color theme="1"/>
            <rFont val="Calibri"/>
            <family val="2"/>
            <scheme val="minor"/>
          </rPr>
          <t>======
ID#AAAB4J8XJV0
Akash Kailas Patil    (2026-04-08 23:26:15)
https://www.sciencedirect.com/science/article/pii/S0360544212005269</t>
        </r>
      </text>
    </comment>
    <comment ref="J198" authorId="0" shapeId="0" xr:uid="{00000000-0006-0000-0000-00000D000000}">
      <text>
        <r>
          <rPr>
            <sz val="11"/>
            <color theme="1"/>
            <rFont val="Calibri"/>
            <family val="2"/>
            <scheme val="minor"/>
          </rPr>
          <t>======
ID#AAAB4KS0b3Y
Akash Kailas Patil    (2026-04-08 23:26:15)
https://www.sciencedirect.com/science/article/pii/S0360544212005269</t>
        </r>
      </text>
    </comment>
    <comment ref="J200" authorId="0" shapeId="0" xr:uid="{00000000-0006-0000-0000-00004D000000}">
      <text>
        <r>
          <rPr>
            <sz val="11"/>
            <color theme="1"/>
            <rFont val="Calibri"/>
            <family val="2"/>
            <scheme val="minor"/>
          </rPr>
          <t>======
ID#AAAB4KSUTZk
Akash Kailas Patil    (2026-04-08 23:26:15)
https://www.prefeed.com/common/pdf/1509E.pdf</t>
        </r>
      </text>
    </comment>
    <comment ref="J209" authorId="0" shapeId="0" xr:uid="{00000000-0006-0000-0000-000011000000}">
      <text>
        <r>
          <rPr>
            <sz val="11"/>
            <color theme="1"/>
            <rFont val="Calibri"/>
            <family val="2"/>
            <scheme val="minor"/>
          </rPr>
          <t>======
ID#AAAB4KS0b3E
Akash Kailas Patil    (2026-04-08 23:26:15)
https://www.prefeed.com/common/pdf/1509E.pdf</t>
        </r>
      </text>
    </comment>
    <comment ref="J216" authorId="0" shapeId="0" xr:uid="{00000000-0006-0000-0000-0000BE000000}">
      <text>
        <r>
          <rPr>
            <sz val="11"/>
            <color theme="1"/>
            <rFont val="Calibri"/>
            <family val="2"/>
            <scheme val="minor"/>
          </rPr>
          <t>======
ID#AAAB4J9eaVI
Akash Kailas Patil    (2026-04-08 23:26:15)
https://www.sciencedirect.com/science/article/pii/S1364032124001655</t>
        </r>
      </text>
    </comment>
    <comment ref="AB222" authorId="0" shapeId="0" xr:uid="{00000000-0006-0000-0000-0000BF000000}">
      <text>
        <r>
          <rPr>
            <sz val="11"/>
            <color theme="1"/>
            <rFont val="Calibri"/>
            <family val="2"/>
            <scheme val="minor"/>
          </rPr>
          <t>======
ID#AAAB4J9eaU8
Akash Kailas Patil    (2026-04-08 23:26:15)
0.43 from simulation</t>
        </r>
      </text>
    </comment>
    <comment ref="J223" authorId="0" shapeId="0" xr:uid="{00000000-0006-0000-0000-0000D4000000}">
      <text>
        <r>
          <rPr>
            <sz val="11"/>
            <color theme="1"/>
            <rFont val="Calibri"/>
            <family val="2"/>
            <scheme val="minor"/>
          </rPr>
          <t>======
ID#AAAB4J9eaTk
Akash Kailas Patil    (2026-04-08 23:26:15)
https://nationalpumpsandboilers.co.uk/blog/a-comparison-of-plate-vs-shell-and-tube-heat-exchangers-for-large-facilities</t>
        </r>
      </text>
    </comment>
    <comment ref="AC223" authorId="0" shapeId="0" xr:uid="{00000000-0006-0000-0000-00001E000000}">
      <text>
        <r>
          <rPr>
            <sz val="11"/>
            <color theme="1"/>
            <rFont val="Calibri"/>
            <family val="2"/>
            <scheme val="minor"/>
          </rPr>
          <t>======
ID#AAAB4KS0b2U
Akash Kailas Patil    (2026-04-08 23:26:15)
5.43 GJ/t energy needed in reactors, assumed to be fuel</t>
        </r>
      </text>
    </comment>
    <comment ref="AD223" authorId="0" shapeId="0" xr:uid="{00000000-0006-0000-0000-000084000000}">
      <text>
        <r>
          <rPr>
            <sz val="11"/>
            <color theme="1"/>
            <rFont val="Calibri"/>
            <family val="2"/>
            <scheme val="minor"/>
          </rPr>
          <t>======
ID#AAAB4KSUTWI
Akash Kailas Patil    (2026-04-08 23:26:15)
1.62 GJ/t energy for heat exchangers (heater) from simulation</t>
        </r>
      </text>
    </comment>
    <comment ref="AD224" authorId="0" shapeId="0" xr:uid="{00000000-0006-0000-0000-00000E000000}">
      <text>
        <r>
          <rPr>
            <sz val="11"/>
            <color theme="1"/>
            <rFont val="Calibri"/>
            <family val="2"/>
            <scheme val="minor"/>
          </rPr>
          <t>======
ID#AAAB4KS0b3U
Akash Kailas Patil    (2026-04-08 23:26:15)
-4.92 GJ/t for cooler after reforming, from simulation</t>
        </r>
      </text>
    </comment>
    <comment ref="AB227" authorId="0" shapeId="0" xr:uid="{00000000-0006-0000-0000-00002E000000}">
      <text>
        <r>
          <rPr>
            <sz val="11"/>
            <color theme="1"/>
            <rFont val="Calibri"/>
            <family val="2"/>
            <scheme val="minor"/>
          </rPr>
          <t>======
ID#AAAB4KSUTbs
Akash Kailas Patil    (2026-04-08 23:26:15)
No electricity use detected in simulation</t>
        </r>
      </text>
    </comment>
    <comment ref="AD227" authorId="0" shapeId="0" xr:uid="{00000000-0006-0000-0000-000010010000}">
      <text>
        <r>
          <rPr>
            <sz val="11"/>
            <color theme="1"/>
            <rFont val="Calibri"/>
            <family val="2"/>
            <scheme val="minor"/>
          </rPr>
          <t>======
ID#AAAB4J8XJW8
Akash Kailas Patil    (2026-04-08 23:26:15)
-0.08 GJ/t Duty for splitter from simulation</t>
        </r>
      </text>
    </comment>
    <comment ref="AB229" authorId="0" shapeId="0" xr:uid="{00000000-0006-0000-0000-000060000000}">
      <text>
        <r>
          <rPr>
            <sz val="11"/>
            <color theme="1"/>
            <rFont val="Calibri"/>
            <family val="2"/>
            <scheme val="minor"/>
          </rPr>
          <t>======
ID#AAAB4KSUTYY
Akash Kailas Patil    (2026-04-08 23:26:15)
1.09 from simulation, energy for 3-stage compression</t>
        </r>
      </text>
    </comment>
    <comment ref="AB230" authorId="0" shapeId="0" xr:uid="{00000000-0006-0000-0000-00009E000000}">
      <text>
        <r>
          <rPr>
            <sz val="11"/>
            <color theme="1"/>
            <rFont val="Calibri"/>
            <family val="2"/>
            <scheme val="minor"/>
          </rPr>
          <t>======
ID#AAAB4J9eaXM
Akash Kailas Patil    (2026-04-08 23:26:15)
0.085 duty for compresssor from simulation</t>
        </r>
      </text>
    </comment>
    <comment ref="AD230" authorId="0" shapeId="0" xr:uid="{00000000-0006-0000-0000-000030010000}">
      <text>
        <r>
          <rPr>
            <sz val="11"/>
            <color theme="1"/>
            <rFont val="Calibri"/>
            <family val="2"/>
            <scheme val="minor"/>
          </rPr>
          <t>======
ID#AAAB4J8XJU0
Akash Kailas Patil    (2026-04-08 23:26:15)
-2.3 from simulation</t>
        </r>
      </text>
    </comment>
    <comment ref="AG233" authorId="0" shapeId="0" xr:uid="{00000000-0006-0000-0000-00003F010000}">
      <text>
        <r>
          <rPr>
            <sz val="11"/>
            <color theme="1"/>
            <rFont val="Calibri"/>
            <family val="2"/>
            <scheme val="minor"/>
          </rPr>
          <t>======
ID#AAABnyS6x40
btuser    (2025-07-24 23:03:57)
Transformative Pathways</t>
        </r>
      </text>
    </comment>
    <comment ref="E235" authorId="0" shapeId="0" xr:uid="{00000000-0006-0000-0000-000051010000}">
      <text>
        <r>
          <rPr>
            <sz val="11"/>
            <color theme="1"/>
            <rFont val="Calibri"/>
            <family val="2"/>
            <scheme val="minor"/>
          </rPr>
          <t>======
ID#AAABmbd2zMM
btuser    (2025-06-26 18:20:22)
Washing to remove cooking liquors and screening to remove undigested material and impurities</t>
        </r>
      </text>
    </comment>
    <comment ref="J239" authorId="0" shapeId="0" xr:uid="{00000000-0006-0000-0000-00006C000000}">
      <text>
        <r>
          <rPr>
            <sz val="11"/>
            <color theme="1"/>
            <rFont val="Calibri"/>
            <family val="2"/>
            <scheme val="minor"/>
          </rPr>
          <t>======
ID#AAAB4KSUTXo
Akash Kailas Patil    (2026-04-08 23:26:15)
https://www.sciencedirect.com/science/article/pii/S1364032124001655</t>
        </r>
      </text>
    </comment>
    <comment ref="AG240" authorId="0" shapeId="0" xr:uid="{00000000-0006-0000-0000-000040010000}">
      <text>
        <r>
          <rPr>
            <sz val="11"/>
            <color theme="1"/>
            <rFont val="Calibri"/>
            <family val="2"/>
            <scheme val="minor"/>
          </rPr>
          <t>======
ID#AAABnyS6x4w
btuser    (2025-07-24 23:03:57)
Paper: 15.5 MMT (13.69 pulp made; 1.81 pulp imported) (12.97 Paper; 2.53 Packaging paper) (1.265 packaging bleached; 1.265 packaging unbleached) (1.117 made pulp; 0.14 imported pulp) (11.4 paper made pulp; 1.51 imported pulp)
Tissue: 6.1 (3.7 is dried using steam; 2.4 is dried using Through air drying fuel)
Specialty Paper:  5.78</t>
        </r>
      </text>
    </comment>
    <comment ref="AE251" authorId="0" shapeId="0" xr:uid="{00000000-0006-0000-0000-00006D000000}">
      <text>
        <r>
          <rPr>
            <sz val="11"/>
            <color theme="1"/>
            <rFont val="Calibri"/>
            <family val="2"/>
            <scheme val="minor"/>
          </rPr>
          <t>======
ID#AAAB4KSUTXk
Akash Kailas Patil    (2026-04-08 23:26:15)
https://epcbsteamboiler.com/how-should-the-paper-1ndustry-choose-the-right-industrial-steam-boiler/</t>
        </r>
      </text>
    </comment>
    <comment ref="AF251" authorId="0" shapeId="0" xr:uid="{00000000-0006-0000-0000-00007D000000}">
      <text>
        <r>
          <rPr>
            <sz val="11"/>
            <color theme="1"/>
            <rFont val="Calibri"/>
            <family val="2"/>
            <scheme val="minor"/>
          </rPr>
          <t>======
ID#AAAB4KSUTWk
Akash Kailas Patil    (2026-04-08 23:26:15)
https://epcbsteamboiler.com/how-should-the-paper-1ndustry-choose-the-right-industrial-steam-boiler/</t>
        </r>
      </text>
    </comment>
    <comment ref="AG254" authorId="0" shapeId="0" xr:uid="{00000000-0006-0000-0000-000004000000}">
      <text>
        <r>
          <rPr>
            <sz val="11"/>
            <color theme="1"/>
            <rFont val="Calibri"/>
            <family val="2"/>
            <scheme val="minor"/>
          </rPr>
          <t>======
ID#AAAB3-w9CRk
btuser    (2026-04-23 21:39:27)
56% adoption</t>
        </r>
      </text>
    </comment>
    <comment ref="J255" authorId="0" shapeId="0" xr:uid="{00000000-0006-0000-0000-000082000000}">
      <text>
        <r>
          <rPr>
            <sz val="11"/>
            <color theme="1"/>
            <rFont val="Calibri"/>
            <family val="2"/>
            <scheme val="minor"/>
          </rPr>
          <t>======
ID#AAAB4KSUTWQ
Akash Kailas Patil    (2026-04-08 23:26:15)
https://www.sciencedirect.com/science/article/pii/S1364032124001655</t>
        </r>
      </text>
    </comment>
    <comment ref="AG255" authorId="0" shapeId="0" xr:uid="{00000000-0006-0000-0000-000003000000}">
      <text>
        <r>
          <rPr>
            <sz val="11"/>
            <color theme="1"/>
            <rFont val="Calibri"/>
            <family val="2"/>
            <scheme val="minor"/>
          </rPr>
          <t>======
ID#AAAB3-w9CRw
btuser    (2026-04-23 21:39:27)
44% Adoption</t>
        </r>
      </text>
    </comment>
    <comment ref="AE257" authorId="0" shapeId="0" xr:uid="{00000000-0006-0000-0000-000080000000}">
      <text>
        <r>
          <rPr>
            <sz val="11"/>
            <color theme="1"/>
            <rFont val="Calibri"/>
            <family val="2"/>
            <scheme val="minor"/>
          </rPr>
          <t>======
ID#AAAB4KSUTWY
Akash Kailas Patil    (2026-04-08 23:26:15)
https://epcbsteamboiler.com/how-should-the-paper-1ndustry-choose-the-right-industrial-steam-boiler/</t>
        </r>
      </text>
    </comment>
    <comment ref="AF257" authorId="0" shapeId="0" xr:uid="{00000000-0006-0000-0000-0000D3000000}">
      <text>
        <r>
          <rPr>
            <sz val="11"/>
            <color theme="1"/>
            <rFont val="Calibri"/>
            <family val="2"/>
            <scheme val="minor"/>
          </rPr>
          <t>======
ID#AAAB4J9eaTw
Akash Kailas Patil    (2026-04-08 23:26:15)
https://epcbsteamboiler.com/how-should-the-paper-1ndustry-choose-the-right-industrial-steam-boiler/</t>
        </r>
      </text>
    </comment>
    <comment ref="AG267" authorId="0" shapeId="0" xr:uid="{00000000-0006-0000-0000-000002000000}">
      <text>
        <r>
          <rPr>
            <sz val="11"/>
            <color theme="1"/>
            <rFont val="Calibri"/>
            <family val="2"/>
            <scheme val="minor"/>
          </rPr>
          <t>======
ID#AAAB3-mOWu8
btuser    (2026-04-23 23:01:41)
Cartonboard bleached, others unbleached. Both recycled and virgin cartonboards bleached</t>
        </r>
      </text>
    </comment>
    <comment ref="AG272" authorId="0" shapeId="0" xr:uid="{00000000-0006-0000-0000-000043010000}">
      <text>
        <r>
          <rPr>
            <sz val="11"/>
            <color theme="1"/>
            <rFont val="Calibri"/>
            <family val="2"/>
            <scheme val="minor"/>
          </rPr>
          <t>======
ID#AAABnkz8-Gs
btuser    (2025-07-22 23:40:26)
https://apps.usgs.gov/minerals-information-archives/iron-steel/mcs-2019-feste.pdf</t>
        </r>
      </text>
    </comment>
    <comment ref="Z275" authorId="0" shapeId="0" xr:uid="{00000000-0006-0000-0000-000047010000}">
      <text>
        <r>
          <rPr>
            <sz val="11"/>
            <color theme="1"/>
            <rFont val="Calibri"/>
            <family val="2"/>
            <scheme val="minor"/>
          </rPr>
          <t>======
ID#AAABlNLiQrg
btuser    (2025-07-22 17:27:59)
Part of the Sintering Process</t>
        </r>
      </text>
    </comment>
    <comment ref="T281" authorId="0" shapeId="0" xr:uid="{00000000-0006-0000-0000-000039010000}">
      <text>
        <r>
          <rPr>
            <sz val="11"/>
            <color theme="1"/>
            <rFont val="Calibri"/>
            <family val="2"/>
            <scheme val="minor"/>
          </rPr>
          <t>======
ID#AAABrLejF4k
tc={94799F6F-0A7E-4772-A60E-FCF34FC87CEA}    (2025-09-15 20:11:48)
[Threaded comment]
Your version of Excel allows you to read this threaded comment; however, any edits to it will get removed if the file is opened in a newer version of Excel. Learn more: https://go.microsoft.com/fwlink/?linkid=870924
Comment:
    Pure O2 demand.
https://publications.ieaghg.org/technicalreports/2017-03%20Techno-Economic%20Evaluation%20of%20HYCO%20Plant%20Integrated%20to%20Ammonia%20%20Urea%20or%20Methanol%20Production%20with%20CCS.pdf#:~:text=Natural%20Gas%20Feedstock%20GJ%2Ft%20MeOH,97.7</t>
        </r>
      </text>
    </comment>
    <comment ref="AB282" authorId="0" shapeId="0" xr:uid="{00000000-0006-0000-0000-00003C010000}">
      <text>
        <r>
          <rPr>
            <sz val="11"/>
            <color theme="1"/>
            <rFont val="Calibri"/>
            <family val="2"/>
            <scheme val="minor"/>
          </rPr>
          <t>======
ID#AAABrLejF4Y
tc={5F09CFAB-5D87-4E57-B4E9-545EC3D2A0F1}    (2025-09-15 20:11:48)
[Threaded comment]
Your version of Excel allows you to read this threaded comment; however, any edits to it will get removed if the file is opened in a newer version of Excel. Learn more: https://go.microsoft.com/fwlink/?linkid=870924
Comment:
    Approx. 0.229 kWh is needed for a kg of O2.
doi:10.1016/j.energy.2012.01.065</t>
        </r>
      </text>
    </comment>
    <comment ref="H283" authorId="0" shapeId="0" xr:uid="{00000000-0006-0000-0000-000038010000}">
      <text>
        <r>
          <rPr>
            <sz val="11"/>
            <color theme="1"/>
            <rFont val="Calibri"/>
            <family val="2"/>
            <scheme val="minor"/>
          </rPr>
          <t>======
ID#AAABrLejF4o
tc={2BED3E35-033E-46C9-B531-DA00BA88B173}    (2025-09-15 20:11:48)
[Threaded comment]
Your version of Excel allows you to read this threaded comment; however, any edits to it will get removed if the file is opened in a newer version of Excel. Learn more: https://go.microsoft.com/fwlink/?linkid=870924
Comment:
    The product syngas is cooled in a series of heat exchangers that include:
- Waste heat boilers
- Boiler feedwater preheating
- Reboilers of the methanol distillation unit
https://publications.ieaghg.org/technicalreports/2017-03%20Techno-Economic%20Evaluation%20of%20HYCO%20Plant%20Integrated%20to%20Ammonia%20%20Urea%20or%20Methanol%20Production%20with%20CCS.pdf#:~:text=The%20Air%20Separation%20Unit%20or,56%20MPa%29%20oxygen%20to%20be</t>
        </r>
      </text>
    </comment>
    <comment ref="J283" authorId="0" shapeId="0" xr:uid="{00000000-0006-0000-0000-0000E3000000}">
      <text>
        <r>
          <rPr>
            <sz val="11"/>
            <color theme="1"/>
            <rFont val="Calibri"/>
            <family val="2"/>
            <scheme val="minor"/>
          </rPr>
          <t>======
ID#AAAB4J8XJZs
Akash Kailas Patil    (2026-04-08 23:26:15)
https://nationalpumpsandboilers.co.uk/blog/a-comparison-of-plate-vs-shell-and-tube-heat-exchangers-for-large-facilities</t>
        </r>
      </text>
    </comment>
    <comment ref="AC283" authorId="0" shapeId="0" xr:uid="{00000000-0006-0000-0000-00003B010000}">
      <text>
        <r>
          <rPr>
            <sz val="11"/>
            <color theme="1"/>
            <rFont val="Calibri"/>
            <family val="2"/>
            <scheme val="minor"/>
          </rPr>
          <t>======
ID#AAABrLejF4c
tc={CE599680-64C2-4D1A-A73B-4C29B5F3A1BA}    (2025-09-15 20:11:48)
[Threaded comment]
Your version of Excel allows you to read this threaded comment; however, any edits to it will get removed if the file is opened in a newer version of Excel. Learn more: https://go.microsoft.com/fwlink/?linkid=870924
Comment:
    Part of the reformer energy is supplied by combusting tail/purge gases, fusel oils, and light ends separated during methanol distillation.
https://publications.ieaghg.org/technicalreports/2017-03%20Techno-Economic%20Evaluation%20of%20HYCO%20Plant%20Integrated%20to%20Ammonia%20%20Urea%20or%20Methanol%20Production%20with%20CCS.pdf#:~:text=Natural%20Gas%20Feedstock%20GJ%2Ft%20MeOH,97.7
https://cdn.decarbonisationtechnology.com/data/articles/file/6-dt2-bd-energy-web.pdf</t>
        </r>
      </text>
    </comment>
    <comment ref="AD283" authorId="0" shapeId="0" xr:uid="{00000000-0006-0000-0000-000036010000}">
      <text>
        <r>
          <rPr>
            <sz val="11"/>
            <color theme="1"/>
            <rFont val="Calibri"/>
            <family val="2"/>
            <scheme val="minor"/>
          </rPr>
          <t>======
ID#AAABrLejF4w
tc={49D08C66-0AF0-467F-BBE8-6C92ACD46957}    (2025-09-15 20:11:48)
[Threaded comment]
Your version of Excel allows you to read this threaded comment; however, any edits to it will get removed if the file is opened in a newer version of Excel. Learn more: https://go.microsoft.com/fwlink/?linkid=870924
Comment:
    Steam to NG ratio of 3 t-steam/t-NG is assumed.
McMillan et al./JISEA (2016)</t>
        </r>
      </text>
    </comment>
    <comment ref="I286" authorId="0" shapeId="0" xr:uid="{00000000-0006-0000-0000-00003A010000}">
      <text>
        <r>
          <rPr>
            <sz val="11"/>
            <color theme="1"/>
            <rFont val="Calibri"/>
            <family val="2"/>
            <scheme val="minor"/>
          </rPr>
          <t>======
ID#AAABrLejF4g
tc={811052A8-5395-4B5D-873C-56B66D4B84D9}    (2025-09-15 20:11:48)
[Threaded comment]
Your version of Excel allows you to read this threaded comment; however, any edits to it will get removed if the file is opened in a newer version of Excel. Learn more: https://go.microsoft.com/fwlink/?linkid=870924
Comment:
    https://www.topsoe.com/processes/methanol/synthesis#:~:text=This%20boiling%20water%20reactor%20(BWR,technology%20available%20on%20the%20market.</t>
        </r>
      </text>
    </comment>
    <comment ref="J287" authorId="0" shapeId="0" xr:uid="{00000000-0006-0000-0000-0000F7000000}">
      <text>
        <r>
          <rPr>
            <sz val="11"/>
            <color theme="1"/>
            <rFont val="Calibri"/>
            <family val="2"/>
            <scheme val="minor"/>
          </rPr>
          <t>======
ID#AAAB4J8XJYg
Akash Kailas Patil    (2026-04-08 23:26:15)
https://www.prefeed.com/common/pdf/1509E.pdf</t>
        </r>
      </text>
    </comment>
    <comment ref="AE289" authorId="0" shapeId="0" xr:uid="{00000000-0006-0000-0000-00007A000000}">
      <text>
        <r>
          <rPr>
            <sz val="11"/>
            <color theme="1"/>
            <rFont val="Calibri"/>
            <family val="2"/>
            <scheme val="minor"/>
          </rPr>
          <t>======
ID#AAAB4KSUTWw
For the overall ethanol making    (2026-04-08 23:26:15)
https://www.kraftblock.com/blog/thermal-energy-storage-for-ethanol-production-cost-efficient-and-easy-electrification</t>
        </r>
      </text>
    </comment>
    <comment ref="AG289" authorId="0" shapeId="0" xr:uid="{00000000-0006-0000-0000-00000A000000}">
      <text>
        <r>
          <rPr>
            <sz val="11"/>
            <color theme="1"/>
            <rFont val="Calibri"/>
            <family val="2"/>
            <scheme val="minor"/>
          </rPr>
          <t>======
ID#AAAB4LoSNHc
Akash Kailas Patil    (2026-04-09 19:03:43)
Number unchanged as of 4/9/26</t>
        </r>
      </text>
    </comment>
    <comment ref="J292" authorId="0" shapeId="0" xr:uid="{00000000-0006-0000-0000-00002D010000}">
      <text>
        <r>
          <rPr>
            <sz val="11"/>
            <color theme="1"/>
            <rFont val="Calibri"/>
            <family val="2"/>
            <scheme val="minor"/>
          </rPr>
          <t>======
ID#AAAB4J8XJVI
Akash Kailas Patil    (2026-04-08 23:26:15)
https://www.prefeed.com/common/pdf/1509E.pdf</t>
        </r>
      </text>
    </comment>
    <comment ref="J295" authorId="0" shapeId="0" xr:uid="{00000000-0006-0000-0000-000006010000}">
      <text>
        <r>
          <rPr>
            <sz val="11"/>
            <color theme="1"/>
            <rFont val="Calibri"/>
            <family val="2"/>
            <scheme val="minor"/>
          </rPr>
          <t>======
ID#AAAB4J8XJXk
Akash Kailas Patil    (2026-04-08 23:26:15)
https://www.sciencedirect.com/science/article/pii/S1364032124001655</t>
        </r>
      </text>
    </comment>
    <comment ref="AE297" authorId="0" shapeId="0" xr:uid="{00000000-0006-0000-0000-000094000000}">
      <text>
        <r>
          <rPr>
            <sz val="11"/>
            <color theme="1"/>
            <rFont val="Calibri"/>
            <family val="2"/>
            <scheme val="minor"/>
          </rPr>
          <t>======
ID#AAAB4J9eaXs
For the overall ethanol making    (2026-04-08 23:26:15)
https://www.kraftblock.com/blog/thermal-energy-storage-for-ethanol-production-cost-efficient-and-easy-electrification</t>
        </r>
      </text>
    </comment>
    <comment ref="AG297" authorId="0" shapeId="0" xr:uid="{00000000-0006-0000-0000-000009000000}">
      <text>
        <r>
          <rPr>
            <sz val="11"/>
            <color theme="1"/>
            <rFont val="Calibri"/>
            <family val="2"/>
            <scheme val="minor"/>
          </rPr>
          <t>======
ID#AAAB4LoSNHg
Akash Kailas Patil    (2026-04-09 19:03:50)
Number unchanged as of 4/9/26</t>
        </r>
      </text>
    </comment>
    <comment ref="J303" authorId="0" shapeId="0" xr:uid="{00000000-0006-0000-0000-000001010000}">
      <text>
        <r>
          <rPr>
            <sz val="11"/>
            <color theme="1"/>
            <rFont val="Calibri"/>
            <family val="2"/>
            <scheme val="minor"/>
          </rPr>
          <t>======
ID#AAAB4J8XJX4
Akash Kailas Patil    (2026-04-08 23:26:15)
https://www.sciencedirect.com/science/article/pii/S1364032124001655</t>
        </r>
      </text>
    </comment>
    <comment ref="J307" authorId="0" shapeId="0" xr:uid="{00000000-0006-0000-0000-000005010000}">
      <text>
        <r>
          <rPr>
            <sz val="11"/>
            <color theme="1"/>
            <rFont val="Calibri"/>
            <family val="2"/>
            <scheme val="minor"/>
          </rPr>
          <t>======
ID#AAAB4J8XJXo
Akash Kailas Patil    (2026-04-08 23:26:15)
https://www.sciencedirect.com/science/article/pii/S1364032124001655</t>
        </r>
      </text>
    </comment>
    <comment ref="J310" authorId="0" shapeId="0" xr:uid="{00000000-0006-0000-0000-0000BA000000}">
      <text>
        <r>
          <rPr>
            <sz val="11"/>
            <color theme="1"/>
            <rFont val="Calibri"/>
            <family val="2"/>
            <scheme val="minor"/>
          </rPr>
          <t>======
ID#AAAB4J9eaVQ
Akash Kailas Patil    (2026-04-08 23:26:15)
https://www.sciencedirect.com/science/article/pii/S1364032124001655</t>
        </r>
      </text>
    </comment>
    <comment ref="J312" authorId="0" shapeId="0" xr:uid="{00000000-0006-0000-0000-0000D1000000}">
      <text>
        <r>
          <rPr>
            <sz val="11"/>
            <color theme="1"/>
            <rFont val="Calibri"/>
            <family val="2"/>
            <scheme val="minor"/>
          </rPr>
          <t>======
ID#AAAB4J9eaT0
Akash Kailas Patil    (2026-04-08 23:26:15)
https://www.prefeed.com/common/pdf/1509E.pdf</t>
        </r>
      </text>
    </comment>
    <comment ref="J313" authorId="0" shapeId="0" xr:uid="{00000000-0006-0000-0000-00008A000000}">
      <text>
        <r>
          <rPr>
            <sz val="11"/>
            <color theme="1"/>
            <rFont val="Calibri"/>
            <family val="2"/>
            <scheme val="minor"/>
          </rPr>
          <t>======
ID#AAAB4KSUTVw
Akash Kailas Patil    (2026-04-08 23:26:15)
https://www.sciencedirect.com/science/article/pii/S1364032124001655</t>
        </r>
      </text>
    </comment>
    <comment ref="J314" authorId="0" shapeId="0" xr:uid="{00000000-0006-0000-0000-00000C010000}">
      <text>
        <r>
          <rPr>
            <sz val="11"/>
            <color theme="1"/>
            <rFont val="Calibri"/>
            <family val="2"/>
            <scheme val="minor"/>
          </rPr>
          <t>======
ID#AAAB4J8XJXU
Akash Kailas Patil    (2026-04-08 23:26:15)
https://www.prefeed.com/common/pdf/1509E.pdf</t>
        </r>
      </text>
    </comment>
    <comment ref="AG314" authorId="0" shapeId="0" xr:uid="{00000000-0006-0000-0000-00000B000000}">
      <text>
        <r>
          <rPr>
            <sz val="11"/>
            <color theme="1"/>
            <rFont val="Calibri"/>
            <family val="2"/>
            <scheme val="minor"/>
          </rPr>
          <t>======
ID#AAAB4UCDKdw
Akash Kailas Patil    (2026-04-09 18:17:38)
Number unchanged, as of 4/9/26</t>
        </r>
      </text>
    </comment>
    <comment ref="J315" authorId="0" shapeId="0" xr:uid="{00000000-0006-0000-0000-00001F000000}">
      <text>
        <r>
          <rPr>
            <sz val="11"/>
            <color theme="1"/>
            <rFont val="Calibri"/>
            <family val="2"/>
            <scheme val="minor"/>
          </rPr>
          <t>======
ID#AAAB4KS0b2M
Akash Kailas Patil    (2026-04-08 23:26:15)
https://www.prefeed.com/common/pdf/1509E.pdf</t>
        </r>
      </text>
    </comment>
    <comment ref="J327" authorId="0" shapeId="0" xr:uid="{00000000-0006-0000-0000-00004C000000}">
      <text>
        <r>
          <rPr>
            <sz val="11"/>
            <color theme="1"/>
            <rFont val="Calibri"/>
            <family val="2"/>
            <scheme val="minor"/>
          </rPr>
          <t>======
ID#AAAB4KSUTZo
Akash Kailas Patil    (2026-04-08 23:26:15)
https://www.energystar.gov/sites/default/files/tools/Fertilizer_guide_170418_508.pdf</t>
        </r>
      </text>
    </comment>
    <comment ref="E329" authorId="0" shapeId="0" xr:uid="{00000000-0006-0000-0000-00001F010000}">
      <text>
        <r>
          <rPr>
            <sz val="11"/>
            <color theme="1"/>
            <rFont val="Calibri"/>
            <family val="2"/>
            <scheme val="minor"/>
          </rPr>
          <t>======
ID#AAAB4J8XJV8
Akash Kailas Patil    (2026-04-08 23:26:15)
In a urea stripping plant the decomposition of the
ammonium carbamate that has not been converted into urea and the expulsion of the usual ammonia excess largely takes place at a pressure that is essentially almost equal to the pressure in the synthesis reactor</t>
        </r>
      </text>
    </comment>
    <comment ref="E330" authorId="0" shapeId="0" xr:uid="{00000000-0006-0000-0000-0000EA000000}">
      <text>
        <r>
          <rPr>
            <sz val="11"/>
            <color theme="1"/>
            <rFont val="Calibri"/>
            <family val="2"/>
            <scheme val="minor"/>
          </rPr>
          <t>======
ID#AAAB4J8XJZQ
Akash Kailas Patil    (2026-04-08 23:26:15)
The carbamate condenser receives stripped gases (NH3 and CO2) from the stripper top, mixes them with fresh ammonia and recycled carbamate solution, and chemically reacts them to form ammonium carbamate.</t>
        </r>
      </text>
    </comment>
    <comment ref="E333" authorId="0" shapeId="0" xr:uid="{00000000-0006-0000-0000-0000C3000000}">
      <text>
        <r>
          <rPr>
            <sz val="11"/>
            <color theme="1"/>
            <rFont val="Calibri"/>
            <family val="2"/>
            <scheme val="minor"/>
          </rPr>
          <t>======
ID#AAAB4J9eaUo
Akash Kailas Patil    (2026-04-08 23:26:15)
Assumed that LP steam will be imported. Source: https://trea.com/information/revamping-of-ammonia-urea-plants/patentapplication/b729b592-9563-49d7-92fe-076bbcfb52ff#:~:text=Some%20high%2Dpressure%20steam%20normally%20produced%20in%20an,to%20provide%20heat%20for%20decomposition%20of%20carbamate).</t>
        </r>
      </text>
    </comment>
    <comment ref="AB337" authorId="0" shapeId="0" xr:uid="{00000000-0006-0000-0000-0000FB000000}">
      <text>
        <r>
          <rPr>
            <sz val="11"/>
            <color theme="1"/>
            <rFont val="Calibri"/>
            <family val="2"/>
            <scheme val="minor"/>
          </rPr>
          <t>======
ID#AAAB4J8XJYQ
Akash Kailas Patil    (2026-04-08 23:26:15)
Approx. 0.229 kWh is needed for a kg of O2.
doi:10.1016/j.energy.2012.01.065</t>
        </r>
      </text>
    </comment>
    <comment ref="J338" authorId="0" shapeId="0" xr:uid="{00000000-0006-0000-0000-000050000000}">
      <text>
        <r>
          <rPr>
            <sz val="11"/>
            <color theme="1"/>
            <rFont val="Calibri"/>
            <family val="2"/>
            <scheme val="minor"/>
          </rPr>
          <t>======
ID#AAAB4KSUTZc
Akash Kailas Patil    (2026-04-08 23:26:15)
https://www.prefeed.com/common/pdf/1509E.pdf</t>
        </r>
      </text>
    </comment>
    <comment ref="J341" authorId="0" shapeId="0" xr:uid="{00000000-0006-0000-0000-000042000000}">
      <text>
        <r>
          <rPr>
            <sz val="11"/>
            <color theme="1"/>
            <rFont val="Calibri"/>
            <family val="2"/>
            <scheme val="minor"/>
          </rPr>
          <t>======
ID#AAAB4KSUTaY
Akash Kailas Patil    (2026-04-08 23:26:15)
https://www.prefeed.com/common/pdf/1509E.pdf</t>
        </r>
      </text>
    </comment>
    <comment ref="AE341" authorId="0" shapeId="0" xr:uid="{00000000-0006-0000-0000-000023010000}">
      <text>
        <r>
          <rPr>
            <sz val="11"/>
            <color theme="1"/>
            <rFont val="Calibri"/>
            <family val="2"/>
            <scheme val="minor"/>
          </rPr>
          <t>======
ID#AAAB4J8XJVo
Akash Kailas Patil    (2026-04-08 23:26:15)
Use of high press steam</t>
        </r>
      </text>
    </comment>
    <comment ref="J342" authorId="0" shapeId="0" xr:uid="{00000000-0006-0000-0000-0000D9000000}">
      <text>
        <r>
          <rPr>
            <sz val="11"/>
            <color theme="1"/>
            <rFont val="Calibri"/>
            <family val="2"/>
            <scheme val="minor"/>
          </rPr>
          <t>======
ID#AAAB4J9eaTY
Akash Kailas Patil    (2026-04-08 23:26:15)
Overall efficiency https://www.sciencedirect.com/science/article/pii/S1026918525000745</t>
        </r>
      </text>
    </comment>
    <comment ref="J343" authorId="0" shapeId="0" xr:uid="{00000000-0006-0000-0000-000015000000}">
      <text>
        <r>
          <rPr>
            <sz val="11"/>
            <color theme="1"/>
            <rFont val="Calibri"/>
            <family val="2"/>
            <scheme val="minor"/>
          </rPr>
          <t>======
ID#AAAB4KS0b20
Akash Kailas Patil    (2026-04-08 23:26:15)
https://ecoquery.ecoinvent.org/3.11/cutoff/dataset/2559/documentation</t>
        </r>
      </text>
    </comment>
    <comment ref="AE345" authorId="0" shapeId="0" xr:uid="{00000000-0006-0000-0000-000053000000}">
      <text>
        <r>
          <rPr>
            <sz val="11"/>
            <color theme="1"/>
            <rFont val="Calibri"/>
            <family val="2"/>
            <scheme val="minor"/>
          </rPr>
          <t>======
ID#AAAB4KSUTZM
Akash Kailas Patil    (2026-04-08 23:26:15)
https://www.mdpi.com/2227-9717/13/9/2926</t>
        </r>
      </text>
    </comment>
    <comment ref="AF345" authorId="0" shapeId="0" xr:uid="{00000000-0006-0000-0000-000016010000}">
      <text>
        <r>
          <rPr>
            <sz val="11"/>
            <color theme="1"/>
            <rFont val="Calibri"/>
            <family val="2"/>
            <scheme val="minor"/>
          </rPr>
          <t>======
ID#AAAB4J8XJWk
Akash Kailas Patil    (2026-04-08 23:26:15)
https://www.mdpi.com/2227-9717/13/9/2926</t>
        </r>
      </text>
    </comment>
    <comment ref="J349" authorId="0" shapeId="0" xr:uid="{00000000-0006-0000-0000-000028000000}">
      <text>
        <r>
          <rPr>
            <sz val="11"/>
            <color theme="1"/>
            <rFont val="Calibri"/>
            <family val="2"/>
            <scheme val="minor"/>
          </rPr>
          <t>======
ID#AAAB4KS0b1k
Akash Kailas Patil    (2026-04-08 23:26:15)
https://www.sciencedirect.com/science/article/pii/S1364032124001655</t>
        </r>
      </text>
    </comment>
    <comment ref="AE356" authorId="0" shapeId="0" xr:uid="{00000000-0006-0000-0000-00001C010000}">
      <text>
        <r>
          <rPr>
            <sz val="11"/>
            <color theme="1"/>
            <rFont val="Calibri"/>
            <family val="2"/>
            <scheme val="minor"/>
          </rPr>
          <t>======
ID#AAAB4J8XJWI
Akash Kailas Patil    (2026-04-08 23:26:15)
https://doi.org/10.1016/j.jclepro.2023.140224</t>
        </r>
      </text>
    </comment>
    <comment ref="AF356" authorId="0" shapeId="0" xr:uid="{00000000-0006-0000-0000-000016000000}">
      <text>
        <r>
          <rPr>
            <sz val="11"/>
            <color theme="1"/>
            <rFont val="Calibri"/>
            <family val="2"/>
            <scheme val="minor"/>
          </rPr>
          <t>======
ID#AAAB4KS0b28
Akash Kailas Patil    (2026-04-08 23:26:15)
https://doi.org/10.1016/j.jclepro.2023.140224</t>
        </r>
      </text>
    </comment>
    <comment ref="J362" authorId="0" shapeId="0" xr:uid="{00000000-0006-0000-0000-00001D000000}">
      <text>
        <r>
          <rPr>
            <sz val="11"/>
            <color theme="1"/>
            <rFont val="Calibri"/>
            <family val="2"/>
            <scheme val="minor"/>
          </rPr>
          <t>======
ID#AAAB4KS0b2Q
Akash Kailas Patil    (2026-04-08 23:26:15)
https://www.sciencedirect.com/science/article/pii/S1364032124001655</t>
        </r>
      </text>
    </comment>
    <comment ref="I363" authorId="0" shapeId="0" xr:uid="{00000000-0006-0000-0000-000045000000}">
      <text>
        <r>
          <rPr>
            <sz val="11"/>
            <color theme="1"/>
            <rFont val="Calibri"/>
            <family val="2"/>
            <scheme val="minor"/>
          </rPr>
          <t>======
ID#AAAB4KSUTaI
Akash Kailas Patil    (2026-04-08 23:26:15)
https://www.epa.gov/sites/default/files/2019-08/documents/flarescostmanualchapter7thedition_august2019vff.pdf#:~:text=Flares%20are%20generally%20categorized%20in%20two%20ways:,(i.e.%2C%20steam%2D%20assisted%2C%20air%2Dassisted%2C%20pressure%2Dassisted%2C%20or%20non%2Dassisted).</t>
        </r>
      </text>
    </comment>
    <comment ref="AE364" authorId="0" shapeId="0" xr:uid="{00000000-0006-0000-0000-00002B010000}">
      <text>
        <r>
          <rPr>
            <sz val="11"/>
            <color theme="1"/>
            <rFont val="Calibri"/>
            <family val="2"/>
            <scheme val="minor"/>
          </rPr>
          <t>======
ID#AAAB4J8XJVM
Akash Kailas Patil    (2026-04-08 23:26:15)
https://doi.org/10.1016/j.jclepro.2023.140224</t>
        </r>
      </text>
    </comment>
    <comment ref="AF364" authorId="0" shapeId="0" xr:uid="{00000000-0006-0000-0000-000086000000}">
      <text>
        <r>
          <rPr>
            <sz val="11"/>
            <color theme="1"/>
            <rFont val="Calibri"/>
            <family val="2"/>
            <scheme val="minor"/>
          </rPr>
          <t>======
ID#AAAB4KSUTV8
Akash Kailas Patil    (2026-04-08 23:26:15)
https://doi.org/10.1016/j.jclepro.2023.140224</t>
        </r>
      </text>
    </comment>
    <comment ref="AG368" authorId="0" shapeId="0" xr:uid="{00000000-0006-0000-0000-00007F000000}">
      <text>
        <r>
          <rPr>
            <sz val="11"/>
            <color theme="1"/>
            <rFont val="Calibri"/>
            <family val="2"/>
            <scheme val="minor"/>
          </rPr>
          <t>======
ID#AAAB4KSUTWc
Akash Kailas Patil    (2026-04-08 23:26:15)
https://s3.amazonaws.com/media.fisheries.noaa.gov/2025-01/FUS-2022-final3.pdf</t>
        </r>
      </text>
    </comment>
    <comment ref="J369" authorId="0" shapeId="0" xr:uid="{00000000-0006-0000-0000-00001A010000}">
      <text>
        <r>
          <rPr>
            <sz val="11"/>
            <color theme="1"/>
            <rFont val="Calibri"/>
            <family val="2"/>
            <scheme val="minor"/>
          </rPr>
          <t>======
ID#AAAB4J8XJWU
Akash Kailas Patil    (2026-04-08 23:26:15)
https://www.pelonistechnologies.com/resources/determining-the-efficiency-of-electric-motors</t>
        </r>
      </text>
    </comment>
    <comment ref="J371" authorId="0" shapeId="0" xr:uid="{00000000-0006-0000-0000-000078000000}">
      <text>
        <r>
          <rPr>
            <sz val="11"/>
            <color theme="1"/>
            <rFont val="Calibri"/>
            <family val="2"/>
            <scheme val="minor"/>
          </rPr>
          <t>======
ID#AAAB4KSUTW4
Akash Kailas Patil    (2026-04-08 23:26:15)
https://www.sciencedirect.com/science/article/pii/S1364032124001655</t>
        </r>
      </text>
    </comment>
    <comment ref="D375" authorId="0" shapeId="0" xr:uid="{00000000-0006-0000-0000-000093000000}">
      <text>
        <r>
          <rPr>
            <sz val="11"/>
            <color theme="1"/>
            <rFont val="Calibri"/>
            <family val="2"/>
            <scheme val="minor"/>
          </rPr>
          <t>======
ID#AAAB4J9eaX8
Akash Kailas Patil    (2026-04-08 23:26:15)
Energy/Fuel for fork lifts</t>
        </r>
      </text>
    </comment>
    <comment ref="J378" authorId="0" shapeId="0" xr:uid="{00000000-0006-0000-0000-000068000000}">
      <text>
        <r>
          <rPr>
            <sz val="11"/>
            <color theme="1"/>
            <rFont val="Calibri"/>
            <family val="2"/>
            <scheme val="minor"/>
          </rPr>
          <t>======
ID#AAAB4KSUTX4
Akash Kailas Patil    (2026-04-08 23:26:15)
https://www.pelonistechnologies.com/resources/determining-the-efficiency-of-electric-motors</t>
        </r>
      </text>
    </comment>
    <comment ref="J381" authorId="0" shapeId="0" xr:uid="{00000000-0006-0000-0000-0000B0000000}">
      <text>
        <r>
          <rPr>
            <sz val="11"/>
            <color theme="1"/>
            <rFont val="Calibri"/>
            <family val="2"/>
            <scheme val="minor"/>
          </rPr>
          <t>======
ID#AAAB4J9eaV4
Akash Kailas Patil    (2026-04-08 23:26:15)
https://www.pelonistechnologies.com/resources/determining-the-efficiency-of-electric-motors</t>
        </r>
      </text>
    </comment>
    <comment ref="J389" authorId="0" shapeId="0" xr:uid="{00000000-0006-0000-0000-00008F000000}">
      <text>
        <r>
          <rPr>
            <sz val="11"/>
            <color theme="1"/>
            <rFont val="Calibri"/>
            <family val="2"/>
            <scheme val="minor"/>
          </rPr>
          <t>======
ID#AAAB4J9eaYA
Akash Kailas Patil    (2026-04-08 23:26:15)
https://www.sciencedirect.com/science/article/pii/S1364032124001655</t>
        </r>
      </text>
    </comment>
    <comment ref="J392" authorId="0" shapeId="0" xr:uid="{00000000-0006-0000-0000-00005A000000}">
      <text>
        <r>
          <rPr>
            <sz val="11"/>
            <color theme="1"/>
            <rFont val="Calibri"/>
            <family val="2"/>
            <scheme val="minor"/>
          </rPr>
          <t>======
ID#AAAB4KSUTYw
Akash Kailas Patil    (2026-04-08 23:26:15)
https://www.pelonistechnologies.com/resources/determining-the-efficiency-of-electric-motors</t>
        </r>
      </text>
    </comment>
    <comment ref="AF392" authorId="0" shapeId="0" xr:uid="{00000000-0006-0000-0000-000019000000}">
      <text>
        <r>
          <rPr>
            <sz val="11"/>
            <color theme="1"/>
            <rFont val="Calibri"/>
            <family val="2"/>
            <scheme val="minor"/>
          </rPr>
          <t>======
ID#AAAB4KS0b2o
Akash Kailas Patil    (2026-04-08 23:26:15)
https://open.clemson.edu/cgi/viewcontent.cgi?article=5454&amp;context=all_theses</t>
        </r>
      </text>
    </comment>
    <comment ref="AF393" authorId="0" shapeId="0" xr:uid="{00000000-0006-0000-0000-0000E1000000}">
      <text>
        <r>
          <rPr>
            <sz val="11"/>
            <color theme="1"/>
            <rFont val="Calibri"/>
            <family val="2"/>
            <scheme val="minor"/>
          </rPr>
          <t>======
ID#AAAB4J8XJZ4
Akash Kailas Patil    (2026-04-08 23:26:15)
https://open.clemson.edu/cgi/viewcontent.cgi?article=5454&amp;context=all_theses</t>
        </r>
      </text>
    </comment>
    <comment ref="J394" authorId="0" shapeId="0" xr:uid="{00000000-0006-0000-0000-0000B9000000}">
      <text>
        <r>
          <rPr>
            <sz val="11"/>
            <color theme="1"/>
            <rFont val="Calibri"/>
            <family val="2"/>
            <scheme val="minor"/>
          </rPr>
          <t>======
ID#AAAB4J9eaVY
Akash Kailas Patil    (2026-04-08 23:26:15)
https://www.pelonistechnologies.com/resources/determining-the-efficiency-of-electric-motors</t>
        </r>
      </text>
    </comment>
    <comment ref="F395" authorId="0" shapeId="0" xr:uid="{00000000-0006-0000-0000-0000D0000000}">
      <text>
        <r>
          <rPr>
            <sz val="11"/>
            <color theme="1"/>
            <rFont val="Calibri"/>
            <family val="2"/>
            <scheme val="minor"/>
          </rPr>
          <t>======
ID#AAAB4J9eaT4
Akash Kailas Patil    (2026-04-08 23:26:15)
28 lbs of ham produced  per 154 gm of whole pig. https://www.motherearthnews.com/homesteading-and-livestock/how-much-meat-can-one-pig-produce-zbcz1902/#:~:text=How%20much%20of%20each%20cut%20can%20I,hocks.%20Expect%20about%2028%20pounds%20of%20meat.</t>
        </r>
      </text>
    </comment>
    <comment ref="J395" authorId="0" shapeId="0" xr:uid="{00000000-0006-0000-0000-0000A3000000}">
      <text>
        <r>
          <rPr>
            <sz val="11"/>
            <color theme="1"/>
            <rFont val="Calibri"/>
            <family val="2"/>
            <scheme val="minor"/>
          </rPr>
          <t>======
ID#AAAB4J9eaW4
Akash Kailas Patil    (2026-04-08 23:26:15)
https://www.pelonistechnologies.com/resources/determining-the-efficiency-of-electric-motors</t>
        </r>
      </text>
    </comment>
    <comment ref="J398" authorId="0" shapeId="0" xr:uid="{00000000-0006-0000-0000-000002010000}">
      <text>
        <r>
          <rPr>
            <sz val="11"/>
            <color theme="1"/>
            <rFont val="Calibri"/>
            <family val="2"/>
            <scheme val="minor"/>
          </rPr>
          <t>======
ID#AAAB4J8XJX0
Akash Kailas Patil    (2026-04-08 23:26:15)
https://www.sciencedirect.com/science/article/pii/S1364032124001655</t>
        </r>
      </text>
    </comment>
    <comment ref="J400" authorId="0" shapeId="0" xr:uid="{00000000-0006-0000-0000-000064000000}">
      <text>
        <r>
          <rPr>
            <sz val="11"/>
            <color theme="1"/>
            <rFont val="Calibri"/>
            <family val="2"/>
            <scheme val="minor"/>
          </rPr>
          <t>======
ID#AAAB4KSUTYI
Akash Kailas Patil    (2026-04-08 23:26:15)
https://ijsra.net/sites/default/files/fulltext_pdf/IJSRA-2024-1976.pdf</t>
        </r>
      </text>
    </comment>
    <comment ref="E402" authorId="0" shapeId="0" xr:uid="{00000000-0006-0000-0000-0000C2000000}">
      <text>
        <r>
          <rPr>
            <sz val="11"/>
            <color theme="1"/>
            <rFont val="Calibri"/>
            <family val="2"/>
            <scheme val="minor"/>
          </rPr>
          <t>======
ID#AAAB4J9eaUw
Akash Kailas Patil    (2026-04-08 23:26:15)
Production related steps happen in following order: Slaughterhouse, Rendering, Packaging, Refrigeration and Wastewater treatment</t>
        </r>
      </text>
    </comment>
    <comment ref="J404" authorId="0" shapeId="0" xr:uid="{00000000-0006-0000-0000-00002C000000}">
      <text>
        <r>
          <rPr>
            <sz val="11"/>
            <color theme="1"/>
            <rFont val="Calibri"/>
            <family val="2"/>
            <scheme val="minor"/>
          </rPr>
          <t>======
ID#AAAB4KS0b1Q
Akash Kailas Patil    (2026-04-08 23:26:15)
https://www.sciencedirect.com/science/article/pii/S1364032124001655</t>
        </r>
      </text>
    </comment>
    <comment ref="AF408" authorId="0" shapeId="0" xr:uid="{00000000-0006-0000-0000-000075000000}">
      <text>
        <r>
          <rPr>
            <sz val="11"/>
            <color theme="1"/>
            <rFont val="Calibri"/>
            <family val="2"/>
            <scheme val="minor"/>
          </rPr>
          <t>======
ID#AAAB4KSUTXE
Akash Kailas Patil    (2026-04-08 23:26:15)
https://open.clemson.edu/cgi/viewcontent.cgi?article=5454&amp;context=all_theses</t>
        </r>
      </text>
    </comment>
    <comment ref="J409" authorId="0" shapeId="0" xr:uid="{00000000-0006-0000-0000-0000CE000000}">
      <text>
        <r>
          <rPr>
            <sz val="11"/>
            <color theme="1"/>
            <rFont val="Calibri"/>
            <family val="2"/>
            <scheme val="minor"/>
          </rPr>
          <t>======
ID#AAAB4J9eaT8
Akash Kailas Patil    (2026-04-08 23:26:15)
https://www.pelonistechnologies.com/resources/determining-the-efficiency-of-electric-motors</t>
        </r>
      </text>
    </comment>
    <comment ref="F411" authorId="0" shapeId="0" xr:uid="{00000000-0006-0000-0000-0000F3000000}">
      <text>
        <r>
          <rPr>
            <sz val="11"/>
            <color theme="1"/>
            <rFont val="Calibri"/>
            <family val="2"/>
            <scheme val="minor"/>
          </rPr>
          <t>======
ID#AAAB4J8XJYw
Akash Kailas Patil    (2026-04-08 23:26:15)
16.5% (33/200) of beef ends up as roast.
https://simpsonsmeats.com/blogs/blog/how-many-steaks-in-a-half-cow</t>
        </r>
      </text>
    </comment>
    <comment ref="J411" authorId="0" shapeId="0" xr:uid="{00000000-0006-0000-0000-000032000000}">
      <text>
        <r>
          <rPr>
            <sz val="11"/>
            <color theme="1"/>
            <rFont val="Calibri"/>
            <family val="2"/>
            <scheme val="minor"/>
          </rPr>
          <t>======
ID#AAAB4KSUTbc
Akash Kailas Patil    (2026-04-08 23:26:15)
https://www.pelonistechnologies.com/resources/determining-the-efficiency-of-electric-motors</t>
        </r>
      </text>
    </comment>
    <comment ref="J412" authorId="0" shapeId="0" xr:uid="{00000000-0006-0000-0000-000033000000}">
      <text>
        <r>
          <rPr>
            <sz val="11"/>
            <color theme="1"/>
            <rFont val="Calibri"/>
            <family val="2"/>
            <scheme val="minor"/>
          </rPr>
          <t>======
ID#AAAB4KSUTbY
Akash Kailas Patil    (2026-04-08 23:26:15)
https://www.pelonistechnologies.com/resources/determining-the-efficiency-of-electric-motors</t>
        </r>
      </text>
    </comment>
    <comment ref="J415" authorId="0" shapeId="0" xr:uid="{00000000-0006-0000-0000-00000D010000}">
      <text>
        <r>
          <rPr>
            <sz val="11"/>
            <color theme="1"/>
            <rFont val="Calibri"/>
            <family val="2"/>
            <scheme val="minor"/>
          </rPr>
          <t>======
ID#AAAB4J8XJXI
Akash Kailas Patil    (2026-04-08 23:26:15)
https://www.sciencedirect.com/science/article/pii/S1364032124001655</t>
        </r>
      </text>
    </comment>
    <comment ref="J417" authorId="0" shapeId="0" xr:uid="{00000000-0006-0000-0000-00005D000000}">
      <text>
        <r>
          <rPr>
            <sz val="11"/>
            <color theme="1"/>
            <rFont val="Calibri"/>
            <family val="2"/>
            <scheme val="minor"/>
          </rPr>
          <t>======
ID#AAAB4KSUTYk
Akash Kailas Patil    (2026-04-08 23:26:15)
https://ijsra.net/sites/default/files/fulltext_pdf/IJSRA-2024-1976.pdf</t>
        </r>
      </text>
    </comment>
    <comment ref="J419" authorId="0" shapeId="0" xr:uid="{00000000-0006-0000-0000-0000F6000000}">
      <text>
        <r>
          <rPr>
            <sz val="11"/>
            <color theme="1"/>
            <rFont val="Calibri"/>
            <family val="2"/>
            <scheme val="minor"/>
          </rPr>
          <t>======
ID#AAAB4J8XJYk
Akash Kailas Patil    (2026-04-08 23:26:15)
https://www.pelonistechnologies.com/resources/determining-the-efficiency-of-electric-motors</t>
        </r>
      </text>
    </comment>
    <comment ref="AF420" authorId="0" shapeId="0" xr:uid="{00000000-0006-0000-0000-0000FA000000}">
      <text>
        <r>
          <rPr>
            <sz val="11"/>
            <color theme="1"/>
            <rFont val="Calibri"/>
            <family val="2"/>
            <scheme val="minor"/>
          </rPr>
          <t>======
ID#AAAB4J8XJYY
Akash Kailas Patil    (2026-04-08 23:26:15)
https://extension.okstate.edu/fact-sheets/print-publications/fapc-food-and-agricultural-products-center/steam-basics-for-food-processors-fapc-142.pdf</t>
        </r>
      </text>
    </comment>
    <comment ref="J421" authorId="0" shapeId="0" xr:uid="{00000000-0006-0000-0000-000010000000}">
      <text>
        <r>
          <rPr>
            <sz val="11"/>
            <color theme="1"/>
            <rFont val="Calibri"/>
            <family val="2"/>
            <scheme val="minor"/>
          </rPr>
          <t>======
ID#AAAB4KS0b3M
Akash Kailas Patil    (2026-04-08 23:26:15)
https://www.pelonistechnologies.com/resources/determining-the-efficiency-of-electric-motors</t>
        </r>
      </text>
    </comment>
    <comment ref="J423" authorId="0" shapeId="0" xr:uid="{00000000-0006-0000-0000-000027010000}">
      <text>
        <r>
          <rPr>
            <sz val="11"/>
            <color theme="1"/>
            <rFont val="Calibri"/>
            <family val="2"/>
            <scheme val="minor"/>
          </rPr>
          <t>======
ID#AAAB4J8XJVc
Akash Kailas Patil    (2026-04-08 23:26:15)
https://www.pelonistechnologies.com/resources/determining-the-efficiency-of-electric-motors</t>
        </r>
      </text>
    </comment>
    <comment ref="J424" authorId="0" shapeId="0" xr:uid="{00000000-0006-0000-0000-000024000000}">
      <text>
        <r>
          <rPr>
            <sz val="11"/>
            <color theme="1"/>
            <rFont val="Calibri"/>
            <family val="2"/>
            <scheme val="minor"/>
          </rPr>
          <t>======
ID#AAAB4KS0b10
Akash Kailas Patil    (2026-04-08 23:26:15)
https://www.pelonistechnologies.com/resources/determining-the-efficiency-of-electric-motors</t>
        </r>
      </text>
    </comment>
    <comment ref="AF425" authorId="0" shapeId="0" xr:uid="{00000000-0006-0000-0000-0000E2000000}">
      <text>
        <r>
          <rPr>
            <sz val="11"/>
            <color theme="1"/>
            <rFont val="Calibri"/>
            <family val="2"/>
            <scheme val="minor"/>
          </rPr>
          <t>======
ID#AAAB4J8XJZ0
Akash Kailas Patil    (2026-04-08 23:26:15)
https://extension.okstate.edu/fact-sheets/print-publications/fapc-food-and-agricultural-products-center/steam-basics-for-food-processors-fapc-142.pdf</t>
        </r>
      </text>
    </comment>
    <comment ref="J427" authorId="0" shapeId="0" xr:uid="{00000000-0006-0000-0000-0000E7000000}">
      <text>
        <r>
          <rPr>
            <sz val="11"/>
            <color theme="1"/>
            <rFont val="Calibri"/>
            <family val="2"/>
            <scheme val="minor"/>
          </rPr>
          <t>======
ID#AAAB4J8XJZg
Akash Kailas Patil    (2026-04-08 23:26:15)
https://www.pelonistechnologies.com/resources/determining-the-efficiency-of-electric-motors</t>
        </r>
      </text>
    </comment>
    <comment ref="AG429" authorId="0" shapeId="0" xr:uid="{00000000-0006-0000-0000-00002E010000}">
      <text>
        <r>
          <rPr>
            <sz val="11"/>
            <color theme="1"/>
            <rFont val="Calibri"/>
            <family val="2"/>
            <scheme val="minor"/>
          </rPr>
          <t>======
ID#AAAB4J8XJVE
Akash Kailas Patil    (2026-04-08 23:26:15)
mill m3</t>
        </r>
      </text>
    </comment>
    <comment ref="J432" authorId="0" shapeId="0" xr:uid="{00000000-0006-0000-0000-000070000000}">
      <text>
        <r>
          <rPr>
            <sz val="11"/>
            <color theme="1"/>
            <rFont val="Calibri"/>
            <family val="2"/>
            <scheme val="minor"/>
          </rPr>
          <t>======
ID#AAAB4KSUTXc
Akash Kailas Patil    (2026-04-08 23:26:15)
https://www.prefeed.com/common/pdf/1509E.pdf</t>
        </r>
      </text>
    </comment>
    <comment ref="J437" authorId="0" shapeId="0" xr:uid="{00000000-0006-0000-0000-000039000000}">
      <text>
        <r>
          <rPr>
            <sz val="11"/>
            <color theme="1"/>
            <rFont val="Calibri"/>
            <family val="2"/>
            <scheme val="minor"/>
          </rPr>
          <t>======
ID#AAAB4KSUTbA
Akash Kailas Patil    (2026-04-08 23:26:15)
https://www.pelonistechnologies.com/resources/determining-the-efficiency-of-electric-motors</t>
        </r>
      </text>
    </comment>
    <comment ref="AE438" authorId="0" shapeId="0" xr:uid="{00000000-0006-0000-0000-00005C000000}">
      <text>
        <r>
          <rPr>
            <sz val="11"/>
            <color theme="1"/>
            <rFont val="Calibri"/>
            <family val="2"/>
            <scheme val="minor"/>
          </rPr>
          <t>======
ID#AAAB4KSUTYo
Akash Kailas Patil    (2026-04-08 23:26:15)
https://extension.sdstate.edu/steam-canning</t>
        </r>
      </text>
    </comment>
    <comment ref="AE442" authorId="0" shapeId="0" xr:uid="{00000000-0006-0000-0000-00002B000000}">
      <text>
        <r>
          <rPr>
            <sz val="11"/>
            <color theme="1"/>
            <rFont val="Calibri"/>
            <family val="2"/>
            <scheme val="minor"/>
          </rPr>
          <t>======
ID#AAAB4KS0b1Y
Akash Kailas Patil    (2026-04-08 23:26:15)
https://extension.sdstate.edu/steam-canning</t>
        </r>
      </text>
    </comment>
    <comment ref="J443" authorId="0" shapeId="0" xr:uid="{00000000-0006-0000-0000-0000A9000000}">
      <text>
        <r>
          <rPr>
            <sz val="11"/>
            <color theme="1"/>
            <rFont val="Calibri"/>
            <family val="2"/>
            <scheme val="minor"/>
          </rPr>
          <t>======
ID#AAAB4J9eaWU
Akash Kailas Patil    (2026-04-08 23:26:15)
https://www.tandfonline.com/doi/full/10.1080/07373937.2024.2387840</t>
        </r>
      </text>
    </comment>
    <comment ref="AE448" authorId="0" shapeId="0" xr:uid="{00000000-0006-0000-0000-0000BD000000}">
      <text>
        <r>
          <rPr>
            <sz val="11"/>
            <color theme="1"/>
            <rFont val="Calibri"/>
            <family val="2"/>
            <scheme val="minor"/>
          </rPr>
          <t>======
ID#AAAB4J9eaVE
Akash Kailas Patil    (2026-04-08 23:26:15)
https://extension.sdstate.edu/steam-canning</t>
        </r>
      </text>
    </comment>
    <comment ref="J449" authorId="0" shapeId="0" xr:uid="{00000000-0006-0000-0000-000054000000}">
      <text>
        <r>
          <rPr>
            <sz val="11"/>
            <color theme="1"/>
            <rFont val="Calibri"/>
            <family val="2"/>
            <scheme val="minor"/>
          </rPr>
          <t>======
ID#AAAB4KSUTZI
Akash Kailas Patil    (2026-04-08 23:26:15)
https://www.tandfonline.com/doi/full/10.1080/07373937.2024.2387840</t>
        </r>
      </text>
    </comment>
    <comment ref="J453" authorId="0" shapeId="0" xr:uid="{00000000-0006-0000-0000-00001B010000}">
      <text>
        <r>
          <rPr>
            <sz val="11"/>
            <color theme="1"/>
            <rFont val="Calibri"/>
            <family val="2"/>
            <scheme val="minor"/>
          </rPr>
          <t>======
ID#AAAB4J8XJWM
Akash Kailas Patil    (2026-04-08 23:26:15)
https://www.pelonistechnologies.com/resources/determining-the-efficiency-of-electric-motors</t>
        </r>
      </text>
    </comment>
    <comment ref="J455" authorId="0" shapeId="0" xr:uid="{00000000-0006-0000-0000-00001B000000}">
      <text>
        <r>
          <rPr>
            <sz val="11"/>
            <color theme="1"/>
            <rFont val="Calibri"/>
            <family val="2"/>
            <scheme val="minor"/>
          </rPr>
          <t>======
ID#AAAB4KS0b2g
Akash Kailas Patil    (2026-04-08 23:26:15)
https://www.pelonistechnologies.com/resources/determining-the-efficiency-of-electric-motors</t>
        </r>
      </text>
    </comment>
    <comment ref="AE456" authorId="0" shapeId="0" xr:uid="{00000000-0006-0000-0000-0000B4000000}">
      <text>
        <r>
          <rPr>
            <sz val="11"/>
            <color theme="1"/>
            <rFont val="Calibri"/>
            <family val="2"/>
            <scheme val="minor"/>
          </rPr>
          <t>======
ID#AAAB4J9eaVk
Akash Kailas Patil    (2026-04-08 23:26:15)
https://www.lonkiamachinery.com/news/working-temperature-of-steam-blanching-machine-and-impact-on-food-quality.html</t>
        </r>
      </text>
    </comment>
    <comment ref="J458" authorId="0" shapeId="0" xr:uid="{00000000-0006-0000-0000-000040000000}">
      <text>
        <r>
          <rPr>
            <sz val="11"/>
            <color theme="1"/>
            <rFont val="Calibri"/>
            <family val="2"/>
            <scheme val="minor"/>
          </rPr>
          <t>======
ID#AAAB4KSUTag
Akash Kailas Patil    (2026-04-08 23:26:15)
https://ijsra.net/sites/default/files/fulltext_pdf/IJSRA-2024-1976.pdf</t>
        </r>
      </text>
    </comment>
    <comment ref="AE461" authorId="0" shapeId="0" xr:uid="{00000000-0006-0000-0000-00002D000000}">
      <text>
        <r>
          <rPr>
            <sz val="11"/>
            <color theme="1"/>
            <rFont val="Calibri"/>
            <family val="2"/>
            <scheme val="minor"/>
          </rPr>
          <t>======
ID#AAAB4KS0b1U
Akash Kailas Patil    (2026-04-08 23:26:15)
https://www.lonkiamachinery.com/news/working-temperature-of-steam-blanching-machine-and-impact-on-food-quality.html</t>
        </r>
      </text>
    </comment>
    <comment ref="J463" authorId="0" shapeId="0" xr:uid="{00000000-0006-0000-0000-0000D6000000}">
      <text>
        <r>
          <rPr>
            <sz val="11"/>
            <color theme="1"/>
            <rFont val="Calibri"/>
            <family val="2"/>
            <scheme val="minor"/>
          </rPr>
          <t>======
ID#AAAB4J9eaTc
Akash Kailas Patil    (2026-04-08 23:26:15)
https://www.pelonistechnologies.com/resources/determining-the-efficiency-of-electric-motors</t>
        </r>
      </text>
    </comment>
    <comment ref="AE464" authorId="0" shapeId="0" xr:uid="{00000000-0006-0000-0000-000031000000}">
      <text>
        <r>
          <rPr>
            <sz val="11"/>
            <color theme="1"/>
            <rFont val="Calibri"/>
            <family val="2"/>
            <scheme val="minor"/>
          </rPr>
          <t>======
ID#AAAB4KSUTbg
Akash Kailas Patil    (2026-04-08 23:26:15)
https://www.lonkiamachinery.com/news/working-temperature-of-steam-blanching-machine-and-impact-on-food-quality.html</t>
        </r>
      </text>
    </comment>
    <comment ref="J466" authorId="0" shapeId="0" xr:uid="{00000000-0006-0000-0000-000099000000}">
      <text>
        <r>
          <rPr>
            <sz val="11"/>
            <color theme="1"/>
            <rFont val="Calibri"/>
            <family val="2"/>
            <scheme val="minor"/>
          </rPr>
          <t>======
ID#AAAB4J9eaXc
Akash Kailas Patil    (2026-04-08 23:26:15)
https://ijsra.net/sites/default/files/fulltext_pdf/IJSRA-2024-1976.pdf</t>
        </r>
      </text>
    </comment>
    <comment ref="J467" authorId="0" shapeId="0" xr:uid="{00000000-0006-0000-0000-000003010000}">
      <text>
        <r>
          <rPr>
            <sz val="11"/>
            <color theme="1"/>
            <rFont val="Calibri"/>
            <family val="2"/>
            <scheme val="minor"/>
          </rPr>
          <t>======
ID#AAAB4J8XJXw
Akash Kailas Patil    (2026-04-08 23:26:15)
https://ijsra.net/sites/default/files/fulltext_pdf/IJSRA-2024-1976.pdf</t>
        </r>
      </text>
    </comment>
    <comment ref="AE470" authorId="0" shapeId="0" xr:uid="{00000000-0006-0000-0000-0000BC000000}">
      <text>
        <r>
          <rPr>
            <sz val="11"/>
            <color theme="1"/>
            <rFont val="Calibri"/>
            <family val="2"/>
            <scheme val="minor"/>
          </rPr>
          <t>======
ID#AAAB4J9eaVA
Akash Kailas Patil    (2026-04-08 23:26:15)
https://www.lonkiamachinery.com/news/working-temperature-of-steam-blanching-machine-and-impact-on-food-quality.html</t>
        </r>
      </text>
    </comment>
    <comment ref="J471" authorId="0" shapeId="0" xr:uid="{00000000-0006-0000-0000-0000CC000000}">
      <text>
        <r>
          <rPr>
            <sz val="11"/>
            <color theme="1"/>
            <rFont val="Calibri"/>
            <family val="2"/>
            <scheme val="minor"/>
          </rPr>
          <t>======
ID#AAAB4J9eaUE
Akash Kailas Patil    (2026-04-08 23:26:15)
https://www.pelonistechnologies.com/resources/determining-the-efficiency-of-electric-motors</t>
        </r>
      </text>
    </comment>
    <comment ref="AE473" authorId="0" shapeId="0" xr:uid="{00000000-0006-0000-0000-0000FE000000}">
      <text>
        <r>
          <rPr>
            <sz val="11"/>
            <color theme="1"/>
            <rFont val="Calibri"/>
            <family val="2"/>
            <scheme val="minor"/>
          </rPr>
          <t>======
ID#AAAB4J8XJYA
Akash Kailas Patil    (2026-04-08 23:26:15)
https://www.lonkiamachinery.com/news/working-temperature-of-steam-blanching-machine-and-impact-on-food-quality.html</t>
        </r>
      </text>
    </comment>
    <comment ref="K477" authorId="0" shapeId="0" xr:uid="{56ECD9B1-7508-4869-AEDD-2C89E00E7071}">
      <text>
        <r>
          <rPr>
            <sz val="11"/>
            <color theme="1"/>
            <rFont val="Calibri"/>
            <family val="2"/>
            <scheme val="minor"/>
          </rPr>
          <t>======
ID#AAAB4KSUTbE
Akash Kailas Patil    (2026-04-08 23:26:15)
https://www.lonkiamachinery.com/news/working-temperature-of-steam-blanching-machine-and-impact-on-food-quality.html</t>
        </r>
      </text>
    </comment>
    <comment ref="AE477" authorId="0" shapeId="0" xr:uid="{00000000-0006-0000-0000-000038000000}">
      <text>
        <r>
          <rPr>
            <sz val="11"/>
            <color theme="1"/>
            <rFont val="Calibri"/>
            <family val="2"/>
            <scheme val="minor"/>
          </rPr>
          <t>======
ID#AAAB4KSUTbE
Akash Kailas Patil    (2026-04-08 23:26:15)
https://www.lonkiamachinery.com/news/working-temperature-of-steam-blanching-machine-and-impact-on-food-quality.html</t>
        </r>
      </text>
    </comment>
    <comment ref="J478" authorId="0" shapeId="0" xr:uid="{00000000-0006-0000-0000-0000C5000000}">
      <text>
        <r>
          <rPr>
            <sz val="11"/>
            <color theme="1"/>
            <rFont val="Calibri"/>
            <family val="2"/>
            <scheme val="minor"/>
          </rPr>
          <t>======
ID#AAAB4J9eaUk
Akash Kailas Patil    (2026-04-08 23:26:15)
https://ijsra.net/sites/default/files/fulltext_pdf/IJSRA-2024-1976.pdf</t>
        </r>
      </text>
    </comment>
    <comment ref="J482" authorId="0" shapeId="0" xr:uid="{00000000-0006-0000-0000-00009C000000}">
      <text>
        <r>
          <rPr>
            <sz val="11"/>
            <color theme="1"/>
            <rFont val="Calibri"/>
            <family val="2"/>
            <scheme val="minor"/>
          </rPr>
          <t>======
ID#AAAB4J9eaXU
Akash Kailas Patil    (2026-04-08 23:26:15)
https://www.sciencedirect.com/science/article/pii/S1364032124001655</t>
        </r>
      </text>
    </comment>
    <comment ref="J488" authorId="0" shapeId="0" xr:uid="{00000000-0006-0000-0000-0000A8000000}">
      <text>
        <r>
          <rPr>
            <sz val="11"/>
            <color theme="1"/>
            <rFont val="Calibri"/>
            <family val="2"/>
            <scheme val="minor"/>
          </rPr>
          <t>======
ID#AAAB4J9eaWk
Akash Kailas Patil    (2026-04-08 23:26:15)
https://www.sciencedirect.com/science/article/pii/S1364032124001655</t>
        </r>
      </text>
    </comment>
    <comment ref="J501" authorId="0" shapeId="0" xr:uid="{00000000-0006-0000-0000-000015010000}">
      <text>
        <r>
          <rPr>
            <sz val="11"/>
            <color theme="1"/>
            <rFont val="Calibri"/>
            <family val="2"/>
            <scheme val="minor"/>
          </rPr>
          <t>======
ID#AAAB4J8XJWo
Akash Kailas Patil    (2026-04-08 23:26:15)
https://www.pelonistechnologies.com/resources/determining-the-efficiency-of-electric-motors</t>
        </r>
      </text>
    </comment>
    <comment ref="J502" authorId="0" shapeId="0" xr:uid="{00000000-0006-0000-0000-000017010000}">
      <text>
        <r>
          <rPr>
            <sz val="11"/>
            <color theme="1"/>
            <rFont val="Calibri"/>
            <family val="2"/>
            <scheme val="minor"/>
          </rPr>
          <t>======
ID#AAAB4J8XJWg
Akash Kailas Patil    (2026-04-08 23:26:15)
https://www.pelonistechnologies.com/resources/determining-the-efficiency-of-electric-motors</t>
        </r>
      </text>
    </comment>
    <comment ref="J503" authorId="0" shapeId="0" xr:uid="{00000000-0006-0000-0000-000049000000}">
      <text>
        <r>
          <rPr>
            <sz val="11"/>
            <color theme="1"/>
            <rFont val="Calibri"/>
            <family val="2"/>
            <scheme val="minor"/>
          </rPr>
          <t>======
ID#AAAB4KSUTZ0
Akash Kailas Patil    (2026-04-08 23:26:15)
https://www.pelonistechnologies.com/resources/determining-the-efficiency-of-electric-motors</t>
        </r>
      </text>
    </comment>
    <comment ref="J505" authorId="0" shapeId="0" xr:uid="{00000000-0006-0000-0000-000048000000}">
      <text>
        <r>
          <rPr>
            <sz val="11"/>
            <color theme="1"/>
            <rFont val="Calibri"/>
            <family val="2"/>
            <scheme val="minor"/>
          </rPr>
          <t>======
ID#AAAB4KSUTZ4
Akash Kailas Patil    (2026-04-08 23:26:15)
https://www.pelonistechnologies.com/resources/determining-the-efficiency-of-electric-motors</t>
        </r>
      </text>
    </comment>
    <comment ref="J507" authorId="0" shapeId="0" xr:uid="{00000000-0006-0000-0000-0000A6000000}">
      <text>
        <r>
          <rPr>
            <sz val="11"/>
            <color theme="1"/>
            <rFont val="Calibri"/>
            <family val="2"/>
            <scheme val="minor"/>
          </rPr>
          <t>======
ID#AAAB4J9eaWc
Akash Kailas Patil    (2026-04-08 23:26:15)
https://www.pelonistechnologies.com/resources/determining-the-efficiency-of-electric-motors</t>
        </r>
      </text>
    </comment>
    <comment ref="J508" authorId="0" shapeId="0" xr:uid="{00000000-0006-0000-0000-000062000000}">
      <text>
        <r>
          <rPr>
            <sz val="11"/>
            <color theme="1"/>
            <rFont val="Calibri"/>
            <family val="2"/>
            <scheme val="minor"/>
          </rPr>
          <t>======
ID#AAAB4KSUTYQ
Akash Kailas Patil    (2026-04-08 23:26:15)
https://www.pelonistechnologies.com/resources/determining-the-efficiency-of-electric-motors</t>
        </r>
      </text>
    </comment>
    <comment ref="J510" authorId="0" shapeId="0" xr:uid="{00000000-0006-0000-0000-0000A2000000}">
      <text>
        <r>
          <rPr>
            <sz val="11"/>
            <color theme="1"/>
            <rFont val="Calibri"/>
            <family val="2"/>
            <scheme val="minor"/>
          </rPr>
          <t>======
ID#AAAB4J9eaW0
Akash Kailas Patil    (2026-04-08 23:26:15)
https://www.pelonistechnologies.com/resources/determining-the-efficiency-of-electric-motors</t>
        </r>
      </text>
    </comment>
    <comment ref="J511" authorId="0" shapeId="0" xr:uid="{00000000-0006-0000-0000-0000D7000000}">
      <text>
        <r>
          <rPr>
            <sz val="11"/>
            <color theme="1"/>
            <rFont val="Calibri"/>
            <family val="2"/>
            <scheme val="minor"/>
          </rPr>
          <t>======
ID#AAAB4J9eaTg
Akash Kailas Patil    (2026-04-08 23:26:15)
https://www.pelonistechnologies.com/resources/determining-the-efficiency-of-electric-motors</t>
        </r>
      </text>
    </comment>
    <comment ref="J512" authorId="0" shapeId="0" xr:uid="{00000000-0006-0000-0000-000052000000}">
      <text>
        <r>
          <rPr>
            <sz val="11"/>
            <color theme="1"/>
            <rFont val="Calibri"/>
            <family val="2"/>
            <scheme val="minor"/>
          </rPr>
          <t>======
ID#AAAB4KSUTZQ
Akash Kailas Patil    (2026-04-08 23:26:15)
https://www.pelonistechnologies.com/resources/determining-the-efficiency-of-electric-motors</t>
        </r>
      </text>
    </comment>
    <comment ref="J513" authorId="0" shapeId="0" xr:uid="{00000000-0006-0000-0000-000056000000}">
      <text>
        <r>
          <rPr>
            <sz val="11"/>
            <color theme="1"/>
            <rFont val="Calibri"/>
            <family val="2"/>
            <scheme val="minor"/>
          </rPr>
          <t>======
ID#AAAB4KSUTZA
Akash Kailas Patil    (2026-04-08 23:26:15)
https://www.pelonistechnologies.com/resources/determining-the-efficiency-of-electric-motors</t>
        </r>
      </text>
    </comment>
    <comment ref="J514" authorId="0" shapeId="0" xr:uid="{00000000-0006-0000-0000-000022010000}">
      <text>
        <r>
          <rPr>
            <sz val="11"/>
            <color theme="1"/>
            <rFont val="Calibri"/>
            <family val="2"/>
            <scheme val="minor"/>
          </rPr>
          <t>======
ID#AAAB4J8XJV4
Akash Kailas Patil    (2026-04-08 23:26:15)
https://www.pelonistechnologies.com/resources/determining-the-efficiency-of-electric-motors</t>
        </r>
      </text>
    </comment>
    <comment ref="J515" authorId="0" shapeId="0" xr:uid="{00000000-0006-0000-0000-000004010000}">
      <text>
        <r>
          <rPr>
            <sz val="11"/>
            <color theme="1"/>
            <rFont val="Calibri"/>
            <family val="2"/>
            <scheme val="minor"/>
          </rPr>
          <t>======
ID#AAAB4J8XJXs
Akash Kailas Patil    (2026-04-08 23:26:15)
https://www.pelonistechnologies.com/resources/determining-the-efficiency-of-electric-motors</t>
        </r>
      </text>
    </comment>
    <comment ref="J516" authorId="0" shapeId="0" xr:uid="{00000000-0006-0000-0000-0000DF000000}">
      <text>
        <r>
          <rPr>
            <sz val="11"/>
            <color theme="1"/>
            <rFont val="Calibri"/>
            <family val="2"/>
            <scheme val="minor"/>
          </rPr>
          <t>======
ID#AAAB4J8XJaE
Akash Kailas Patil    (2026-04-08 23:26:15)
https://www.pelonistechnologies.com/resources/determining-the-efficiency-of-electric-motors</t>
        </r>
      </text>
    </comment>
    <comment ref="C527" authorId="0" shapeId="0" xr:uid="{00000000-0006-0000-0000-000006000000}">
      <text>
        <r>
          <rPr>
            <sz val="11"/>
            <color theme="1"/>
            <rFont val="Calibri"/>
            <family val="2"/>
            <scheme val="minor"/>
          </rPr>
          <t>======
ID#AAAB3yjGHkc
Akash Kailas Patil    (2026-04-21 19:37:35)
The machine transports paint from container to car-body</t>
        </r>
      </text>
    </comment>
    <comment ref="C528" authorId="0" shapeId="0" xr:uid="{00000000-0006-0000-0000-000005000000}">
      <text>
        <r>
          <rPr>
            <sz val="11"/>
            <color theme="1"/>
            <rFont val="Calibri"/>
            <family val="2"/>
            <scheme val="minor"/>
          </rPr>
          <t>======
ID#AAAB3yjGHkg
Akash Kailas Patil    (2026-04-21 19:38:07)
In air conditioning/ventilation, air flows (or transports from point A to B</t>
        </r>
      </text>
    </comment>
    <comment ref="J530" authorId="0" shapeId="0" xr:uid="{00000000-0006-0000-0000-00000C000000}">
      <text>
        <r>
          <rPr>
            <sz val="11"/>
            <color theme="1"/>
            <rFont val="Calibri"/>
            <family val="2"/>
            <scheme val="minor"/>
          </rPr>
          <t>======
ID#AAAB4KS0b3c
Akash Kailas Patil    (2026-04-08 23:26:15)
https://www.sciencedirect.com/science/article/pii/S1364032124001655</t>
        </r>
      </text>
    </comment>
    <comment ref="J531" authorId="0" shapeId="0" xr:uid="{00000000-0006-0000-0000-00007E000000}">
      <text>
        <r>
          <rPr>
            <sz val="11"/>
            <color theme="1"/>
            <rFont val="Calibri"/>
            <family val="2"/>
            <scheme val="minor"/>
          </rPr>
          <t>======
ID#AAAB4KSUTWg
Akash Kailas Patil    (2026-04-08 23:26:15)
https://www.sciencedirect.com/science/article/pii/S1364032124001655</t>
        </r>
      </text>
    </comment>
    <comment ref="J532" authorId="0" shapeId="0" xr:uid="{00000000-0006-0000-0000-00000A010000}">
      <text>
        <r>
          <rPr>
            <sz val="11"/>
            <color theme="1"/>
            <rFont val="Calibri"/>
            <family val="2"/>
            <scheme val="minor"/>
          </rPr>
          <t>======
ID#AAAB4J8XJXM
Akash Kailas Patil    (2026-04-08 23:26:15)
https://www.sciencedirect.com/science/article/pii/S1364032124001655</t>
        </r>
      </text>
    </comment>
    <comment ref="J533" authorId="0" shapeId="0" xr:uid="{00000000-0006-0000-0000-000013010000}">
      <text>
        <r>
          <rPr>
            <sz val="11"/>
            <color theme="1"/>
            <rFont val="Calibri"/>
            <family val="2"/>
            <scheme val="minor"/>
          </rPr>
          <t>======
ID#AAAB4J8XJW4
Akash Kailas Patil    (2026-04-08 23:26:15)
https://www.sciencedirect.com/science/article/pii/S1364032124001655</t>
        </r>
      </text>
    </comment>
    <comment ref="J535" authorId="0" shapeId="0" xr:uid="{00000000-0006-0000-0000-000074000000}">
      <text>
        <r>
          <rPr>
            <sz val="11"/>
            <color theme="1"/>
            <rFont val="Calibri"/>
            <family val="2"/>
            <scheme val="minor"/>
          </rPr>
          <t>======
ID#AAAB4KSUTXI
Akash Kailas Patil    (2026-04-08 23:26:15)
https://www.sciencedirect.com/science/article/pii/S1364032124001655</t>
        </r>
      </text>
    </comment>
    <comment ref="J537" authorId="0" shapeId="0" xr:uid="{00000000-0006-0000-0000-0000F5000000}">
      <text>
        <r>
          <rPr>
            <sz val="11"/>
            <color theme="1"/>
            <rFont val="Calibri"/>
            <family val="2"/>
            <scheme val="minor"/>
          </rPr>
          <t>======
ID#AAAB4J8XJYo
Akash Kailas Patil    (2026-04-08 23:26:15)
https://www.pelonistechnologies.com/resources/determining-the-efficiency-of-electric-motors</t>
        </r>
      </text>
    </comment>
    <comment ref="AG542" authorId="1" shapeId="0" xr:uid="{FD7F39AD-42B6-434B-A181-52C9B4B9658D}">
      <text>
        <r>
          <rPr>
            <b/>
            <sz val="9"/>
            <color indexed="81"/>
            <rFont val="Tahoma"/>
            <family val="2"/>
          </rPr>
          <t>Akash Kailas Patil:</t>
        </r>
        <r>
          <rPr>
            <sz val="9"/>
            <color indexed="81"/>
            <rFont val="Tahoma"/>
            <family val="2"/>
          </rPr>
          <t xml:space="preserve">
2022 volume: https://www.census.gov/newsroom/press-releases/2025/cfs-shipments-of-goods.html</t>
        </r>
      </text>
    </comment>
  </commentList>
  <extLst>
    <ext xmlns:r="http://schemas.openxmlformats.org/officeDocument/2006/relationships" uri="GoogleSheetsCustomDataVersion2">
      <go:sheetsCustomData xmlns:go="http://customooxmlschemas.google.com/" r:id="rId1" roundtripDataSignature="AMtx7miUc6Dmd4LowQA+mkklTO7Ga4/gLA=="/>
    </ext>
  </extL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L10" authorId="0" shapeId="0" xr:uid="{00000000-0006-0000-0200-000001000000}">
      <text>
        <r>
          <rPr>
            <sz val="11"/>
            <color theme="1"/>
            <rFont val="Calibri"/>
            <family val="2"/>
            <scheme val="minor"/>
          </rPr>
          <t>======
ID#AAAB4KS0b1o
Akash Kailas Patil    (2026-04-08 23:26:15)
https://www.eia.gov/dnav/ng/hist/rngwhhdm.htm</t>
        </r>
      </text>
    </comment>
    <comment ref="L11" authorId="0" shapeId="0" xr:uid="{00000000-0006-0000-0200-000002000000}">
      <text>
        <r>
          <rPr>
            <sz val="11"/>
            <color theme="1"/>
            <rFont val="Calibri"/>
            <family val="2"/>
            <scheme val="minor"/>
          </rPr>
          <t>======
ID#AAAB4KSUTaQ
Akash Kailas Patil    (2026-04-08 23:26:15)
1. https://tradingeconomics.com/commodity/propane</t>
        </r>
      </text>
    </comment>
    <comment ref="M11" authorId="0" shapeId="0" xr:uid="{00000000-0006-0000-0200-000006000000}">
      <text>
        <r>
          <rPr>
            <sz val="11"/>
            <color theme="1"/>
            <rFont val="Calibri"/>
            <family val="2"/>
            <scheme val="minor"/>
          </rPr>
          <t>======
ID#AAAB4J8XJWc
Akash Kailas Patil    (2026-04-08 23:26:15)
https://www.acerobbins.com/blog/what-is-the-btu-of-propane/</t>
        </r>
      </text>
    </comment>
    <comment ref="L12" authorId="0" shapeId="0" xr:uid="{00000000-0006-0000-0200-000003000000}">
      <text>
        <r>
          <rPr>
            <sz val="11"/>
            <color theme="1"/>
            <rFont val="Calibri"/>
            <family val="2"/>
            <scheme val="minor"/>
          </rPr>
          <t>======
ID#AAAB4KSUTaA
Akash Kailas Patil    (2026-04-08 23:26:15)
https://www.eia.gov/electricity/annual/html/epa_07_04.html</t>
        </r>
      </text>
    </comment>
    <comment ref="M13" authorId="0" shapeId="0" xr:uid="{00000000-0006-0000-0200-000005000000}">
      <text>
        <r>
          <rPr>
            <sz val="11"/>
            <color theme="1"/>
            <rFont val="Calibri"/>
            <family val="2"/>
            <scheme val="minor"/>
          </rPr>
          <t>======
ID#AAAB4J8XJaA
Akash Kailas Patil    (2026-04-08 23:26:15)
1. https://www.eia.gov/energyexplained/units-and-calculators/
2. https://tradingeconomics.com/commodity/heating-oil</t>
        </r>
      </text>
    </comment>
    <comment ref="M14" authorId="0" shapeId="0" xr:uid="{00000000-0006-0000-0200-000004000000}">
      <text>
        <r>
          <rPr>
            <sz val="11"/>
            <color theme="1"/>
            <rFont val="Calibri"/>
            <family val="2"/>
            <scheme val="minor"/>
          </rPr>
          <t>======
ID#AAAB4J9eaV8
Akash Kailas Patil    (2026-04-08 23:26:15)
for a price of $4/gal, source: https://extension.okstate.edu/fact-sheets/true-cost-of-energy-comparisons-apples-to-apples.html</t>
        </r>
      </text>
    </comment>
  </commentList>
  <extLst>
    <ext xmlns:r="http://schemas.openxmlformats.org/officeDocument/2006/relationships" uri="GoogleSheetsCustomDataVersion2">
      <go:sheetsCustomData xmlns:go="http://customooxmlschemas.google.com/" r:id="rId1" roundtripDataSignature="AMtx7mgMcUfhXW+D+fKxMRs5eX+FPd/kug=="/>
    </ext>
  </extLst>
</comments>
</file>

<file path=xl/sharedStrings.xml><?xml version="1.0" encoding="utf-8"?>
<sst xmlns="http://schemas.openxmlformats.org/spreadsheetml/2006/main" count="7491" uniqueCount="1685">
  <si>
    <t>Process identifiers</t>
  </si>
  <si>
    <t>Thermodynamic properties</t>
  </si>
  <si>
    <t>Specific energy conusmption breakdown</t>
  </si>
  <si>
    <t>Steam properties</t>
  </si>
  <si>
    <t>Absolute material and energy demand</t>
  </si>
  <si>
    <t>Current classification</t>
  </si>
  <si>
    <t>Industrial process</t>
  </si>
  <si>
    <t>Unit operation (Level 1 classification)</t>
  </si>
  <si>
    <t>Unit operation (Level 2 classification)</t>
  </si>
  <si>
    <t>Unit operation (Level 3 classification; with details)</t>
  </si>
  <si>
    <t>Product/co-products</t>
  </si>
  <si>
    <t>Mode of operation 
(Batch / 
Continuous)</t>
  </si>
  <si>
    <t>Major equipment</t>
  </si>
  <si>
    <t>Equipment type 
(Most typical technology type)</t>
  </si>
  <si>
    <t>Efficiency</t>
  </si>
  <si>
    <t>Process temperature</t>
  </si>
  <si>
    <t>Inlet temperature</t>
  </si>
  <si>
    <t>Outlet temperature</t>
  </si>
  <si>
    <t>Process pressure</t>
  </si>
  <si>
    <t>Inlet pressure</t>
  </si>
  <si>
    <t>Outlet pressure</t>
  </si>
  <si>
    <t>Residence time</t>
  </si>
  <si>
    <t>Functional unit (FU)</t>
  </si>
  <si>
    <t>Feedstock</t>
  </si>
  <si>
    <t>SEC</t>
  </si>
  <si>
    <t>SEC 
non-energy use</t>
  </si>
  <si>
    <t>SEC 
electricity</t>
  </si>
  <si>
    <t>SEC 
fuels</t>
  </si>
  <si>
    <t>SEC 
fuels or electricity for steam or steam from CHP</t>
  </si>
  <si>
    <t>Steam temp.</t>
  </si>
  <si>
    <t>Steam pressure</t>
  </si>
  <si>
    <t>Annual production in 2022
(based on FU)</t>
  </si>
  <si>
    <t>Annual energy demand in 2022</t>
  </si>
  <si>
    <t>Annual non-energy use demand in 2022</t>
  </si>
  <si>
    <t>Annual electricity demand in 2022</t>
  </si>
  <si>
    <t>Annual fuels demand in 2022</t>
  </si>
  <si>
    <t>Annual fuels or electricity for steam or steam from CHP demand in 2022</t>
  </si>
  <si>
    <t>%</t>
  </si>
  <si>
    <r>
      <rPr>
        <i/>
        <vertAlign val="superscript"/>
        <sz val="11"/>
        <color theme="1"/>
        <rFont val="Arial"/>
        <family val="2"/>
      </rPr>
      <t>o</t>
    </r>
    <r>
      <rPr>
        <i/>
        <sz val="11"/>
        <color theme="1"/>
        <rFont val="Arial"/>
        <family val="2"/>
      </rPr>
      <t>C</t>
    </r>
  </si>
  <si>
    <t>bara</t>
  </si>
  <si>
    <t>sec</t>
  </si>
  <si>
    <t>tonnes/FU</t>
  </si>
  <si>
    <t>GJ/FU</t>
  </si>
  <si>
    <t>bar</t>
  </si>
  <si>
    <t>Mt (or as indidated by FU)</t>
  </si>
  <si>
    <t>PJ</t>
  </si>
  <si>
    <t>Petrochemicals (325110)</t>
  </si>
  <si>
    <t>Steam cracking-NGL</t>
  </si>
  <si>
    <t>Chemical Transformation</t>
  </si>
  <si>
    <t>Cracking</t>
  </si>
  <si>
    <t>Steam cracking</t>
  </si>
  <si>
    <t>Cracked gas</t>
  </si>
  <si>
    <t>Continuous</t>
  </si>
  <si>
    <t>Furnace</t>
  </si>
  <si>
    <t>Fired tublar furnace</t>
  </si>
  <si>
    <t>0.1-0.5</t>
  </si>
  <si>
    <t>per tonne of ethylene</t>
  </si>
  <si>
    <t>Heat Recovery</t>
  </si>
  <si>
    <t>Heat recovery</t>
  </si>
  <si>
    <t>Transferline exchangers (TLE)</t>
  </si>
  <si>
    <t>Shell-and-tube / double pipe</t>
  </si>
  <si>
    <t>0.02-0.1</t>
  </si>
  <si>
    <t>Power Generation</t>
  </si>
  <si>
    <t>Power generation</t>
  </si>
  <si>
    <t>Electricity</t>
  </si>
  <si>
    <t>Steam turbine</t>
  </si>
  <si>
    <t>Backpressure turbine</t>
  </si>
  <si>
    <t>Cooling</t>
  </si>
  <si>
    <t>Quenching</t>
  </si>
  <si>
    <t>Quench tower</t>
  </si>
  <si>
    <t>Packed-bed column</t>
  </si>
  <si>
    <t>Compression</t>
  </si>
  <si>
    <t>Compressors</t>
  </si>
  <si>
    <t>Centrifugal compressors (4-5 stages)</t>
  </si>
  <si>
    <t>Thermal Separation</t>
  </si>
  <si>
    <t>Drying</t>
  </si>
  <si>
    <t>Dryer</t>
  </si>
  <si>
    <t>Molecular sieve dryer</t>
  </si>
  <si>
    <t>57-80%</t>
  </si>
  <si>
    <t>Refrigeration</t>
  </si>
  <si>
    <t>Ethylene, propylene, butadiene, pygas</t>
  </si>
  <si>
    <t>Chiller</t>
  </si>
  <si>
    <t>Vapor compression</t>
  </si>
  <si>
    <t>Distillation</t>
  </si>
  <si>
    <t>Cryogenic distillation</t>
  </si>
  <si>
    <t>Distillation columns</t>
  </si>
  <si>
    <t>Flash columns, cryogenic tray columns</t>
  </si>
  <si>
    <t>60-90%</t>
  </si>
  <si>
    <t>Materials Conveyance</t>
  </si>
  <si>
    <t>Pumping</t>
  </si>
  <si>
    <t>Pumps</t>
  </si>
  <si>
    <t>Centrifugal</t>
  </si>
  <si>
    <t>Heat Treatment</t>
  </si>
  <si>
    <t>Steam export</t>
  </si>
  <si>
    <t>Steam</t>
  </si>
  <si>
    <t>Heat exchanger</t>
  </si>
  <si>
    <t>Steam boiler</t>
  </si>
  <si>
    <t>Cement (327310)</t>
  </si>
  <si>
    <t>Wet process</t>
  </si>
  <si>
    <t>Comminution</t>
  </si>
  <si>
    <t>Grinding</t>
  </si>
  <si>
    <t>Fuel grinding</t>
  </si>
  <si>
    <t>Coal</t>
  </si>
  <si>
    <t>Grinding mill</t>
  </si>
  <si>
    <t>Ball mill</t>
  </si>
  <si>
    <t>per tonne of clinker</t>
  </si>
  <si>
    <t>Raw material grinding</t>
  </si>
  <si>
    <t>Raw materials</t>
  </si>
  <si>
    <t>Materials Agglomeration</t>
  </si>
  <si>
    <t>Homogenization</t>
  </si>
  <si>
    <t>Homogenizing silo</t>
  </si>
  <si>
    <t>Fluidized air / blending silo</t>
  </si>
  <si>
    <t>8-10 x 3600</t>
  </si>
  <si>
    <t>Calcination</t>
  </si>
  <si>
    <t>Clinker</t>
  </si>
  <si>
    <t>Kiln</t>
  </si>
  <si>
    <t>Rotary kiln</t>
  </si>
  <si>
    <t xml:space="preserve">30-40 x 60 </t>
  </si>
  <si>
    <t>Clinker cooling</t>
  </si>
  <si>
    <t>Cooler</t>
  </si>
  <si>
    <t>Grate cooler</t>
  </si>
  <si>
    <t>30 x 60</t>
  </si>
  <si>
    <t>Cement grinding</t>
  </si>
  <si>
    <t>Cement</t>
  </si>
  <si>
    <t>Packaging</t>
  </si>
  <si>
    <t>Conveyer belt</t>
  </si>
  <si>
    <t>Dry process (long kiln)</t>
  </si>
  <si>
    <t>Fluidized air / Mechanical agitator</t>
  </si>
  <si>
    <t>30-40 x 60 + 40-60</t>
  </si>
  <si>
    <t>Dry process (with preheater)</t>
  </si>
  <si>
    <t>Dry process (with preheater/precalciner)</t>
  </si>
  <si>
    <t>Wet Corn Milling (311221)</t>
  </si>
  <si>
    <t>Wet Corn Milling</t>
  </si>
  <si>
    <t>Steeping</t>
  </si>
  <si>
    <t>Corn kernels</t>
  </si>
  <si>
    <t>Continuous-batch</t>
  </si>
  <si>
    <t>Storage tank</t>
  </si>
  <si>
    <t>Steeping tank</t>
  </si>
  <si>
    <t>20-48 x 3600</t>
  </si>
  <si>
    <t>per Bushel of corn</t>
  </si>
  <si>
    <t>Evaporation</t>
  </si>
  <si>
    <t>Steeped water evaporation</t>
  </si>
  <si>
    <t>Steeped water</t>
  </si>
  <si>
    <t>Evaporators</t>
  </si>
  <si>
    <t>Multi-effect evaporators / MVRs</t>
  </si>
  <si>
    <t>Corn kernel grinding</t>
  </si>
  <si>
    <t>Corn endosperm and germ</t>
  </si>
  <si>
    <t>Grinders</t>
  </si>
  <si>
    <t>Attrition mills, hydrocyclones and impact mills</t>
  </si>
  <si>
    <t>Materials Handling</t>
  </si>
  <si>
    <t>Washing</t>
  </si>
  <si>
    <t>Germ washing</t>
  </si>
  <si>
    <t>Corn germ</t>
  </si>
  <si>
    <t>Washing Tanks</t>
  </si>
  <si>
    <t>Physical Separation</t>
  </si>
  <si>
    <t>Dewatering</t>
  </si>
  <si>
    <t>Germ dewatering</t>
  </si>
  <si>
    <t>Press</t>
  </si>
  <si>
    <t>Screw Press</t>
  </si>
  <si>
    <t>Germ drying</t>
  </si>
  <si>
    <t>Dryers</t>
  </si>
  <si>
    <t>Rotary steam tube dryers</t>
  </si>
  <si>
    <t>Screening</t>
  </si>
  <si>
    <t>Fiber recovery</t>
  </si>
  <si>
    <t>Endosperm Fiber</t>
  </si>
  <si>
    <t>Screens</t>
  </si>
  <si>
    <t>Series Screens</t>
  </si>
  <si>
    <t>Fiber drying</t>
  </si>
  <si>
    <t>Centrifuge and press</t>
  </si>
  <si>
    <t>Screen centrifuges and mechanical screw press (two step process)</t>
  </si>
  <si>
    <t>Gluten &amp; starch dewatering</t>
  </si>
  <si>
    <t>Corn endosperm gluten and starch</t>
  </si>
  <si>
    <t>Cyclones</t>
  </si>
  <si>
    <t>Hydrocyclones/centrifuges</t>
  </si>
  <si>
    <t>&lt;1</t>
  </si>
  <si>
    <t>Gluten meal dewatering</t>
  </si>
  <si>
    <t>Corn endosperm gluten meal</t>
  </si>
  <si>
    <t>Centrifuge</t>
  </si>
  <si>
    <t>Centrifuge/ Vacuum Belt Filter</t>
  </si>
  <si>
    <t>Gluten meal drying</t>
  </si>
  <si>
    <t>Flash dryers</t>
  </si>
  <si>
    <t>Starch dewatering</t>
  </si>
  <si>
    <t>Corn endosperm starch slurry (CESS)</t>
  </si>
  <si>
    <t>Centrifuge / Vacuum Belt Filter</t>
  </si>
  <si>
    <t>Few seconds</t>
  </si>
  <si>
    <t>Starch drying</t>
  </si>
  <si>
    <t>CESS to make corn starch and dextrose</t>
  </si>
  <si>
    <t>Flash dryers / Spray / Film Dryers</t>
  </si>
  <si>
    <t>Liquefaction</t>
  </si>
  <si>
    <t>CESS to make high fructose corn syrup</t>
  </si>
  <si>
    <t>Batch</t>
  </si>
  <si>
    <t>Cookers</t>
  </si>
  <si>
    <t>Jet cookers</t>
  </si>
  <si>
    <t>2 x 3600</t>
  </si>
  <si>
    <t>Saccharification</t>
  </si>
  <si>
    <t>Jacketed tanks</t>
  </si>
  <si>
    <t>48 x 3600</t>
  </si>
  <si>
    <t>Refining</t>
  </si>
  <si>
    <t>CESS to make high fructose corn syrup 55%</t>
  </si>
  <si>
    <t>Multiple columns</t>
  </si>
  <si>
    <t>Chromatography columns</t>
  </si>
  <si>
    <t>Multi-effect evaporators</t>
  </si>
  <si>
    <t>Corn oil meal, fiber, heavy steepwater</t>
  </si>
  <si>
    <t>Direct or indirect fired rotary dryers</t>
  </si>
  <si>
    <t>Dairy Product (3115)</t>
  </si>
  <si>
    <t>Fluid milk manufacturing (311521)</t>
  </si>
  <si>
    <t>Raw milk cooling</t>
  </si>
  <si>
    <t>Raw milk</t>
  </si>
  <si>
    <t>Storage tanks</t>
  </si>
  <si>
    <t>Silos</t>
  </si>
  <si>
    <t>per tonne raw milk</t>
  </si>
  <si>
    <t>Separation</t>
  </si>
  <si>
    <t>Milk &amp; cream seperation</t>
  </si>
  <si>
    <t>Skimmed milk and cream</t>
  </si>
  <si>
    <t>Separator</t>
  </si>
  <si>
    <t>Centrifugal separator</t>
  </si>
  <si>
    <t>Homogenizers</t>
  </si>
  <si>
    <t>Pasteurization</t>
  </si>
  <si>
    <t>Skimmed milk pasteurization</t>
  </si>
  <si>
    <t>Heat exchangers</t>
  </si>
  <si>
    <t>Plate and tube heat exchangers</t>
  </si>
  <si>
    <t>Skimmed milk cooling</t>
  </si>
  <si>
    <t>Skimmed milk storage</t>
  </si>
  <si>
    <t>Coolers</t>
  </si>
  <si>
    <t>Walk-in coolers</t>
  </si>
  <si>
    <t>UHT pasteurization</t>
  </si>
  <si>
    <t>Standardized milk</t>
  </si>
  <si>
    <t>UHT cooling</t>
  </si>
  <si>
    <t>Ultra high temperature milk</t>
  </si>
  <si>
    <t>Heating</t>
  </si>
  <si>
    <t>UHT heating</t>
  </si>
  <si>
    <t>Pre-heating heat exchangers</t>
  </si>
  <si>
    <t>Flash cooling tank</t>
  </si>
  <si>
    <t>Sterilization</t>
  </si>
  <si>
    <t>Pre-sterilization</t>
  </si>
  <si>
    <t>Pre-sterilized milk</t>
  </si>
  <si>
    <t>Sterilized milk sterilization</t>
  </si>
  <si>
    <t>Autoclave or Hydrostatic towers</t>
  </si>
  <si>
    <t>Sterilized milk cooling</t>
  </si>
  <si>
    <t>Sterilized milk</t>
  </si>
  <si>
    <t>Sprinklers</t>
  </si>
  <si>
    <t>Skimmed milk packing</t>
  </si>
  <si>
    <t>Fluid milk</t>
  </si>
  <si>
    <t>Packaging units</t>
  </si>
  <si>
    <t>Cleaning</t>
  </si>
  <si>
    <t>Equipment cleaning</t>
  </si>
  <si>
    <t>None</t>
  </si>
  <si>
    <t>CIP equipment</t>
  </si>
  <si>
    <t>Balance of Dairy Product Manufacturing (3115)</t>
  </si>
  <si>
    <t>Flat Glass (327211)</t>
  </si>
  <si>
    <t>Flat Glass Manufacturing</t>
  </si>
  <si>
    <t>Batching</t>
  </si>
  <si>
    <t>Mixing raw ingredients</t>
  </si>
  <si>
    <t>Silica sand, soda ash, lime, magnesium, waste cullets</t>
  </si>
  <si>
    <t>Mixing Silos</t>
  </si>
  <si>
    <t>per tonne of glass</t>
  </si>
  <si>
    <t>Melting</t>
  </si>
  <si>
    <t>Silica sand, soda ash, lime, magnesium, waste cullets, water (3%)</t>
  </si>
  <si>
    <t>Melting furnace</t>
  </si>
  <si>
    <t>50 x 3600</t>
  </si>
  <si>
    <t>Material Forming</t>
  </si>
  <si>
    <t>Forming</t>
  </si>
  <si>
    <t>Flat glass</t>
  </si>
  <si>
    <t>Float bath</t>
  </si>
  <si>
    <t>Tin bath</t>
  </si>
  <si>
    <t>10 x 3600</t>
  </si>
  <si>
    <t>Annealing</t>
  </si>
  <si>
    <t>Lehr</t>
  </si>
  <si>
    <t>Annealing lehr</t>
  </si>
  <si>
    <t>45 x 60</t>
  </si>
  <si>
    <t>Material Finishing</t>
  </si>
  <si>
    <t>Finishing</t>
  </si>
  <si>
    <t>Cutters and crushers</t>
  </si>
  <si>
    <t>Diamond cutters and transloaders</t>
  </si>
  <si>
    <t>Laminated flat glass</t>
  </si>
  <si>
    <t>Laminating</t>
  </si>
  <si>
    <t>Autoclave</t>
  </si>
  <si>
    <t>Other Basic Inorganic Chemical Manufacturing (325180)</t>
  </si>
  <si>
    <t>Chlor-Alkali (Diaphragm cell technique)</t>
  </si>
  <si>
    <t>Purification</t>
  </si>
  <si>
    <t>Brine purification</t>
  </si>
  <si>
    <t>Brine solution</t>
  </si>
  <si>
    <t>Closed vessels and filter</t>
  </si>
  <si>
    <t>Precipitation tank and rotary drum vacuum filters or centrifuge</t>
  </si>
  <si>
    <t>1-2 x 3600</t>
  </si>
  <si>
    <t>per tonne of chlorine</t>
  </si>
  <si>
    <t>Brine heating</t>
  </si>
  <si>
    <t>Shell-and-tube or Plate-type heat exchanger</t>
  </si>
  <si>
    <t>Electrolysis</t>
  </si>
  <si>
    <t>Cl2-NaOH-H2</t>
  </si>
  <si>
    <t>Electrolyzer</t>
  </si>
  <si>
    <t>Diaphragm cell</t>
  </si>
  <si>
    <t>Cl2 cooling</t>
  </si>
  <si>
    <t>Cl2</t>
  </si>
  <si>
    <t>Heat exchanger or packed tower</t>
  </si>
  <si>
    <t>Vertical shell and tube heat exchanger or countercurrent flow packed towers</t>
  </si>
  <si>
    <t>Cl2 drying</t>
  </si>
  <si>
    <t>Drying tower</t>
  </si>
  <si>
    <t>Two-six stage countercurrent conc. H2SO4 contact towers</t>
  </si>
  <si>
    <t>Cl2 compression</t>
  </si>
  <si>
    <t>Compressor</t>
  </si>
  <si>
    <t>Reciprocating compressor</t>
  </si>
  <si>
    <t>Cl2 liquefaction</t>
  </si>
  <si>
    <t>Condenser</t>
  </si>
  <si>
    <t>Shell-and-tube heat exchanger</t>
  </si>
  <si>
    <t>NaOH concentration</t>
  </si>
  <si>
    <t>NaOH</t>
  </si>
  <si>
    <t>Triple-effect evaporators</t>
  </si>
  <si>
    <t>NaOH cooling</t>
  </si>
  <si>
    <t>Plate or shell-and-tube evaporators</t>
  </si>
  <si>
    <t>H2 cooling</t>
  </si>
  <si>
    <t>H2</t>
  </si>
  <si>
    <t>Plate-type heat exchanger</t>
  </si>
  <si>
    <t>H2 compression</t>
  </si>
  <si>
    <t>Reciprocating compressor or roots-type blowers</t>
  </si>
  <si>
    <t>Chlor-Alkali (Diaphragm cell technique with CHP)</t>
  </si>
  <si>
    <t>Plate heat exchangers</t>
  </si>
  <si>
    <t>Cogeneration</t>
  </si>
  <si>
    <t>Steam and Electricity</t>
  </si>
  <si>
    <t>CHP plant</t>
  </si>
  <si>
    <t>Natural gas combined cycle (NGCC)</t>
  </si>
  <si>
    <t>Chlor-Alkali (Membrane cell technique)</t>
  </si>
  <si>
    <t>Chlor-Alkali (Membrane cell technique with CHP)</t>
  </si>
  <si>
    <t>Soybean and Other Oilseed Processing (311224)</t>
  </si>
  <si>
    <t>Soybean Oil Processing</t>
  </si>
  <si>
    <t>Soyabean Breaking</t>
  </si>
  <si>
    <t>Soybean</t>
  </si>
  <si>
    <t>Continous</t>
  </si>
  <si>
    <t>Corrugated rolls</t>
  </si>
  <si>
    <t>per tonne Soyabean</t>
  </si>
  <si>
    <t>Dehulling</t>
  </si>
  <si>
    <t>Soybean dehulling</t>
  </si>
  <si>
    <t>Hull separators</t>
  </si>
  <si>
    <t>Cracking rolls, aspirators and cyclones</t>
  </si>
  <si>
    <t>Conditioning</t>
  </si>
  <si>
    <t>Soybean cooking</t>
  </si>
  <si>
    <t>Rotary horizontal heat exchangers</t>
  </si>
  <si>
    <t>Flaking</t>
  </si>
  <si>
    <t>Soybean flaking</t>
  </si>
  <si>
    <t>Hydraulic rollers</t>
  </si>
  <si>
    <t>Extraction</t>
  </si>
  <si>
    <t>Oil extraction</t>
  </si>
  <si>
    <t>Soybean meal, oil, and solvent (hexane)</t>
  </si>
  <si>
    <t>Percolation extractors</t>
  </si>
  <si>
    <t>Desolventizing</t>
  </si>
  <si>
    <t>Solvent recovery from meal</t>
  </si>
  <si>
    <t>Soybean meal, solvent (hexane)</t>
  </si>
  <si>
    <t>Desolventizer-toaster</t>
  </si>
  <si>
    <t>Meal drying</t>
  </si>
  <si>
    <t>Soybean meal drying</t>
  </si>
  <si>
    <t>Indirerct heat exchangers</t>
  </si>
  <si>
    <t>Solvent recovery from oil</t>
  </si>
  <si>
    <t>Soybean oil, and solvent (hexane)</t>
  </si>
  <si>
    <t>Breweries (312120)</t>
  </si>
  <si>
    <t>Beer Processing</t>
  </si>
  <si>
    <t>Milling</t>
  </si>
  <si>
    <t>Malted barley milling</t>
  </si>
  <si>
    <t>Malted barley</t>
  </si>
  <si>
    <t>Mills</t>
  </si>
  <si>
    <t xml:space="preserve">per barrel of beer </t>
  </si>
  <si>
    <t>Mashing</t>
  </si>
  <si>
    <t>Milled barley mashing</t>
  </si>
  <si>
    <t>Milled malted barley, gelatinized adjunct, and water</t>
  </si>
  <si>
    <t>Mashing vessel</t>
  </si>
  <si>
    <t>Mash tun</t>
  </si>
  <si>
    <t>30x60</t>
  </si>
  <si>
    <t>Lautering</t>
  </si>
  <si>
    <t>Wort and grains seperation</t>
  </si>
  <si>
    <t>Wort and mash</t>
  </si>
  <si>
    <t>Lautering vessel</t>
  </si>
  <si>
    <t>Lauter tun</t>
  </si>
  <si>
    <t>Wort boiling</t>
  </si>
  <si>
    <t>Wort</t>
  </si>
  <si>
    <t>Boiling vessel</t>
  </si>
  <si>
    <t>Wort boiling tun</t>
  </si>
  <si>
    <t>90x60</t>
  </si>
  <si>
    <t>Wort cooling</t>
  </si>
  <si>
    <t>Boiled wort</t>
  </si>
  <si>
    <t>Fermentation</t>
  </si>
  <si>
    <t>Wort fermentation and aging</t>
  </si>
  <si>
    <t>Wort and yeast</t>
  </si>
  <si>
    <t>Fermentation tank</t>
  </si>
  <si>
    <t>Fermentation tank with cooling jackets</t>
  </si>
  <si>
    <t>few to 40 days</t>
  </si>
  <si>
    <t>Packaging kegs and bottles</t>
  </si>
  <si>
    <t>Beer</t>
  </si>
  <si>
    <t>Packaging Conveyers</t>
  </si>
  <si>
    <t>Pasteurization tunnel</t>
  </si>
  <si>
    <t>Tunnel or flash pasteurization</t>
  </si>
  <si>
    <t>Air compression</t>
  </si>
  <si>
    <t>Beer bottles</t>
  </si>
  <si>
    <t>Air compressors</t>
  </si>
  <si>
    <t>Beet Sugar Manufacturing (311313)</t>
  </si>
  <si>
    <t>Beet Sugar Manufacturing</t>
  </si>
  <si>
    <t>Slicing</t>
  </si>
  <si>
    <t>Beet slicing</t>
  </si>
  <si>
    <t>Beet cossette</t>
  </si>
  <si>
    <t>Slicer</t>
  </si>
  <si>
    <t>Per tonne of beet sugar</t>
  </si>
  <si>
    <t>Thin juice extraction and heating</t>
  </si>
  <si>
    <t>Thin juice and beet pulp</t>
  </si>
  <si>
    <t>Extractors</t>
  </si>
  <si>
    <t>Extraction Tower</t>
  </si>
  <si>
    <t>Pulp pressing</t>
  </si>
  <si>
    <t>Beet pulp</t>
  </si>
  <si>
    <t>Mechanical press</t>
  </si>
  <si>
    <t>Pulp drying</t>
  </si>
  <si>
    <t>Beet pulp pellets</t>
  </si>
  <si>
    <t>Drum dryer</t>
  </si>
  <si>
    <t>Rotary drum dryer</t>
  </si>
  <si>
    <t>4x60</t>
  </si>
  <si>
    <t>Liming</t>
  </si>
  <si>
    <t>Thin juice purification</t>
  </si>
  <si>
    <t>Raw thin juice</t>
  </si>
  <si>
    <t>Liming and carbonation tanks</t>
  </si>
  <si>
    <t>Thin juice evaporation</t>
  </si>
  <si>
    <t>Sugar thick juice</t>
  </si>
  <si>
    <t>0.3-2.2</t>
  </si>
  <si>
    <t>Crystallization</t>
  </si>
  <si>
    <t>Juice crystallization</t>
  </si>
  <si>
    <t>Massecuite (Beet sugar and molasses)</t>
  </si>
  <si>
    <t>Crystallizers</t>
  </si>
  <si>
    <t>Centrifugation</t>
  </si>
  <si>
    <t>Sugar and molasses separation</t>
  </si>
  <si>
    <t>Beet sugar</t>
  </si>
  <si>
    <t>Monohydrate process (natural; underground trona)</t>
  </si>
  <si>
    <t>Soda Ash</t>
  </si>
  <si>
    <t>per tonne of soda ash</t>
  </si>
  <si>
    <t>Dissolution</t>
  </si>
  <si>
    <t>Dissolution tank</t>
  </si>
  <si>
    <t>Solution tank with agitator</t>
  </si>
  <si>
    <t>Filtration</t>
  </si>
  <si>
    <t>Filters</t>
  </si>
  <si>
    <t>Classifiers and filter presses</t>
  </si>
  <si>
    <t>Crystallizer</t>
  </si>
  <si>
    <t>Mechanical vapor recompression crystallizer</t>
  </si>
  <si>
    <t>Hydrocyclones and Decanter centrifuge</t>
  </si>
  <si>
    <t>Rotary steam tube dryer</t>
  </si>
  <si>
    <t>Air coolers</t>
  </si>
  <si>
    <t>Lime (327410)</t>
  </si>
  <si>
    <t>Lime manufacturing (quicklime/hydrated lime; rotary kiln)</t>
  </si>
  <si>
    <t>Limestone</t>
  </si>
  <si>
    <t>Hammer mills</t>
  </si>
  <si>
    <t>per tonne of lime</t>
  </si>
  <si>
    <t>Screening unit</t>
  </si>
  <si>
    <t>Vibrating screens</t>
  </si>
  <si>
    <t>Quicklime</t>
  </si>
  <si>
    <t>Rotary kiln (long or preheater)</t>
  </si>
  <si>
    <t>Lime cooling</t>
  </si>
  <si>
    <t>Rotary/planetory coolers</t>
  </si>
  <si>
    <t>Lime grinding</t>
  </si>
  <si>
    <t>Roller mills/ball mills</t>
  </si>
  <si>
    <t>Hydration</t>
  </si>
  <si>
    <t>Slaked lime</t>
  </si>
  <si>
    <t>Hydrator</t>
  </si>
  <si>
    <t>Continuous (or pressure) hydrators</t>
  </si>
  <si>
    <t>15 x 60</t>
  </si>
  <si>
    <t>Hydrated lime drying/separation</t>
  </si>
  <si>
    <t>Air separators/classifiers</t>
  </si>
  <si>
    <t>Lime</t>
  </si>
  <si>
    <t>Lime manufacturing (quicklime/hydrated lime; shaft kiln)</t>
  </si>
  <si>
    <t>Vertical shaft kiln (parallel or counterflow)</t>
  </si>
  <si>
    <t>Lime manufacturing (dead burned dolomite)</t>
  </si>
  <si>
    <t>Dead burned dolomite</t>
  </si>
  <si>
    <t>Rotary or shaft kiln</t>
  </si>
  <si>
    <t>Alumina Refining and Primary Aluminum Production (331313)</t>
  </si>
  <si>
    <t>Alumina manufacturing (Bayer process)</t>
  </si>
  <si>
    <t>Wet bauxite grinding</t>
  </si>
  <si>
    <t>Bauxite slurry</t>
  </si>
  <si>
    <t>Rod mills or ball mills</t>
  </si>
  <si>
    <t>per tonne of alumina</t>
  </si>
  <si>
    <t>Desilication</t>
  </si>
  <si>
    <t>Hydrate slurry</t>
  </si>
  <si>
    <t>Reactor vessel</t>
  </si>
  <si>
    <t>Pressurized vertical units or agitated horizontal vessels</t>
  </si>
  <si>
    <t>Digestion</t>
  </si>
  <si>
    <t>Digestor vessels</t>
  </si>
  <si>
    <t>1.5 x 3600</t>
  </si>
  <si>
    <t>Clarification</t>
  </si>
  <si>
    <t>Aluminum oxide trihydrate</t>
  </si>
  <si>
    <t>Thickeners</t>
  </si>
  <si>
    <t>Raking thickeners in conjunction with countercurrent decantation washers</t>
  </si>
  <si>
    <t>Washer</t>
  </si>
  <si>
    <t>Countercurrent washer train</t>
  </si>
  <si>
    <t>Causticization</t>
  </si>
  <si>
    <t>Causticizer</t>
  </si>
  <si>
    <t>Agitated vessels</t>
  </si>
  <si>
    <t>Precipitation</t>
  </si>
  <si>
    <t>Aluminum hydroxide</t>
  </si>
  <si>
    <t>Precipitator</t>
  </si>
  <si>
    <t>Vertical cylinder-type</t>
  </si>
  <si>
    <t>Spent liquor</t>
  </si>
  <si>
    <t>Multiple effect evaporators</t>
  </si>
  <si>
    <t>vacuum</t>
  </si>
  <si>
    <t>Alumina</t>
  </si>
  <si>
    <t>Circulating fluidised bed, stationary, or rotary kilns</t>
  </si>
  <si>
    <t>Fluidezed bed or rotary coolers</t>
  </si>
  <si>
    <t>Primary aluminum (Hall-Heroult Process; Prebaked cells)</t>
  </si>
  <si>
    <t>Coke calcination</t>
  </si>
  <si>
    <t>Calcined coke</t>
  </si>
  <si>
    <t>Rotary kiln and cooler</t>
  </si>
  <si>
    <t>per tonne of aluminum</t>
  </si>
  <si>
    <t>Crude tar pitch separation</t>
  </si>
  <si>
    <t>Crude tar pitch</t>
  </si>
  <si>
    <t>Distillation column</t>
  </si>
  <si>
    <t>Fractional distillation column</t>
  </si>
  <si>
    <t>Crushing</t>
  </si>
  <si>
    <t>Coke and spent anode crushing</t>
  </si>
  <si>
    <t>Carbon</t>
  </si>
  <si>
    <t>Crushers and screens</t>
  </si>
  <si>
    <t>Impact/Hammer/Roll crushers</t>
  </si>
  <si>
    <t>Mixing</t>
  </si>
  <si>
    <t>Coke and pitch mixing</t>
  </si>
  <si>
    <t>Green paste</t>
  </si>
  <si>
    <t>Mixer</t>
  </si>
  <si>
    <t>Carbon Paste Kneaders, Continuous Kneaders, or Double Arm/Sigma Blade Mixers</t>
  </si>
  <si>
    <t>Molding</t>
  </si>
  <si>
    <t>Moulds</t>
  </si>
  <si>
    <t>Vibro-compacted moulds</t>
  </si>
  <si>
    <t>Baking</t>
  </si>
  <si>
    <t>Anode baking</t>
  </si>
  <si>
    <t>Prebaked anodes</t>
  </si>
  <si>
    <t>Ring-pit furnaces</t>
  </si>
  <si>
    <t>Aluminum</t>
  </si>
  <si>
    <t>Electrolyzer cell</t>
  </si>
  <si>
    <t>Hall-Heroult prebaked cell</t>
  </si>
  <si>
    <t>Casting</t>
  </si>
  <si>
    <t>Induction or reverberatory holding furnaces</t>
  </si>
  <si>
    <t>Water-cooled metal moulds</t>
  </si>
  <si>
    <t>Primary aluminum (Hall-Heroult Process; Søderberg cells)</t>
  </si>
  <si>
    <t>Søderberg paste</t>
  </si>
  <si>
    <t>Secondary aluminum</t>
  </si>
  <si>
    <t>Shredding</t>
  </si>
  <si>
    <t>Scrap shredding and screening</t>
  </si>
  <si>
    <t>Scrap</t>
  </si>
  <si>
    <t>Hammer mills or ring crushers</t>
  </si>
  <si>
    <t>per tonne of scrap input</t>
  </si>
  <si>
    <t>Scrap drying, roasting and sweetening</t>
  </si>
  <si>
    <t>Rotary dryers</t>
  </si>
  <si>
    <t>Scrap melting</t>
  </si>
  <si>
    <t>Furnaces</t>
  </si>
  <si>
    <t>Rotary/Induction/Reverberatory melting furnaces</t>
  </si>
  <si>
    <t>Degassing</t>
  </si>
  <si>
    <t>Fluxing, degassing and demagging</t>
  </si>
  <si>
    <t>Degassing unit</t>
  </si>
  <si>
    <t>Spinning nozzle inert flotation degassing unit</t>
  </si>
  <si>
    <t>Holding furnace</t>
  </si>
  <si>
    <t>Nitrogenous Fertilizers (325311)</t>
  </si>
  <si>
    <t>Steam-methane reforming (SMR) - Haber Bosch</t>
  </si>
  <si>
    <t>Air</t>
  </si>
  <si>
    <t>Centrifugal compressors</t>
  </si>
  <si>
    <t>per tonne of ammonia</t>
  </si>
  <si>
    <t>Reforming</t>
  </si>
  <si>
    <t>Syngas</t>
  </si>
  <si>
    <t>Reformer furnace</t>
  </si>
  <si>
    <t>Sidewall-fired or terrace-wall-fired reformers</t>
  </si>
  <si>
    <t>Gas cooling</t>
  </si>
  <si>
    <t>Waste heat recovery boiler</t>
  </si>
  <si>
    <t>Water tube design or tube bundle design</t>
  </si>
  <si>
    <t>Expansion turbine</t>
  </si>
  <si>
    <t>Reaction</t>
  </si>
  <si>
    <t>Shift conversion</t>
  </si>
  <si>
    <t>Shift gas</t>
  </si>
  <si>
    <t>Shift conversion reactor</t>
  </si>
  <si>
    <t>High temp. and low temp. shift converter (two-bed radial converter)</t>
  </si>
  <si>
    <t>Gas absorption</t>
  </si>
  <si>
    <t>CO2 removal</t>
  </si>
  <si>
    <t>CO2</t>
  </si>
  <si>
    <t>Absorber</t>
  </si>
  <si>
    <t>Countercurrent absorption column equipped with trays or packings</t>
  </si>
  <si>
    <t>Methanation</t>
  </si>
  <si>
    <t>Methane</t>
  </si>
  <si>
    <t>Methanator</t>
  </si>
  <si>
    <t>Adiabatic reactor</t>
  </si>
  <si>
    <t>H2-N2 Compression</t>
  </si>
  <si>
    <t>H2-N2 mixture</t>
  </si>
  <si>
    <t>Ammonia synthesis</t>
  </si>
  <si>
    <t>Ammonia</t>
  </si>
  <si>
    <t>Reactor</t>
  </si>
  <si>
    <t>Tube-cooled ammonia converter</t>
  </si>
  <si>
    <t>Condensing cooling</t>
  </si>
  <si>
    <t>Water-tube or shell and tube-type condensers</t>
  </si>
  <si>
    <t>Chillers</t>
  </si>
  <si>
    <t>Screw compressor-type chillers</t>
  </si>
  <si>
    <t>N/A</t>
  </si>
  <si>
    <t>Pulp Mills (322110)</t>
  </si>
  <si>
    <t>Non-Integrated Market Pulp Mills</t>
  </si>
  <si>
    <t>Wood Preparation</t>
  </si>
  <si>
    <t>Wood debarking and chipping</t>
  </si>
  <si>
    <t>Wood chips</t>
  </si>
  <si>
    <t>Preparation equipment</t>
  </si>
  <si>
    <t>Debarkers, chippers, conveyers</t>
  </si>
  <si>
    <t>per tonne of pulp</t>
  </si>
  <si>
    <t>Pulping</t>
  </si>
  <si>
    <t>Wood chips cooking</t>
  </si>
  <si>
    <t>Pulp and weak black liquor</t>
  </si>
  <si>
    <t>Both</t>
  </si>
  <si>
    <t>Batch or continous tubular digesters</t>
  </si>
  <si>
    <t>Washing and screening</t>
  </si>
  <si>
    <t>Pressure, vibrating or drum screens</t>
  </si>
  <si>
    <t>Black liqour concentration</t>
  </si>
  <si>
    <t>Concentrated black liquor and tall oil (soap byproduct)</t>
  </si>
  <si>
    <t>White liquor, lime mud CaCO3</t>
  </si>
  <si>
    <t>Lime kiln</t>
  </si>
  <si>
    <t>Bleaching</t>
  </si>
  <si>
    <t>Bleaching pulp</t>
  </si>
  <si>
    <t>Bleached pulp</t>
  </si>
  <si>
    <t>Bleaching towers</t>
  </si>
  <si>
    <t>Dried pulp</t>
  </si>
  <si>
    <t>Presses and dryers</t>
  </si>
  <si>
    <t>Mechanical screw press and tunnel or rotary drum dryers</t>
  </si>
  <si>
    <t>Paper Mills, except Newsprint (322120)</t>
  </si>
  <si>
    <t>Integrated Paper Mills</t>
  </si>
  <si>
    <t>Preparation</t>
  </si>
  <si>
    <t xml:space="preserve">per tonne of paper </t>
  </si>
  <si>
    <t>Repulping</t>
  </si>
  <si>
    <t>Repulping dried pulp</t>
  </si>
  <si>
    <t>Dried pulp or recycled pulp bale</t>
  </si>
  <si>
    <t>Fiber liberation vessels</t>
  </si>
  <si>
    <t>Wet end (washing, screening, thickening, refining, cleaning)</t>
  </si>
  <si>
    <t>Pulp, black liquor</t>
  </si>
  <si>
    <t>Washers</t>
  </si>
  <si>
    <t>Drum/press/diffusion washers</t>
  </si>
  <si>
    <t>Forming and pressing</t>
  </si>
  <si>
    <t>Paper web, white water</t>
  </si>
  <si>
    <t>Forming and dewatering systems</t>
  </si>
  <si>
    <t>Single/dual wire forming systems and vacuum couch roll/press roll</t>
  </si>
  <si>
    <t>Dried paper</t>
  </si>
  <si>
    <t>Impingement dryers/multi-cylinder dryers</t>
  </si>
  <si>
    <t>Calendaring, Winding, Cutting, Trimming</t>
  </si>
  <si>
    <t>Final paper</t>
  </si>
  <si>
    <t>Calenders/coaters</t>
  </si>
  <si>
    <t>Surface/reel winders; soft calendar machines</t>
  </si>
  <si>
    <t>Tissue and hygiene products - Non-Integrated</t>
  </si>
  <si>
    <t>Stock preparation</t>
  </si>
  <si>
    <t>Pulp</t>
  </si>
  <si>
    <t>Fiber liberation vessels; Mechanical treatment systems; Screeners</t>
  </si>
  <si>
    <t>per tonne of tissue paper</t>
  </si>
  <si>
    <t>150-200</t>
  </si>
  <si>
    <t>5-15</t>
  </si>
  <si>
    <t>Dried tissue</t>
  </si>
  <si>
    <t>Through-Air Drying</t>
  </si>
  <si>
    <t>Through air dryers</t>
  </si>
  <si>
    <t xml:space="preserve">TAD drums; direct air fired heaters; </t>
  </si>
  <si>
    <t>Specialty Paper - Non-Integrated</t>
  </si>
  <si>
    <t>per tonne of specialty paper</t>
  </si>
  <si>
    <t>Paperboard Mills (322130)</t>
  </si>
  <si>
    <t>Packaging Paper and Paperboard</t>
  </si>
  <si>
    <t>Per ton of Paperboards</t>
  </si>
  <si>
    <t>Iron and Steel Mills and Ferroalloys (331110)</t>
  </si>
  <si>
    <t>Integrated BF-BOF Steelmaking</t>
  </si>
  <si>
    <t>Coking</t>
  </si>
  <si>
    <t>Coal turned into coke</t>
  </si>
  <si>
    <t>Coke</t>
  </si>
  <si>
    <t>Coking drums</t>
  </si>
  <si>
    <t>Batch or continous coking drums</t>
  </si>
  <si>
    <t>50-60%</t>
  </si>
  <si>
    <t>18x3600</t>
  </si>
  <si>
    <t>per tonne of steel</t>
  </si>
  <si>
    <t>Sintering</t>
  </si>
  <si>
    <t>Iron sintering</t>
  </si>
  <si>
    <t>Sintered iron</t>
  </si>
  <si>
    <t>Sinter machines</t>
  </si>
  <si>
    <t>Sintering machine, mixing drum, sinter crusher</t>
  </si>
  <si>
    <t>40-60%</t>
  </si>
  <si>
    <t>25x60</t>
  </si>
  <si>
    <t>Sinter cooling</t>
  </si>
  <si>
    <t>50-75%</t>
  </si>
  <si>
    <t>Blast furnace</t>
  </si>
  <si>
    <t>Blast furnace operation</t>
  </si>
  <si>
    <t>Pig iron, slag</t>
  </si>
  <si>
    <t>75-80%</t>
  </si>
  <si>
    <t>7x3600</t>
  </si>
  <si>
    <t>Basic oxygen furnace</t>
  </si>
  <si>
    <t>Basic oxygen furnace operation</t>
  </si>
  <si>
    <t>Crude steel</t>
  </si>
  <si>
    <t>70-85%</t>
  </si>
  <si>
    <t>50x60</t>
  </si>
  <si>
    <t>Steel refining</t>
  </si>
  <si>
    <t>Refined steel</t>
  </si>
  <si>
    <t>Ladle furnace</t>
  </si>
  <si>
    <t>60-75%</t>
  </si>
  <si>
    <t>1.5x3600</t>
  </si>
  <si>
    <t>DRI-EAF Steelmaking</t>
  </si>
  <si>
    <t>Reduction</t>
  </si>
  <si>
    <t>DRI Process with Iron ore and NG</t>
  </si>
  <si>
    <t>Direct Reduced Iron (Sponge iron)</t>
  </si>
  <si>
    <t>Shaft furnace</t>
  </si>
  <si>
    <t>70-80%</t>
  </si>
  <si>
    <t>Electric Arc Furnace with DRI</t>
  </si>
  <si>
    <t>Crude Steel</t>
  </si>
  <si>
    <t>Electric Arc Furnace</t>
  </si>
  <si>
    <t>All Other Basic Organic Chemicals (325199)</t>
  </si>
  <si>
    <t>Steam-methane reforming (SMR) - Methanol sythesis</t>
  </si>
  <si>
    <t>Air separation</t>
  </si>
  <si>
    <t>Air separation unit (ASU)</t>
  </si>
  <si>
    <t>Cryogenic ASU</t>
  </si>
  <si>
    <t>per tonne of methanol</t>
  </si>
  <si>
    <t>Syngas cooling</t>
  </si>
  <si>
    <t>Syngas compression</t>
  </si>
  <si>
    <t>Multi-stage centrifugal compressors with inter-cooling</t>
  </si>
  <si>
    <t>Methanol synthesis</t>
  </si>
  <si>
    <t>Methanol</t>
  </si>
  <si>
    <t>Tubular reactor</t>
  </si>
  <si>
    <t>Methanol separation</t>
  </si>
  <si>
    <t>Fractionation columns</t>
  </si>
  <si>
    <t>Ethyl Alcohol (325193)</t>
  </si>
  <si>
    <t>Ethyl Acohol (dry milling)</t>
  </si>
  <si>
    <t>Pretreatment</t>
  </si>
  <si>
    <t>Grain handling</t>
  </si>
  <si>
    <t>Ground flour</t>
  </si>
  <si>
    <t>Material Handler</t>
  </si>
  <si>
    <t>Elevators, silos, hoppers</t>
  </si>
  <si>
    <t>per tonne Ethanol</t>
  </si>
  <si>
    <t>120-160</t>
  </si>
  <si>
    <t>Starch Conversion (Liquefaction+Saccharification)</t>
  </si>
  <si>
    <t>Mash (contains sugar)</t>
  </si>
  <si>
    <t>Jet cooker and saccharificationtanks</t>
  </si>
  <si>
    <t>Liq (85 - 104), Sacch (60)</t>
  </si>
  <si>
    <t>Beer mixture</t>
  </si>
  <si>
    <t>Bioreactor/fermentor tank</t>
  </si>
  <si>
    <t>Ethanol, solids</t>
  </si>
  <si>
    <t>Beer column, rectifying columnb</t>
  </si>
  <si>
    <t>78.4 - 100</t>
  </si>
  <si>
    <t>Dehyhdration</t>
  </si>
  <si>
    <t>Ethanol (200 proof)</t>
  </si>
  <si>
    <t>Molecular sieve dryer, pumps</t>
  </si>
  <si>
    <t>88.4-167</t>
  </si>
  <si>
    <t>0.14-3.8</t>
  </si>
  <si>
    <t>WDGS</t>
  </si>
  <si>
    <t>Centrifuge, Evaporators</t>
  </si>
  <si>
    <t>100-300</t>
  </si>
  <si>
    <t>DDGS</t>
  </si>
  <si>
    <t>Rotary or ring dryer</t>
  </si>
  <si>
    <t>Utilities</t>
  </si>
  <si>
    <t>Steam, hotwater</t>
  </si>
  <si>
    <t>Ethyl Acohol (wet milling)</t>
  </si>
  <si>
    <t>Corn receiving</t>
  </si>
  <si>
    <t>Corn</t>
  </si>
  <si>
    <t>Belt conveyor</t>
  </si>
  <si>
    <t>Corn, steepwater</t>
  </si>
  <si>
    <t>Tanks</t>
  </si>
  <si>
    <t>Steeping tank, agitated</t>
  </si>
  <si>
    <t>Steepwater evaporation</t>
  </si>
  <si>
    <t>Water</t>
  </si>
  <si>
    <t>mechanical vapor recompression (MVR) evaporator</t>
  </si>
  <si>
    <t>Germ recovery (1st grind)</t>
  </si>
  <si>
    <t>Ground corn</t>
  </si>
  <si>
    <t>Milling equipment</t>
  </si>
  <si>
    <t>Bauer mill</t>
  </si>
  <si>
    <t>25-50</t>
  </si>
  <si>
    <t>Germ recovery (2nd grind)</t>
  </si>
  <si>
    <t>Slurry (germ, starch, glutten)</t>
  </si>
  <si>
    <t>Sieving</t>
  </si>
  <si>
    <t>Germ recovery (germ washing)</t>
  </si>
  <si>
    <t>Germ (wet)</t>
  </si>
  <si>
    <t>hydrocyclone separator, mesh screens</t>
  </si>
  <si>
    <t>Germ dewatering and drying</t>
  </si>
  <si>
    <t>Germ (dry)</t>
  </si>
  <si>
    <t>screw press (dewatering), rotary steam tube dryer</t>
  </si>
  <si>
    <t>Fiber</t>
  </si>
  <si>
    <t>Rotary sifters/sieves</t>
  </si>
  <si>
    <t>Fiber dewatering</t>
  </si>
  <si>
    <t>screen centrifuge, screw press</t>
  </si>
  <si>
    <t>Protein (gluten) recovery</t>
  </si>
  <si>
    <t>Gluten, and starch solution</t>
  </si>
  <si>
    <t>decanter centrifuge</t>
  </si>
  <si>
    <t>Gluten thickening and drying</t>
  </si>
  <si>
    <t>Gluten</t>
  </si>
  <si>
    <t>belt vacuum filter, rotary drum filter,</t>
  </si>
  <si>
    <t>Starch washing</t>
  </si>
  <si>
    <t>Starch</t>
  </si>
  <si>
    <t>Hydrocyclone or centrifuge</t>
  </si>
  <si>
    <t>Starch Conversion (Liuefaction+Saccharification)</t>
  </si>
  <si>
    <t>Sugar mixture</t>
  </si>
  <si>
    <t>flash dryer, spray dryer/film dryer</t>
  </si>
  <si>
    <t>Gluten feed dryer</t>
  </si>
  <si>
    <t>Ring (pneumatic) dryer</t>
  </si>
  <si>
    <t>Petroleum Refineries (324110)</t>
  </si>
  <si>
    <t>Petroleum Refining</t>
  </si>
  <si>
    <t>Crude Distillation Unit (CDU)</t>
  </si>
  <si>
    <t>light/heavy naphtha, kerosene, light/heavy gas oil, fuel gas</t>
  </si>
  <si>
    <t>Desalting tank, Heat exchanger, Atmospheric Distillation column</t>
  </si>
  <si>
    <t>25-566</t>
  </si>
  <si>
    <t>1-1.5</t>
  </si>
  <si>
    <t>per Barrel crude</t>
  </si>
  <si>
    <t>330-385</t>
  </si>
  <si>
    <t>1.2-1.5</t>
  </si>
  <si>
    <t>Vacuum Distillation Unit (VDU)</t>
  </si>
  <si>
    <t>light/heavy vacuum gas oil, heavy distillate (lube), vacuum residue (coke)</t>
  </si>
  <si>
    <t>Vacuum distillation column, vacuum furnace/Heat-Ex</t>
  </si>
  <si>
    <t>65-398</t>
  </si>
  <si>
    <t>343-866</t>
  </si>
  <si>
    <t>0.013-0.026</t>
  </si>
  <si>
    <t>Fluidized Catalytic Cracker (FCC)</t>
  </si>
  <si>
    <t>Gas (C4 and ligher), Gasoline, light/heavy gas oil</t>
  </si>
  <si>
    <t>Reactor/regenrator</t>
  </si>
  <si>
    <t>Fluid catalytic cracker</t>
  </si>
  <si>
    <t>75-85%</t>
  </si>
  <si>
    <t>470-525</t>
  </si>
  <si>
    <t>470-525 (cat), 590-675 (regen)</t>
  </si>
  <si>
    <t>1-1.72</t>
  </si>
  <si>
    <t>510-540</t>
  </si>
  <si>
    <t>1-2</t>
  </si>
  <si>
    <t>Naphtha Reforming</t>
  </si>
  <si>
    <t>Aromatics, gasoline, LPG, off gas</t>
  </si>
  <si>
    <t>Reactors, Heat-Ex, Combined Feed Exchanger, Separator and Debutanizer (Distln Col.)</t>
  </si>
  <si>
    <t>445-520</t>
  </si>
  <si>
    <t>495-525</t>
  </si>
  <si>
    <t>Hydrotreating</t>
  </si>
  <si>
    <t>CFHT (FCC Feed Hydrotreating)</t>
  </si>
  <si>
    <t>FCC feed</t>
  </si>
  <si>
    <t>Reactors, separation columns, heat exchangers, and gas separators</t>
  </si>
  <si>
    <t>333-397</t>
  </si>
  <si>
    <t>0.98-1</t>
  </si>
  <si>
    <t>290-430</t>
  </si>
  <si>
    <t>Diesel Hydrotreating</t>
  </si>
  <si>
    <t>Diesel, Gasoline, Fuel gas</t>
  </si>
  <si>
    <t>Reactor, Distiln Col (stipper, adsorber, fractionator), flash columns</t>
  </si>
  <si>
    <t>300-400</t>
  </si>
  <si>
    <t>43-48.4</t>
  </si>
  <si>
    <t>Naphtha Hydrotreating</t>
  </si>
  <si>
    <t>Naphtha, light gas, H2S</t>
  </si>
  <si>
    <t>Heat Ex, Reactor, separator, compressor</t>
  </si>
  <si>
    <t>205-260</t>
  </si>
  <si>
    <t>25-45</t>
  </si>
  <si>
    <t>Hydrocracking</t>
  </si>
  <si>
    <t>Jetfuel, Diesel, Kerosene, etc.</t>
  </si>
  <si>
    <t>Reactor, separator, fractionator (distilln coln)</t>
  </si>
  <si>
    <t>250-420</t>
  </si>
  <si>
    <t>40-200</t>
  </si>
  <si>
    <t>280-475</t>
  </si>
  <si>
    <t>Isomerization</t>
  </si>
  <si>
    <t>Gasoline, Hydrogen, off-gas</t>
  </si>
  <si>
    <t>Heat-Ex, distillation columns (De-isopentanizer, stabilizer), reactors</t>
  </si>
  <si>
    <t>80-88%</t>
  </si>
  <si>
    <t>120 - 180</t>
  </si>
  <si>
    <t>1-35</t>
  </si>
  <si>
    <t>100-200</t>
  </si>
  <si>
    <t>50-60</t>
  </si>
  <si>
    <t>Delayed Coking</t>
  </si>
  <si>
    <t>Fuel gas, LPG, Light/heavy gas oil</t>
  </si>
  <si>
    <t>Reactor/delayed coker</t>
  </si>
  <si>
    <t>Coker furnace and coke drums</t>
  </si>
  <si>
    <t>37.7 - 496</t>
  </si>
  <si>
    <t>0.34-2.06</t>
  </si>
  <si>
    <t>0.34-0.68</t>
  </si>
  <si>
    <t>480-505</t>
  </si>
  <si>
    <t>Alkylation</t>
  </si>
  <si>
    <t>Propane, Butane, Alkylate</t>
  </si>
  <si>
    <t>Reactor, Distilln Coln, Tanks, membrane filter</t>
  </si>
  <si>
    <t>70-90%</t>
  </si>
  <si>
    <t>21 (H2SO4), 37.8 (HF)</t>
  </si>
  <si>
    <t>170-187</t>
  </si>
  <si>
    <t>Hydrogen Production</t>
  </si>
  <si>
    <t>Hydrogen</t>
  </si>
  <si>
    <t>Reactor/Reforming furnaces</t>
  </si>
  <si>
    <t>Reformer furnace, Boiler, steam turbine, shift conversion reactor, absorber</t>
  </si>
  <si>
    <t>90-1000</t>
  </si>
  <si>
    <t>230-1000</t>
  </si>
  <si>
    <t>100-1000</t>
  </si>
  <si>
    <t>1-100</t>
  </si>
  <si>
    <t>Sulfur Recovery</t>
  </si>
  <si>
    <t>Sulfur</t>
  </si>
  <si>
    <t>Reactor/Distillation</t>
  </si>
  <si>
    <t>Heat-Ex, tray distilln columns, reactors, tank</t>
  </si>
  <si>
    <t>80-90%</t>
  </si>
  <si>
    <t>142-158</t>
  </si>
  <si>
    <t>Urea from Ammonia</t>
  </si>
  <si>
    <t>CO2 compression</t>
  </si>
  <si>
    <t>High temperature, pressure reactor</t>
  </si>
  <si>
    <t>per tonne of urea</t>
  </si>
  <si>
    <t>Urea synthesis</t>
  </si>
  <si>
    <t>Urea</t>
  </si>
  <si>
    <t>Gas-liquid reactor</t>
  </si>
  <si>
    <t>Stripping</t>
  </si>
  <si>
    <t>Ammonia, CO2</t>
  </si>
  <si>
    <t>Shell-and-tube stripper</t>
  </si>
  <si>
    <t>Condensation</t>
  </si>
  <si>
    <t>NH3/CO2 condenser and absorber</t>
  </si>
  <si>
    <t>Ammonium Carbamate</t>
  </si>
  <si>
    <t>NH3/CO2 condenser</t>
  </si>
  <si>
    <t>65-75%</t>
  </si>
  <si>
    <t>Urea concentration</t>
  </si>
  <si>
    <t>Urea conc.</t>
  </si>
  <si>
    <t>Vacuum evaporator</t>
  </si>
  <si>
    <t>80-135</t>
  </si>
  <si>
    <t>0.03-0.3</t>
  </si>
  <si>
    <t>Urea granulation or prilling</t>
  </si>
  <si>
    <t>Urea pellets</t>
  </si>
  <si>
    <t>Granulator</t>
  </si>
  <si>
    <t>Fluidized bed granulator</t>
  </si>
  <si>
    <t>Steam import</t>
  </si>
  <si>
    <t>steam</t>
  </si>
  <si>
    <t>Continuous/Batch</t>
  </si>
  <si>
    <t>110-120</t>
  </si>
  <si>
    <t>Plastics Material and Resin Manufacturing (325211)</t>
  </si>
  <si>
    <t>Direct chlorination</t>
  </si>
  <si>
    <t>EDC (ethylene dicholoride)</t>
  </si>
  <si>
    <t>Fluid‑bed or tubular reactors + furnace</t>
  </si>
  <si>
    <t>25-80</t>
  </si>
  <si>
    <t>per tonne VCM</t>
  </si>
  <si>
    <t>Ehtylene dichlorine/Vinyl chloride monomer</t>
  </si>
  <si>
    <t>Air separation unit</t>
  </si>
  <si>
    <t>O2, N2</t>
  </si>
  <si>
    <t xml:space="preserve">Cryogenic Air Separation Unit </t>
  </si>
  <si>
    <t>-195 to -173</t>
  </si>
  <si>
    <t>3-8</t>
  </si>
  <si>
    <t>Oxychlorination</t>
  </si>
  <si>
    <t>EDC, water</t>
  </si>
  <si>
    <t>200-300</t>
  </si>
  <si>
    <t>25-200</t>
  </si>
  <si>
    <t>4-6</t>
  </si>
  <si>
    <t>EDC Distillation</t>
  </si>
  <si>
    <t>Purified EDC</t>
  </si>
  <si>
    <t xml:space="preserve">Distillation </t>
  </si>
  <si>
    <t>fractionation column</t>
  </si>
  <si>
    <t>Chlorinated HC compression</t>
  </si>
  <si>
    <t>Compressed gas (EDC)</t>
  </si>
  <si>
    <t>Centrifugal compressor</t>
  </si>
  <si>
    <t>EDC cracking</t>
  </si>
  <si>
    <t>Vinyl chloride monomer (VCM), HCl</t>
  </si>
  <si>
    <t>Fired cracking furnace</t>
  </si>
  <si>
    <t>70-75%</t>
  </si>
  <si>
    <t>85.7-200</t>
  </si>
  <si>
    <t>15-30</t>
  </si>
  <si>
    <t>VCM Distillation</t>
  </si>
  <si>
    <t>Purified VCM</t>
  </si>
  <si>
    <t>25-92</t>
  </si>
  <si>
    <t>6-7.5</t>
  </si>
  <si>
    <t>PVC - Suspension process</t>
  </si>
  <si>
    <t>Aqueous VCM suspension</t>
  </si>
  <si>
    <t>Mixing tank/reactor</t>
  </si>
  <si>
    <t>79-84%</t>
  </si>
  <si>
    <t>per tonne of PVC resin</t>
  </si>
  <si>
    <t>Polymerization</t>
  </si>
  <si>
    <t>PVC slurry</t>
  </si>
  <si>
    <t>Suspension polymerization reactor</t>
  </si>
  <si>
    <t>85-97%</t>
  </si>
  <si>
    <t>35-70</t>
  </si>
  <si>
    <t>4-12</t>
  </si>
  <si>
    <t>Dumping</t>
  </si>
  <si>
    <t xml:space="preserve">No product, it transfers PVC slurry </t>
  </si>
  <si>
    <t>Flash tank</t>
  </si>
  <si>
    <t>Stripped VCM compression</t>
  </si>
  <si>
    <t>Compressed VCM vapor</t>
  </si>
  <si>
    <t>Tray/packed column</t>
  </si>
  <si>
    <t>Blending</t>
  </si>
  <si>
    <t>Blending type1</t>
  </si>
  <si>
    <t>PVC powder + additives</t>
  </si>
  <si>
    <t>High speed mixer</t>
  </si>
  <si>
    <t>25-35</t>
  </si>
  <si>
    <t xml:space="preserve">Wet PVC cake </t>
  </si>
  <si>
    <t>Decanter centrifuge</t>
  </si>
  <si>
    <t>Dry PVC resin powder</t>
  </si>
  <si>
    <t>fluidized bed dryers</t>
  </si>
  <si>
    <t>30-60</t>
  </si>
  <si>
    <t>Separation/sizing</t>
  </si>
  <si>
    <t>PVC resin</t>
  </si>
  <si>
    <t>Mechanical sieves</t>
  </si>
  <si>
    <t>Blending type2</t>
  </si>
  <si>
    <t>Final PVC compound</t>
  </si>
  <si>
    <t>Melt compounding</t>
  </si>
  <si>
    <t>Molten PVC</t>
  </si>
  <si>
    <t>Extruder mixer</t>
  </si>
  <si>
    <t>155-165</t>
  </si>
  <si>
    <t>Pelletizing</t>
  </si>
  <si>
    <t>PVC pellets</t>
  </si>
  <si>
    <t>Extruder</t>
  </si>
  <si>
    <t>Single / twin screw extruder</t>
  </si>
  <si>
    <t>35-40</t>
  </si>
  <si>
    <t>Dying</t>
  </si>
  <si>
    <t>Colored PVC</t>
  </si>
  <si>
    <t>160-180</t>
  </si>
  <si>
    <t>PVC</t>
  </si>
  <si>
    <t>Conveyors</t>
  </si>
  <si>
    <t>Carbon black</t>
  </si>
  <si>
    <t>Material Handling</t>
  </si>
  <si>
    <t>Storage</t>
  </si>
  <si>
    <t>Oil Storage</t>
  </si>
  <si>
    <t>Feedstock oil</t>
  </si>
  <si>
    <t>per tonne of carbon black</t>
  </si>
  <si>
    <t>Pyrolysis</t>
  </si>
  <si>
    <t>Carbon black reaction/Pyrolysis</t>
  </si>
  <si>
    <t>Carbon black-laden hot gas</t>
  </si>
  <si>
    <t>Furnace (flame) reactor</t>
  </si>
  <si>
    <t>1200-1900</t>
  </si>
  <si>
    <t>1-1.3</t>
  </si>
  <si>
    <t>Cooled gas</t>
  </si>
  <si>
    <t>Sprinker system</t>
  </si>
  <si>
    <t>Deluge sprinkler or wet pipe sprinklers</t>
  </si>
  <si>
    <t>Baghouse filteration</t>
  </si>
  <si>
    <t>Separated fine carbon black powder</t>
  </si>
  <si>
    <t>Filteration</t>
  </si>
  <si>
    <t>Baghouse filter</t>
  </si>
  <si>
    <t>Material transport</t>
  </si>
  <si>
    <t>Conveying system</t>
  </si>
  <si>
    <t>carbon black powder</t>
  </si>
  <si>
    <t>Pneumatic conveyor</t>
  </si>
  <si>
    <t>Granulation</t>
  </si>
  <si>
    <t>granules of carbon black</t>
  </si>
  <si>
    <t>Wet or dry type granulator</t>
  </si>
  <si>
    <t>80-120</t>
  </si>
  <si>
    <t>Carbon black drying</t>
  </si>
  <si>
    <t>Dry carbon black pellets</t>
  </si>
  <si>
    <t>110-180</t>
  </si>
  <si>
    <t>Flaring</t>
  </si>
  <si>
    <t>Heat from combustion</t>
  </si>
  <si>
    <t>Flare system</t>
  </si>
  <si>
    <t>Diffusion flame</t>
  </si>
  <si>
    <t>726.8-2326.8</t>
  </si>
  <si>
    <t>Plate type / shell and tube heatexchanger</t>
  </si>
  <si>
    <t>250-790</t>
  </si>
  <si>
    <t>Turbine</t>
  </si>
  <si>
    <t>30-40%</t>
  </si>
  <si>
    <t>Centrifugal pump</t>
  </si>
  <si>
    <t>Seafood Product Preparation and Packaging (311710)</t>
  </si>
  <si>
    <t>Seafood Processing</t>
  </si>
  <si>
    <t>Receiving and Grading</t>
  </si>
  <si>
    <t>Raw whole fish</t>
  </si>
  <si>
    <t>Batch/Continuous</t>
  </si>
  <si>
    <t>0  to  4</t>
  </si>
  <si>
    <t>per tonne seafood</t>
  </si>
  <si>
    <t>Portioning</t>
  </si>
  <si>
    <t>gutting and deheading and splitting</t>
  </si>
  <si>
    <t>fillets/steaks/cuts</t>
  </si>
  <si>
    <t>Cutting/portioning machines</t>
  </si>
  <si>
    <t>75-98%</t>
  </si>
  <si>
    <t>Cooling seafood</t>
  </si>
  <si>
    <t>chilled seafood</t>
  </si>
  <si>
    <t>Refrigeration system</t>
  </si>
  <si>
    <t>Chillers, blast freezers, coldrooms</t>
  </si>
  <si>
    <t>-20 to 0</t>
  </si>
  <si>
    <t>Drying/curing</t>
  </si>
  <si>
    <t>Dried fish</t>
  </si>
  <si>
    <t>Convective dryer</t>
  </si>
  <si>
    <t>Salting</t>
  </si>
  <si>
    <t>Salt Room</t>
  </si>
  <si>
    <t>Salted fish</t>
  </si>
  <si>
    <t>Salting equipment</t>
  </si>
  <si>
    <t>salting/spice applicators, brine injectors, and tumbler marinators</t>
  </si>
  <si>
    <t>4-8</t>
  </si>
  <si>
    <t>Canning</t>
  </si>
  <si>
    <t>Packing seafood in cans</t>
  </si>
  <si>
    <t>Canned fish</t>
  </si>
  <si>
    <t>Steam retorts/boilers</t>
  </si>
  <si>
    <t>115-130</t>
  </si>
  <si>
    <t>2-4</t>
  </si>
  <si>
    <t>Fish meal</t>
  </si>
  <si>
    <t>process of utilizing fish waste to make fish meal</t>
  </si>
  <si>
    <t>Convective dryer + cooker</t>
  </si>
  <si>
    <t>Onsite transportation by conveyors, forklifts, etc.</t>
  </si>
  <si>
    <t>Onsite transport, no products</t>
  </si>
  <si>
    <t>Conveyors/forklifts</t>
  </si>
  <si>
    <t>Conveyor operation, sealing packages</t>
  </si>
  <si>
    <t>Seafood</t>
  </si>
  <si>
    <t>Poultry Processing (311615)</t>
  </si>
  <si>
    <t>Poultry Processing</t>
  </si>
  <si>
    <t>Hanging up</t>
  </si>
  <si>
    <t>Attaching birds to conveyor</t>
  </si>
  <si>
    <t>Live birds</t>
  </si>
  <si>
    <t>Conveyor</t>
  </si>
  <si>
    <t>Overhead conveyorwith shackles</t>
  </si>
  <si>
    <t>per tonne chicken</t>
  </si>
  <si>
    <t>Slaughter</t>
  </si>
  <si>
    <t>Slaughtering and bleeding</t>
  </si>
  <si>
    <t>Poultry carcass</t>
  </si>
  <si>
    <t>Slaughter station +bleed line</t>
  </si>
  <si>
    <t>Kill cones orautomated killingstation with bleedtrough</t>
  </si>
  <si>
    <t>Scalding</t>
  </si>
  <si>
    <t>Immersion in hot water</t>
  </si>
  <si>
    <t>Loose feathers</t>
  </si>
  <si>
    <t>Continuous poultryscalder tank</t>
  </si>
  <si>
    <t>Defeathering</t>
  </si>
  <si>
    <t>Removal of feathers</t>
  </si>
  <si>
    <t>Defeatherd carcass</t>
  </si>
  <si>
    <t>Poultry pluckingmachine</t>
  </si>
  <si>
    <t>Rotary picker / pluckermachine</t>
  </si>
  <si>
    <t>Evisceration</t>
  </si>
  <si>
    <t>Removal of internal organs</t>
  </si>
  <si>
    <t>Giblets</t>
  </si>
  <si>
    <t>Evisceration line withwork stations and conveyors</t>
  </si>
  <si>
    <t>Washing &amp; Chilling</t>
  </si>
  <si>
    <t>Washing &amp; chilling</t>
  </si>
  <si>
    <t>Clean/chilled carcass</t>
  </si>
  <si>
    <t>Spray washers and immersion or air‑chillsystem</t>
  </si>
  <si>
    <t>4-20</t>
  </si>
  <si>
    <t>Packaged whole bird/cuts</t>
  </si>
  <si>
    <t>-1 to -4</t>
  </si>
  <si>
    <t>Refrigeration (whole and chilled)</t>
  </si>
  <si>
    <t>Chilled/frozen bird/cuts</t>
  </si>
  <si>
    <t>Chilled rooms andblast chillers withrefrigeration plant</t>
  </si>
  <si>
    <t>&lt;4</t>
  </si>
  <si>
    <t>Sanitation</t>
  </si>
  <si>
    <t>cleaning and sanitizing equipment/facility</t>
  </si>
  <si>
    <t>Sanitized equipment</t>
  </si>
  <si>
    <t>Sanitation system</t>
  </si>
  <si>
    <t>Central foam/cleaningsystem, CIP, sanitationtools</t>
  </si>
  <si>
    <t>60 - 82</t>
  </si>
  <si>
    <t>100-121</t>
  </si>
  <si>
    <t>Waste Handling</t>
  </si>
  <si>
    <t>Liquid effluent treatment</t>
  </si>
  <si>
    <t>Waste</t>
  </si>
  <si>
    <t>Wastewater treatment system</t>
  </si>
  <si>
    <t>Screens, DAF unit,equalization tank</t>
  </si>
  <si>
    <t>Animal (except Poultry) Slaughtering (311611)</t>
  </si>
  <si>
    <t>Pork Processing</t>
  </si>
  <si>
    <t>Bleeding carcasses</t>
  </si>
  <si>
    <t>Stunned, bled hog</t>
  </si>
  <si>
    <t>per tonne pork</t>
  </si>
  <si>
    <t>Blood processing</t>
  </si>
  <si>
    <t>Blood collection</t>
  </si>
  <si>
    <t>Coagulated and separated blood solids</t>
  </si>
  <si>
    <t>Tank and pumps</t>
  </si>
  <si>
    <t>Blood collection tank and pump</t>
  </si>
  <si>
    <t>Blood drying</t>
  </si>
  <si>
    <t>Dried blood</t>
  </si>
  <si>
    <t>Convective blooddryer</t>
  </si>
  <si>
    <t>Scalding &amp; dehairing</t>
  </si>
  <si>
    <t>Hot scalding</t>
  </si>
  <si>
    <t>dehaired carcass</t>
  </si>
  <si>
    <t>Scalding tank +dehairer</t>
  </si>
  <si>
    <t>Singeing &amp; polishing</t>
  </si>
  <si>
    <t>Flame singeing</t>
  </si>
  <si>
    <t>Singeing Equipment</t>
  </si>
  <si>
    <t>Gas‑fired singeing unit</t>
  </si>
  <si>
    <t>Organ removal</t>
  </si>
  <si>
    <t>internal organs</t>
  </si>
  <si>
    <t>150-170</t>
  </si>
  <si>
    <t>Viscera handling</t>
  </si>
  <si>
    <t>Organ sorting</t>
  </si>
  <si>
    <t>liver, heart, etc.</t>
  </si>
  <si>
    <t>Viscera handling line</t>
  </si>
  <si>
    <t>Cutting</t>
  </si>
  <si>
    <t>Defect trimming</t>
  </si>
  <si>
    <t>trimmed carcass</t>
  </si>
  <si>
    <t>Trimming line</t>
  </si>
  <si>
    <t>Cut and debone carcass</t>
  </si>
  <si>
    <t>primal and retail prok cuts</t>
  </si>
  <si>
    <t>Saw and conveyors</t>
  </si>
  <si>
    <t>Cutting and deboningline with band saws</t>
  </si>
  <si>
    <t>Rendering</t>
  </si>
  <si>
    <t>Edible rendering</t>
  </si>
  <si>
    <t>Edible fats (lard)</t>
  </si>
  <si>
    <t>Rendering system</t>
  </si>
  <si>
    <t>Continuous cooker and press</t>
  </si>
  <si>
    <t>Inedible rendering</t>
  </si>
  <si>
    <t>Meat‑and‑bone meal</t>
  </si>
  <si>
    <t>Inedible renderingcooker and press</t>
  </si>
  <si>
    <t>Inedible rend drying</t>
  </si>
  <si>
    <t xml:space="preserve">Dried inedible protein meal </t>
  </si>
  <si>
    <t xml:space="preserve">Recovery </t>
  </si>
  <si>
    <t>Fat/water recovery</t>
  </si>
  <si>
    <t xml:space="preserve">fat, protein, and possibly energy </t>
  </si>
  <si>
    <t>Decanter centrifuges and separators</t>
  </si>
  <si>
    <t>Carcass chilling</t>
  </si>
  <si>
    <t>Chilled pork carcasses or cuts</t>
  </si>
  <si>
    <t>Chilling tunnel or coldroom</t>
  </si>
  <si>
    <t>52-58%</t>
  </si>
  <si>
    <t>Cleaning/sanitizing facility</t>
  </si>
  <si>
    <t>Beef + Lamb Processing</t>
  </si>
  <si>
    <t>Stunned, bled cattle</t>
  </si>
  <si>
    <t>per tonne meat</t>
  </si>
  <si>
    <t>Hide Processing</t>
  </si>
  <si>
    <t>Hide removal</t>
  </si>
  <si>
    <t>Hide</t>
  </si>
  <si>
    <t>Hide‑pulling machine</t>
  </si>
  <si>
    <t>Hide puller and dehiding conveyor</t>
  </si>
  <si>
    <t xml:space="preserve">Hide curing/salting </t>
  </si>
  <si>
    <t>Cured or salted hides</t>
  </si>
  <si>
    <t>Hide curing equipment</t>
  </si>
  <si>
    <t>Hide salting drums or tables</t>
  </si>
  <si>
    <t>edible organs</t>
  </si>
  <si>
    <t>Trimming meat</t>
  </si>
  <si>
    <t>Cutting &amp; deboning</t>
  </si>
  <si>
    <t>primal and retail cuts</t>
  </si>
  <si>
    <t>Edible fats (tallow)</t>
  </si>
  <si>
    <t>inedible protein meals</t>
  </si>
  <si>
    <t xml:space="preserve">Dried inedible protein meals </t>
  </si>
  <si>
    <t>Recovery</t>
  </si>
  <si>
    <t>fats, solids, and sometimes heat</t>
  </si>
  <si>
    <t>Chilled meat products</t>
  </si>
  <si>
    <t>Meat Processed from Carcasses (311612)</t>
  </si>
  <si>
    <t>Meat Products-Chicken</t>
  </si>
  <si>
    <t>Minced chicken made into nuggets</t>
  </si>
  <si>
    <t>Chicken Nuggets</t>
  </si>
  <si>
    <t>Grinder</t>
  </si>
  <si>
    <t>Mince meat grinder</t>
  </si>
  <si>
    <t>per tonne meat product</t>
  </si>
  <si>
    <t>Grilling/roasting meat</t>
  </si>
  <si>
    <t>Grilled Chicken</t>
  </si>
  <si>
    <t>Cooking equipment</t>
  </si>
  <si>
    <t>Cooking oven/fryer</t>
  </si>
  <si>
    <t>Minced meat encased into sausage</t>
  </si>
  <si>
    <t>Chicken Sausage</t>
  </si>
  <si>
    <t>Meat Products-Red Meat</t>
  </si>
  <si>
    <t>Stuffed sausage is fermented then dried</t>
  </si>
  <si>
    <t>Pork Salami Sausage</t>
  </si>
  <si>
    <t>Fermentor</t>
  </si>
  <si>
    <t>Fermentation chamber/room</t>
  </si>
  <si>
    <t>Pork belly cut into bacon slices</t>
  </si>
  <si>
    <t>Pork Bacon</t>
  </si>
  <si>
    <t>Meat slicer</t>
  </si>
  <si>
    <t>High‑speed bacon slicer</t>
  </si>
  <si>
    <t>Minced meat made into meatballs</t>
  </si>
  <si>
    <t>Pork Meetballs</t>
  </si>
  <si>
    <t>Roasting meat</t>
  </si>
  <si>
    <t>Roast Beef</t>
  </si>
  <si>
    <t>Roasting oven</t>
  </si>
  <si>
    <t>Beef Salami Sausage</t>
  </si>
  <si>
    <t>Beef Meatballs</t>
  </si>
  <si>
    <t>Meat products</t>
  </si>
  <si>
    <t>Distilleries (312140)</t>
  </si>
  <si>
    <t>Distillery</t>
  </si>
  <si>
    <t>Grain Handling</t>
  </si>
  <si>
    <t>Grain receiving</t>
  </si>
  <si>
    <t>Cleaned, milled grain</t>
  </si>
  <si>
    <t>Elevators, silos and conveyors</t>
  </si>
  <si>
    <t>per m3 spirits</t>
  </si>
  <si>
    <t>Mash Cooking</t>
  </si>
  <si>
    <t>Mash preparation</t>
  </si>
  <si>
    <t>Cooked mash</t>
  </si>
  <si>
    <t>Mash cooker</t>
  </si>
  <si>
    <t>Steam‑heated cooker</t>
  </si>
  <si>
    <t>Alcohol preparation</t>
  </si>
  <si>
    <t>Fermented mash</t>
  </si>
  <si>
    <t>Agitated 
jacket‑cooled 
fermenters</t>
  </si>
  <si>
    <t>16-27</t>
  </si>
  <si>
    <t>Spirit distillation</t>
  </si>
  <si>
    <t>Concentrated raw spirit</t>
  </si>
  <si>
    <t>Atmospheric distillation</t>
  </si>
  <si>
    <t>Spirits Gauging</t>
  </si>
  <si>
    <t>adjusting alcohol concentration</t>
  </si>
  <si>
    <t xml:space="preserve">Proofed spirit </t>
  </si>
  <si>
    <t>Proofing system</t>
  </si>
  <si>
    <t>Proofing tanks and measurement instruments</t>
  </si>
  <si>
    <t>22-30</t>
  </si>
  <si>
    <t>Bottling/packaging</t>
  </si>
  <si>
    <t>Finished bottled spirit</t>
  </si>
  <si>
    <t xml:space="preserve"> Bottling equipment/Conveyors</t>
  </si>
  <si>
    <t>Bottling/packaging line</t>
  </si>
  <si>
    <t>Fruit and Vegetable Canning (311421)</t>
  </si>
  <si>
    <t>Canned Fruit and Vegetables</t>
  </si>
  <si>
    <t>Inspection and grading</t>
  </si>
  <si>
    <t>raw fruits/vegetables</t>
  </si>
  <si>
    <t>Inspection belt andgrading tables</t>
  </si>
  <si>
    <t>per tonne canned food</t>
  </si>
  <si>
    <t>Clean fruits/vegetables</t>
  </si>
  <si>
    <t>Rotary/spray washers</t>
  </si>
  <si>
    <t>Cutting and slicing</t>
  </si>
  <si>
    <t>Cut fruits/vegetables</t>
  </si>
  <si>
    <t>Slicing machines</t>
  </si>
  <si>
    <t>Fruit/vegetable slicers</t>
  </si>
  <si>
    <t>Blanching</t>
  </si>
  <si>
    <t>Blanched fruits/vegetables</t>
  </si>
  <si>
    <t>Blancher</t>
  </si>
  <si>
    <t>Hot‑water/steam blancher</t>
  </si>
  <si>
    <t>71-100</t>
  </si>
  <si>
    <t>Peeling</t>
  </si>
  <si>
    <t>Peeled fruits/vegetables</t>
  </si>
  <si>
    <t>Peeling machine</t>
  </si>
  <si>
    <t>Mechanical or steampeeler</t>
  </si>
  <si>
    <t>fruits/vegetables pulp/puree</t>
  </si>
  <si>
    <t>Pulping machine</t>
  </si>
  <si>
    <t>Cooking</t>
  </si>
  <si>
    <t>pre-cooked product</t>
  </si>
  <si>
    <t>Steam kettles orcookers</t>
  </si>
  <si>
    <t xml:space="preserve">Hot brine </t>
  </si>
  <si>
    <t>Brine heater</t>
  </si>
  <si>
    <t>Cooling and washing</t>
  </si>
  <si>
    <t xml:space="preserve"> Cooled blanched/cooked product</t>
  </si>
  <si>
    <t>Cooling flume or spray cooler</t>
  </si>
  <si>
    <t>69-92%</t>
  </si>
  <si>
    <t>Can washing</t>
  </si>
  <si>
    <t>Clean can</t>
  </si>
  <si>
    <t>Can washing machine</t>
  </si>
  <si>
    <t>Filling</t>
  </si>
  <si>
    <t>Can filling</t>
  </si>
  <si>
    <t>Canned fruits/vegetables</t>
  </si>
  <si>
    <t>Can filling machine</t>
  </si>
  <si>
    <t>Volumetric or piston filler</t>
  </si>
  <si>
    <t>Deaeration</t>
  </si>
  <si>
    <t>Can exhausting</t>
  </si>
  <si>
    <t>Vacuum sealed can</t>
  </si>
  <si>
    <t>Can exhaust equipment</t>
  </si>
  <si>
    <t>Vacuum exhaust boxor steam flow capper</t>
  </si>
  <si>
    <t>Sealing</t>
  </si>
  <si>
    <t>Can sealing</t>
  </si>
  <si>
    <t>Can seamer</t>
  </si>
  <si>
    <t>Double‑seam can seamer</t>
  </si>
  <si>
    <t>Heat sterlization</t>
  </si>
  <si>
    <t>Sterilized can</t>
  </si>
  <si>
    <t>Thermal sterilizer</t>
  </si>
  <si>
    <t>Retort (batch or continuous)</t>
  </si>
  <si>
    <t>Cooled can</t>
  </si>
  <si>
    <t>Conveyor operation</t>
  </si>
  <si>
    <t>Frozen Fruit, Juice, and Vegetable Manufacturing (311411)</t>
  </si>
  <si>
    <t>Frozen Fruit</t>
  </si>
  <si>
    <t>raw fruit</t>
  </si>
  <si>
    <t>Inspection conveyor</t>
  </si>
  <si>
    <t>per tonne frozen food</t>
  </si>
  <si>
    <t>Washing 1</t>
  </si>
  <si>
    <t>cleaned fruit</t>
  </si>
  <si>
    <t>peeled fruit</t>
  </si>
  <si>
    <t>Washing 2</t>
  </si>
  <si>
    <t>sliced fruit</t>
  </si>
  <si>
    <t>Fruit slicers</t>
  </si>
  <si>
    <t>blanched fruit</t>
  </si>
  <si>
    <t>packed fruit</t>
  </si>
  <si>
    <t>Packaging equipment</t>
  </si>
  <si>
    <t>Bagging or tray‑packing line</t>
  </si>
  <si>
    <t>Freezing</t>
  </si>
  <si>
    <t>Individually Quick Frozen or tunnel freezer</t>
  </si>
  <si>
    <t>Frozen Vegetables</t>
  </si>
  <si>
    <t>Grading</t>
  </si>
  <si>
    <t>raw vegetable</t>
  </si>
  <si>
    <t>washed vegetable</t>
  </si>
  <si>
    <t>peeled vegetable</t>
  </si>
  <si>
    <t>sliced vegetable</t>
  </si>
  <si>
    <t>blanched vegetable</t>
  </si>
  <si>
    <t>Frying</t>
  </si>
  <si>
    <t>Fried vegetable</t>
  </si>
  <si>
    <t>Continuous fryer</t>
  </si>
  <si>
    <t>175-190</t>
  </si>
  <si>
    <t>Cooled vegetable</t>
  </si>
  <si>
    <t>Frozen vegetable</t>
  </si>
  <si>
    <t>Fruit and Vegetable Juice Manufacturing</t>
  </si>
  <si>
    <t>Inspecting and grading</t>
  </si>
  <si>
    <t>raw fruit/vegetable</t>
  </si>
  <si>
    <t>Inspection and grading conveyor</t>
  </si>
  <si>
    <t>per tonne juice</t>
  </si>
  <si>
    <t>washed fruit/vegetable</t>
  </si>
  <si>
    <t>Pulping/extraction</t>
  </si>
  <si>
    <t>Pulp/juice</t>
  </si>
  <si>
    <t>Vacuum deaeration</t>
  </si>
  <si>
    <t>deaerated juice</t>
  </si>
  <si>
    <t>Deaerator</t>
  </si>
  <si>
    <t>Vacuum deaerator</t>
  </si>
  <si>
    <t>pasteurized juice</t>
  </si>
  <si>
    <t>Pasteurizer</t>
  </si>
  <si>
    <t>Plate or tubularpasteurizer</t>
  </si>
  <si>
    <t>clean can</t>
  </si>
  <si>
    <t>Can washer</t>
  </si>
  <si>
    <t>Hot can filling</t>
  </si>
  <si>
    <t>Canned juice</t>
  </si>
  <si>
    <t>Can filler</t>
  </si>
  <si>
    <t>Hot‑fill can filler</t>
  </si>
  <si>
    <t>Heat sterilization</t>
  </si>
  <si>
    <t>Sterilized juice</t>
  </si>
  <si>
    <t>Retort or UHT sterilizer</t>
  </si>
  <si>
    <t>Cooled juice</t>
  </si>
  <si>
    <t>Fruit and vegetable Juice</t>
  </si>
  <si>
    <t>Iron Foundries (331511)</t>
  </si>
  <si>
    <t>Iron Foundry (Cupola)</t>
  </si>
  <si>
    <t>Melting and heat treating</t>
  </si>
  <si>
    <t>Molten iron</t>
  </si>
  <si>
    <t>Coke‑fired cupola furnace</t>
  </si>
  <si>
    <t>per tonne of cast iron</t>
  </si>
  <si>
    <t>Moldmaking and baking</t>
  </si>
  <si>
    <t>Sand molds</t>
  </si>
  <si>
    <t>Baking oven</t>
  </si>
  <si>
    <t>Fuel/gas fired ovens</t>
  </si>
  <si>
    <t>150-250</t>
  </si>
  <si>
    <t>Mold drying</t>
  </si>
  <si>
    <t>Dried molds</t>
  </si>
  <si>
    <t>Hot air drying ovens</t>
  </si>
  <si>
    <t>100-125</t>
  </si>
  <si>
    <t>Casting and finishing</t>
  </si>
  <si>
    <t>solid iron castings</t>
  </si>
  <si>
    <t>Casting line</t>
  </si>
  <si>
    <t>Pouring ladles and molds</t>
  </si>
  <si>
    <t>1300-1400</t>
  </si>
  <si>
    <t>Finished castings</t>
  </si>
  <si>
    <t>Finishing machines</t>
  </si>
  <si>
    <t>Grinders, shot‑blast,fettling motors</t>
  </si>
  <si>
    <t>25-40</t>
  </si>
  <si>
    <t>Compressed air</t>
  </si>
  <si>
    <t>centrifugal/screw compressor</t>
  </si>
  <si>
    <t>Iron Foundry (Induction/Electric)</t>
  </si>
  <si>
    <t>Induction/electricmelting furnace</t>
  </si>
  <si>
    <t>Fuel/electric ovens</t>
  </si>
  <si>
    <t>Steel Foundries (except Investment) (331513)</t>
  </si>
  <si>
    <t>Steel Foundry (Electric/Induction)</t>
  </si>
  <si>
    <t>Molten steel</t>
  </si>
  <si>
    <t>Induction/electric furnaces</t>
  </si>
  <si>
    <t>1371-1540</t>
  </si>
  <si>
    <t>per tonne of cast steel</t>
  </si>
  <si>
    <t>Physical separation</t>
  </si>
  <si>
    <t>Dust collection</t>
  </si>
  <si>
    <t>Dust</t>
  </si>
  <si>
    <t>Fan</t>
  </si>
  <si>
    <t>Baghouse fans,dust‑collector blowers</t>
  </si>
  <si>
    <t>250-400</t>
  </si>
  <si>
    <t>Crane charging</t>
  </si>
  <si>
    <t>Scarp/alloys</t>
  </si>
  <si>
    <t>Charging crane</t>
  </si>
  <si>
    <t>Electric overheadcrane</t>
  </si>
  <si>
    <t>20-26</t>
  </si>
  <si>
    <t>Sand mixing</t>
  </si>
  <si>
    <t>Molding sand</t>
  </si>
  <si>
    <t>Sand mixer</t>
  </si>
  <si>
    <t>Blasting</t>
  </si>
  <si>
    <t>Shot blasting</t>
  </si>
  <si>
    <t>Cleaned steel casting</t>
  </si>
  <si>
    <t>Blasting machine</t>
  </si>
  <si>
    <t>Shot‑blast machine</t>
  </si>
  <si>
    <t>Cooling tower</t>
  </si>
  <si>
    <t>Chilled water</t>
  </si>
  <si>
    <t>-5.5-8.0</t>
  </si>
  <si>
    <t>finished steel casting</t>
  </si>
  <si>
    <t>Motors</t>
  </si>
  <si>
    <t>Sawmills (321113)</t>
  </si>
  <si>
    <t>Saw Mill - Dry Lumber</t>
  </si>
  <si>
    <t>Cleaned logs</t>
  </si>
  <si>
    <t>Log/lumber washer</t>
  </si>
  <si>
    <t>per tonne of dry lumber</t>
  </si>
  <si>
    <t>Debarking</t>
  </si>
  <si>
    <t>debarked logs</t>
  </si>
  <si>
    <t>Debarking machine</t>
  </si>
  <si>
    <t>Sawing</t>
  </si>
  <si>
    <t>Rough sawn boards</t>
  </si>
  <si>
    <t>Motorized saw</t>
  </si>
  <si>
    <t>Saw motor sand drives</t>
  </si>
  <si>
    <t>Smoothening</t>
  </si>
  <si>
    <t>Edger</t>
  </si>
  <si>
    <t>Surfaced lumber</t>
  </si>
  <si>
    <t>Edger saw</t>
  </si>
  <si>
    <t>Trimming</t>
  </si>
  <si>
    <t>Cut boards</t>
  </si>
  <si>
    <t>Triming saws, converyors</t>
  </si>
  <si>
    <t>Chipping</t>
  </si>
  <si>
    <t>Wood chipper</t>
  </si>
  <si>
    <t>Drying kiln</t>
  </si>
  <si>
    <t>Kiln‑dried lumber</t>
  </si>
  <si>
    <t>Steam‑ or gas‑firedlumber kiln + boiler</t>
  </si>
  <si>
    <t>49-88</t>
  </si>
  <si>
    <t>Planning</t>
  </si>
  <si>
    <t>Planed, dimensioned lumber</t>
  </si>
  <si>
    <t>Planer/moulder</t>
  </si>
  <si>
    <t>Final Trimming</t>
  </si>
  <si>
    <t>Final sized and graded dry lumber</t>
  </si>
  <si>
    <t>Saw Mill - Green Lumber</t>
  </si>
  <si>
    <t>per tonne of green lumber</t>
  </si>
  <si>
    <t>Final green lumber</t>
  </si>
  <si>
    <t>BTX extraction from pygas</t>
  </si>
  <si>
    <t>Hydrogenation</t>
  </si>
  <si>
    <t xml:space="preserve">Pygas Hydrogenation </t>
  </si>
  <si>
    <t>Hydrotreated pygas</t>
  </si>
  <si>
    <t>Fired hydrogenation reactor(trickle‑bed + heater)</t>
  </si>
  <si>
    <t>280-330</t>
  </si>
  <si>
    <t>25-30</t>
  </si>
  <si>
    <t>per tonne of BTX aromatics</t>
  </si>
  <si>
    <t>400-450</t>
  </si>
  <si>
    <t>40-65</t>
  </si>
  <si>
    <t xml:space="preserve">BTX Extraction </t>
  </si>
  <si>
    <t>Aromatic‑rich extract</t>
  </si>
  <si>
    <t>Extraction column</t>
  </si>
  <si>
    <t>Liquid–liquid solventextractor</t>
  </si>
  <si>
    <t>30-40</t>
  </si>
  <si>
    <t>0.4-9</t>
  </si>
  <si>
    <t>Fractionation</t>
  </si>
  <si>
    <t xml:space="preserve">Xylene fractionation </t>
  </si>
  <si>
    <t>benzene, toluene, and xylene (BTX)</t>
  </si>
  <si>
    <t>BTX and solvent‑recoverydistillation columns</t>
  </si>
  <si>
    <t>BTX extraction from reformate</t>
  </si>
  <si>
    <t>Aromatic extract (BTX)</t>
  </si>
  <si>
    <t>Sulfolane (or similar)aromatics extractor</t>
  </si>
  <si>
    <t>Purified BTX</t>
  </si>
  <si>
    <t xml:space="preserve">Aromatics fractionation /solvent recovery columns </t>
  </si>
  <si>
    <t>Toluene disproportionation (TDP)</t>
  </si>
  <si>
    <t>Disproportionation</t>
  </si>
  <si>
    <t xml:space="preserve">benzene and mixed xylenes </t>
  </si>
  <si>
    <t xml:space="preserve">Fixed‑bed reactor with fired heater </t>
  </si>
  <si>
    <t>350-530</t>
  </si>
  <si>
    <t>10-50</t>
  </si>
  <si>
    <t>Toluene hydrodealkylation (HDA)</t>
  </si>
  <si>
    <t>benzene</t>
  </si>
  <si>
    <t>High‑temperature hydrodealkylation reactor furnace</t>
  </si>
  <si>
    <t>500-660</t>
  </si>
  <si>
    <t>20-60</t>
  </si>
  <si>
    <t>Automobiles and Light Duty Motor Vehicle (336110)</t>
  </si>
  <si>
    <t>Automobile Assembly</t>
  </si>
  <si>
    <t>Welding</t>
  </si>
  <si>
    <t>Robotic Spot Welding</t>
  </si>
  <si>
    <t>Spot welded chasis</t>
  </si>
  <si>
    <t>Welding Machine</t>
  </si>
  <si>
    <t>Resistance Spot Welder (RSW)</t>
  </si>
  <si>
    <t>per Vehicle Unit</t>
  </si>
  <si>
    <t>Ventilation</t>
  </si>
  <si>
    <t>Welding Fume Extraction</t>
  </si>
  <si>
    <t>Chasis, Welding fumes</t>
  </si>
  <si>
    <t>Exhaust Fans</t>
  </si>
  <si>
    <t>Fume Extraction System / Exhaust Fan</t>
  </si>
  <si>
    <t>Robot Arm Material Handling</t>
  </si>
  <si>
    <t>Chasis</t>
  </si>
  <si>
    <t>Handling Robot / Conveyor</t>
  </si>
  <si>
    <t>Painting</t>
  </si>
  <si>
    <t>Paint Booth Spray Atomizer</t>
  </si>
  <si>
    <t>Chasis, Oven-sprayed paint</t>
  </si>
  <si>
    <t>Paint Sprayer</t>
  </si>
  <si>
    <t>Paint Spray Atomizer / Electrostatic Spray Gun</t>
  </si>
  <si>
    <t>Air Housing Units Paint Booths</t>
  </si>
  <si>
    <t>Air Housing Units</t>
  </si>
  <si>
    <t>Air Supply Unit (ASU)</t>
  </si>
  <si>
    <t>Makeup Air Units Paint Booths</t>
  </si>
  <si>
    <t>Makeup Air Units</t>
  </si>
  <si>
    <t>Makeup Air Unit / Air Regeneration Unit (ARU)</t>
  </si>
  <si>
    <t>Drying paint spray booth</t>
  </si>
  <si>
    <t>Paint Booth (performing flash-off)</t>
  </si>
  <si>
    <t>Electrocoating Oven</t>
  </si>
  <si>
    <t>Convection Oven</t>
  </si>
  <si>
    <t>Primer and Sealing Oven</t>
  </si>
  <si>
    <t>Top Coat Oven</t>
  </si>
  <si>
    <t>Convection Oven / Infrared (IR) Curing Oven</t>
  </si>
  <si>
    <t>Cured Chasis Cooling</t>
  </si>
  <si>
    <t>Plastics Basecoat/Clearcoat Oven</t>
  </si>
  <si>
    <t>UV Curing Oven / Convection Oven</t>
  </si>
  <si>
    <t>VOC Destruction</t>
  </si>
  <si>
    <t>Outlet VOCs</t>
  </si>
  <si>
    <t>RTO</t>
  </si>
  <si>
    <t>Regenerative Thermal Oxidizer (RTO)</t>
  </si>
  <si>
    <t>Iron and Steel Forging (332111)</t>
  </si>
  <si>
    <t>Iron and Steel Forging</t>
  </si>
  <si>
    <t>Billets</t>
  </si>
  <si>
    <t>CNCs or Hydraulic Shear</t>
  </si>
  <si>
    <t>per ton of product</t>
  </si>
  <si>
    <t>Pre-forging</t>
  </si>
  <si>
    <t>Pre-heating</t>
  </si>
  <si>
    <t>Heat Billets</t>
  </si>
  <si>
    <t>Gas-fired slot furnaces</t>
  </si>
  <si>
    <t>Forging</t>
  </si>
  <si>
    <t>Open die, closed die or ring roller forging</t>
  </si>
  <si>
    <t>Forged Parts</t>
  </si>
  <si>
    <t>Presses</t>
  </si>
  <si>
    <t>Mechanical/Hydraulic Press</t>
  </si>
  <si>
    <t>Heat treatment</t>
  </si>
  <si>
    <t>Normalizing, cycle annealing, quenching, and tempering</t>
  </si>
  <si>
    <t>Treated Forged Parts</t>
  </si>
  <si>
    <t>Quench tanks and tempering furnaces</t>
  </si>
  <si>
    <t>Machining</t>
  </si>
  <si>
    <t>Final Iron and Steel Forged Product</t>
  </si>
  <si>
    <t>CNCs and Centrifugal wheel blast systems</t>
  </si>
  <si>
    <t>All manufacturing industries (311 - 339)</t>
  </si>
  <si>
    <t>Direct Uses - Total Nonprocess</t>
  </si>
  <si>
    <t>Non-Process</t>
  </si>
  <si>
    <t>HVAC</t>
  </si>
  <si>
    <t>Facility Heating, Ventilation, and Air Conditioning</t>
  </si>
  <si>
    <t>All products</t>
  </si>
  <si>
    <t xml:space="preserve"> Air conditiong (heat/cool), ventilators, thermostats, sensors, etc.</t>
  </si>
  <si>
    <t>Lighting</t>
  </si>
  <si>
    <t>lights</t>
  </si>
  <si>
    <t>LED  panels, chip-on-board lights, fluorescent tubes</t>
  </si>
  <si>
    <t>Facility support</t>
  </si>
  <si>
    <t>Elevator Operation</t>
  </si>
  <si>
    <t>Elevators</t>
  </si>
  <si>
    <t>Kitchen appliances,</t>
  </si>
  <si>
    <t>Oven, microwave</t>
  </si>
  <si>
    <t>Office Equipment</t>
  </si>
  <si>
    <t>Office Appliances</t>
  </si>
  <si>
    <t>Printers, shredders, Copier machine</t>
  </si>
  <si>
    <t>Water Heating</t>
  </si>
  <si>
    <t>Water Heaters</t>
  </si>
  <si>
    <t>Heated water for non-HVAC use</t>
  </si>
  <si>
    <t>Transportation</t>
  </si>
  <si>
    <t>Onsite transport, electric/fuel driven</t>
  </si>
  <si>
    <t>Vehicles</t>
  </si>
  <si>
    <t>battery operated and gas operated vehicles</t>
  </si>
  <si>
    <t>Total</t>
  </si>
  <si>
    <t xml:space="preserve">Non-energy </t>
  </si>
  <si>
    <t>Fuel</t>
  </si>
  <si>
    <t>for Steam</t>
  </si>
  <si>
    <t>Tempering</t>
  </si>
  <si>
    <t>Spaec heating</t>
  </si>
  <si>
    <t>Total energy</t>
  </si>
  <si>
    <t>Temp.</t>
  </si>
  <si>
    <t>Direct fired rotary dryers</t>
  </si>
  <si>
    <t>Double drum hot roll dryers</t>
  </si>
  <si>
    <t>&lt; 100°C</t>
  </si>
  <si>
    <t>≥ 100 - 149°C</t>
  </si>
  <si>
    <t>≥ 150°C</t>
  </si>
  <si>
    <t>Normalized value, total energy &lt; 0 is 0</t>
  </si>
  <si>
    <t>Cost Analysis</t>
  </si>
  <si>
    <t>Normalized value, energy cost &lt; 0 is 0</t>
  </si>
  <si>
    <t>Unit Operations</t>
  </si>
  <si>
    <t>Total Annual energy demand</t>
  </si>
  <si>
    <t>Annual non-energy use demand</t>
  </si>
  <si>
    <t>Annual electricity demand</t>
  </si>
  <si>
    <t>Annual fuels demand</t>
  </si>
  <si>
    <t>Annual fuels or electricity for steam or steam from CHP demand</t>
  </si>
  <si>
    <t>Utility</t>
  </si>
  <si>
    <t>Cost
$/PJ</t>
  </si>
  <si>
    <t>% of total energy</t>
  </si>
  <si>
    <t>Unit Operation</t>
  </si>
  <si>
    <t>% of total cost</t>
  </si>
  <si>
    <t>Electricity Cost</t>
  </si>
  <si>
    <t>Fuel Cost</t>
  </si>
  <si>
    <t>Steam Cost</t>
  </si>
  <si>
    <t>Steam Price</t>
  </si>
  <si>
    <t>$</t>
  </si>
  <si>
    <t>Air Separation</t>
  </si>
  <si>
    <t>Electricity Price</t>
  </si>
  <si>
    <t>Fuel Price</t>
  </si>
  <si>
    <t>% Share</t>
  </si>
  <si>
    <t>Price</t>
  </si>
  <si>
    <t>$/PJ</t>
  </si>
  <si>
    <t>Natural gas</t>
  </si>
  <si>
    <t>$2.91 /million btu</t>
  </si>
  <si>
    <t>Byproduct Fuel</t>
  </si>
  <si>
    <t>$/btu</t>
  </si>
  <si>
    <t>$2.51/million btu</t>
  </si>
  <si>
    <t>Dist/Resid Fuel</t>
  </si>
  <si>
    <t>HGL</t>
  </si>
  <si>
    <t>Other fuels</t>
  </si>
  <si>
    <t>Chemical Preparation</t>
  </si>
  <si>
    <t>Compressed Air</t>
  </si>
  <si>
    <t>High P/T Reactor</t>
  </si>
  <si>
    <t>Packing</t>
  </si>
  <si>
    <t>Total (PJ)</t>
  </si>
  <si>
    <t xml:space="preserve">Total </t>
  </si>
  <si>
    <t>CASE 1: DRYING</t>
  </si>
  <si>
    <t>Dryer Info</t>
  </si>
  <si>
    <t>Energy (PJ)</t>
  </si>
  <si>
    <t>Temperature (degC)</t>
  </si>
  <si>
    <t>Distillation info</t>
  </si>
  <si>
    <t>Ethanol Distillation</t>
  </si>
  <si>
    <t>Distillation Type</t>
  </si>
  <si>
    <t>% Energy Share</t>
  </si>
  <si>
    <t>Cryogenic Distillation</t>
  </si>
  <si>
    <t xml:space="preserve">Atmospheric Distillation </t>
  </si>
  <si>
    <t>Vacuum Distillation Unit</t>
  </si>
  <si>
    <t>Temperature Range</t>
  </si>
  <si>
    <t>Pnuematic dryer</t>
  </si>
  <si>
    <t>Common Dryer Name</t>
  </si>
  <si>
    <t>Flash dryer</t>
  </si>
  <si>
    <t>Air separator</t>
  </si>
  <si>
    <t>Multicylinder dryer</t>
  </si>
  <si>
    <t>Rotary dryer</t>
  </si>
  <si>
    <t>Direct air fired heater</t>
  </si>
  <si>
    <t>Indirect heat exchanger</t>
  </si>
  <si>
    <t>Sawmills</t>
  </si>
  <si>
    <t>F</t>
  </si>
  <si>
    <t>Btu/lb</t>
  </si>
  <si>
    <t>C</t>
  </si>
  <si>
    <t>GJ/t</t>
  </si>
  <si>
    <t xml:space="preserve">Total intensity </t>
  </si>
  <si>
    <t>Wood conditioning</t>
  </si>
  <si>
    <t>Digestion/Refining</t>
  </si>
  <si>
    <t>Flash drying</t>
  </si>
  <si>
    <t>Formation</t>
  </si>
  <si>
    <t>Pressing</t>
  </si>
  <si>
    <t>Stabilization/Drying</t>
  </si>
  <si>
    <t>Percent Annual energy demand in 2022</t>
  </si>
  <si>
    <t>Percent Annual non-energy use demand in 2022</t>
  </si>
  <si>
    <t>Percent Annual electricity demand in 2022</t>
  </si>
  <si>
    <t>Perent Annual fuels demand in 2022</t>
  </si>
  <si>
    <t>Percent Annual fuels or electricity for steam or steam from CHP demand in 2022</t>
  </si>
  <si>
    <t>NAICS Level 2</t>
  </si>
  <si>
    <t>NAICS Level 1</t>
  </si>
  <si>
    <t>Chemical Manufacturing (325)</t>
  </si>
  <si>
    <t>Nonmetallic Mineral Product Manufacturing (327)</t>
  </si>
  <si>
    <t>Food Manufacturing (311)</t>
  </si>
  <si>
    <t>Beverage and Tobacco Product Manufacturing (312)</t>
  </si>
  <si>
    <t>Primary Metal Manufacturing (331)</t>
  </si>
  <si>
    <t>Paper Manufacturing (322)</t>
  </si>
  <si>
    <t>Petroleum and Coal Products Manufacturing (324)</t>
  </si>
  <si>
    <t>Wood Product Manufacturing (321)</t>
  </si>
  <si>
    <t>Transportation Equipment Manufacturing (336)</t>
  </si>
  <si>
    <t>Fabricated Metal Product Manufacturing (332)</t>
  </si>
  <si>
    <t>Process Temperature for Webpage</t>
  </si>
  <si>
    <t>311 - 339</t>
  </si>
  <si>
    <t>NAICS Level 2 Code Number</t>
  </si>
  <si>
    <t>Modified SEC</t>
  </si>
  <si>
    <t>Modified SEC 
non-energy use</t>
  </si>
  <si>
    <t>Modified SEC 
electricity</t>
  </si>
  <si>
    <t>Modified SEC 
fuels</t>
  </si>
  <si>
    <t>Modified SEC 
fuels or electricity for steam or steam from CHP</t>
  </si>
  <si>
    <t>Modified Annual energy demand in 2022</t>
  </si>
  <si>
    <t>Modified Annual non-energy use demand in 2022</t>
  </si>
  <si>
    <t>Modified Annual electricity demand in 2022</t>
  </si>
  <si>
    <t>Modified Annual fuels demand in 2022</t>
  </si>
  <si>
    <t>Modified Annual fuels or electricity for steam or steam from CHP demand in 2022</t>
  </si>
  <si>
    <t>Percent Coverage of NAICS (3-digit) Sector</t>
  </si>
  <si>
    <r>
      <rPr>
        <i/>
        <vertAlign val="superscript"/>
        <sz val="11"/>
        <color rgb="FFFF0000"/>
        <rFont val="Arial"/>
        <family val="2"/>
      </rPr>
      <t>o</t>
    </r>
    <r>
      <rPr>
        <i/>
        <sz val="11"/>
        <color rgb="FFFF0000"/>
        <rFont val="Arial"/>
        <family val="2"/>
      </rPr>
      <t>C</t>
    </r>
  </si>
  <si>
    <t>25-25</t>
  </si>
  <si>
    <t>4-30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</si>
</sst>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000"/>
    <numFmt numFmtId="166" formatCode="0.0000%"/>
    <numFmt numFmtId="167" formatCode="&quot;$&quot;#,##0"/>
  </numFmts>
  <fonts count="26" x14ac:knownFonts="1">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b/>
      <u/>
      <sz val="11"/>
      <color theme="1"/>
      <name val="Arial"/>
      <family val="2"/>
    </font>
    <font>
      <b/>
      <sz val="11"/>
      <color theme="1"/>
      <name val="Arial"/>
      <family val="2"/>
    </font>
    <font>
      <sz val="11"/>
      <color theme="1"/>
      <name val="Arial"/>
      <family val="2"/>
    </font>
    <font>
      <i/>
      <sz val="11"/>
      <color theme="1"/>
      <name val="Arial"/>
      <family val="2"/>
    </font>
    <font>
      <sz val="11"/>
      <color rgb="FFFF0000"/>
      <name val="Calibri"/>
      <family val="2"/>
    </font>
    <font>
      <sz val="11"/>
      <color theme="1"/>
      <name val="Aptos"/>
      <family val="2"/>
    </font>
    <font>
      <sz val="11"/>
      <color theme="1"/>
      <name val="Calibri"/>
      <family val="2"/>
    </font>
    <font>
      <sz val="11"/>
      <color rgb="FF000000"/>
      <name val="Calibri"/>
      <family val="2"/>
    </font>
    <font>
      <b/>
      <sz val="11"/>
      <color rgb="FF000000"/>
      <name val="Calibri"/>
      <family val="2"/>
    </font>
    <font>
      <b/>
      <sz val="11"/>
      <color theme="1"/>
      <name val="Calibri"/>
      <family val="2"/>
    </font>
    <font>
      <sz val="11"/>
      <color rgb="FF000000"/>
      <name val="Aptos"/>
      <family val="2"/>
    </font>
    <font>
      <sz val="11"/>
      <color rgb="FFFF0000"/>
      <name val="Aptos"/>
      <family val="2"/>
    </font>
    <font>
      <sz val="11"/>
      <color rgb="FFD8D8D8"/>
      <name val="Calibri"/>
      <family val="2"/>
    </font>
    <font>
      <i/>
      <vertAlign val="superscript"/>
      <sz val="11"/>
      <color theme="1"/>
      <name val="Arial"/>
      <family val="2"/>
    </font>
    <font>
      <u/>
      <sz val="11"/>
      <color theme="1"/>
      <name val="Arial"/>
      <family val="2"/>
    </font>
    <font>
      <sz val="11"/>
      <color theme="1"/>
      <name val="Arial"/>
      <family val="2"/>
    </font>
    <font>
      <sz val="9"/>
      <color indexed="81"/>
      <name val="Tahoma"/>
      <family val="2"/>
    </font>
    <font>
      <b/>
      <sz val="9"/>
      <color indexed="81"/>
      <name val="Tahoma"/>
      <family val="2"/>
    </font>
    <font>
      <b/>
      <sz val="11"/>
      <color theme="1"/>
      <name val="Calibri"/>
      <family val="2"/>
      <scheme val="minor"/>
    </font>
    <font>
      <b/>
      <sz val="11"/>
      <color rgb="FFFF0000"/>
      <name val="Arial"/>
      <family val="2"/>
    </font>
    <font>
      <i/>
      <sz val="11"/>
      <color rgb="FFFF0000"/>
      <name val="Arial"/>
      <family val="2"/>
    </font>
    <font>
      <i/>
      <vertAlign val="superscript"/>
      <sz val="11"/>
      <color rgb="FFFF0000"/>
      <name val="Arial"/>
      <family val="2"/>
    </font>
  </fonts>
  <fills count="4">
    <fill>
      <patternFill patternType="none"/>
    </fill>
    <fill>
      <patternFill patternType="gray125"/>
    </fill>
    <fill>
      <patternFill patternType="solid">
        <fgColor rgb="FFFFFF00"/>
        <bgColor rgb="FFFFFF00"/>
      </patternFill>
    </fill>
    <fill>
      <patternFill patternType="solid">
        <fgColor rgb="FFFFFF00"/>
        <bgColor indexed="64"/>
      </patternFill>
    </fill>
  </fills>
  <borders count="24">
    <border>
      <left/>
      <right/>
      <top/>
      <bottom/>
      <diagonal/>
    </border>
    <border>
      <left/>
      <right/>
      <top/>
      <bottom style="thin">
        <color rgb="FF000000"/>
      </bottom>
      <diagonal/>
    </border>
    <border>
      <left/>
      <right style="thin">
        <color rgb="FF000000"/>
      </right>
      <top/>
      <bottom style="thin">
        <color rgb="FF000000"/>
      </bottom>
      <diagonal/>
    </border>
    <border>
      <left style="thin">
        <color rgb="FF000000"/>
      </left>
      <right/>
      <top/>
      <bottom style="thin">
        <color rgb="FF000000"/>
      </bottom>
      <diagonal/>
    </border>
    <border>
      <left/>
      <right/>
      <top/>
      <bottom/>
      <diagonal/>
    </border>
    <border>
      <left style="thin">
        <color rgb="FF000000"/>
      </left>
      <right/>
      <top/>
      <bottom/>
      <diagonal/>
    </border>
    <border>
      <left/>
      <right style="thin">
        <color rgb="FF000000"/>
      </right>
      <top/>
      <bottom/>
      <diagonal/>
    </border>
    <border>
      <left/>
      <right/>
      <top style="thin">
        <color rgb="FF000000"/>
      </top>
      <bottom/>
      <diagonal/>
    </border>
    <border>
      <left/>
      <right style="thin">
        <color rgb="FF000000"/>
      </right>
      <top style="thin">
        <color rgb="FF000000"/>
      </top>
      <bottom/>
      <diagonal/>
    </border>
    <border>
      <left/>
      <right/>
      <top/>
      <bottom style="thin">
        <color rgb="FF000000"/>
      </bottom>
      <diagonal/>
    </border>
    <border>
      <left/>
      <right style="thin">
        <color rgb="FF000000"/>
      </right>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style="thin">
        <color rgb="FF000000"/>
      </top>
      <bottom/>
      <diagonal/>
    </border>
    <border>
      <left style="thin">
        <color rgb="FF000000"/>
      </left>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indexed="64"/>
      </right>
      <top/>
      <bottom/>
      <diagonal/>
    </border>
    <border>
      <left/>
      <right/>
      <top/>
      <bottom style="thin">
        <color indexed="64"/>
      </bottom>
      <diagonal/>
    </border>
    <border>
      <left/>
      <right/>
      <top style="thin">
        <color indexed="64"/>
      </top>
      <bottom/>
      <diagonal/>
    </border>
  </borders>
  <cellStyleXfs count="2">
    <xf numFmtId="0" fontId="0" fillId="0" borderId="0"/>
    <xf numFmtId="0" fontId="3" fillId="0" borderId="4"/>
  </cellStyleXfs>
  <cellXfs count="313">
    <xf numFmtId="0" fontId="0" fillId="0" borderId="0" xfId="0" applyFont="1" applyAlignment="1"/>
    <xf numFmtId="0" fontId="6" fillId="0" borderId="0" xfId="0" applyFont="1"/>
    <xf numFmtId="0" fontId="8" fillId="0" borderId="0" xfId="0" applyFont="1"/>
    <xf numFmtId="0" fontId="9" fillId="0" borderId="0" xfId="0" applyFont="1"/>
    <xf numFmtId="0" fontId="9" fillId="0" borderId="14" xfId="0" applyFont="1" applyBorder="1" applyAlignment="1">
      <alignment horizontal="left"/>
    </xf>
    <xf numFmtId="0" fontId="9" fillId="0" borderId="0" xfId="0" applyFont="1" applyAlignment="1">
      <alignment horizontal="left"/>
    </xf>
    <xf numFmtId="164" fontId="9" fillId="0" borderId="0" xfId="0" applyNumberFormat="1" applyFont="1" applyAlignment="1">
      <alignment horizontal="left"/>
    </xf>
    <xf numFmtId="0" fontId="9" fillId="0" borderId="15" xfId="0" applyFont="1" applyBorder="1" applyAlignment="1">
      <alignment horizontal="left"/>
    </xf>
    <xf numFmtId="164" fontId="9" fillId="0" borderId="15" xfId="0" applyNumberFormat="1" applyFont="1" applyBorder="1" applyAlignment="1">
      <alignment horizontal="left"/>
    </xf>
    <xf numFmtId="0" fontId="9" fillId="0" borderId="15" xfId="0" applyFont="1" applyBorder="1"/>
    <xf numFmtId="0" fontId="10" fillId="2" borderId="4" xfId="0" applyFont="1" applyFill="1" applyBorder="1"/>
    <xf numFmtId="0" fontId="10" fillId="0" borderId="0" xfId="0" applyFont="1"/>
    <xf numFmtId="0" fontId="11" fillId="0" borderId="0" xfId="0" applyFont="1"/>
    <xf numFmtId="0" fontId="10" fillId="0" borderId="0" xfId="0" applyFont="1" applyAlignment="1">
      <alignment horizontal="right"/>
    </xf>
    <xf numFmtId="0" fontId="11" fillId="0" borderId="0" xfId="0" applyFont="1" applyAlignment="1">
      <alignment horizontal="right"/>
    </xf>
    <xf numFmtId="0" fontId="12" fillId="0" borderId="0" xfId="0" applyFont="1" applyAlignment="1">
      <alignment horizontal="left"/>
    </xf>
    <xf numFmtId="0" fontId="12" fillId="0" borderId="0" xfId="0" applyFont="1"/>
    <xf numFmtId="0" fontId="13" fillId="0" borderId="0" xfId="0" applyFont="1" applyAlignment="1">
      <alignment horizontal="right"/>
    </xf>
    <xf numFmtId="0" fontId="10" fillId="0" borderId="0" xfId="0" applyFont="1" applyAlignment="1">
      <alignment vertical="center"/>
    </xf>
    <xf numFmtId="0" fontId="11" fillId="0" borderId="0" xfId="0" applyFont="1" applyAlignment="1">
      <alignment vertical="center"/>
    </xf>
    <xf numFmtId="0" fontId="12" fillId="0" borderId="0" xfId="0" applyFont="1" applyAlignment="1">
      <alignment horizontal="right" vertical="center"/>
    </xf>
    <xf numFmtId="0" fontId="12" fillId="0" borderId="0" xfId="0" applyFont="1" applyAlignment="1">
      <alignment vertical="center" wrapText="1"/>
    </xf>
    <xf numFmtId="0" fontId="12" fillId="0" borderId="0" xfId="0" applyFont="1" applyAlignment="1">
      <alignment vertical="center"/>
    </xf>
    <xf numFmtId="0" fontId="12" fillId="0" borderId="0" xfId="0" applyFont="1" applyAlignment="1">
      <alignment horizontal="right" vertical="center" wrapText="1"/>
    </xf>
    <xf numFmtId="0" fontId="13" fillId="0" borderId="0" xfId="0" applyFont="1" applyAlignment="1">
      <alignment horizontal="right" vertical="center"/>
    </xf>
    <xf numFmtId="0" fontId="13" fillId="0" borderId="0" xfId="0" applyFont="1" applyAlignment="1">
      <alignment vertical="center" wrapText="1"/>
    </xf>
    <xf numFmtId="0" fontId="11" fillId="0" borderId="0" xfId="0" applyFont="1" applyAlignment="1">
      <alignment horizontal="center"/>
    </xf>
    <xf numFmtId="0" fontId="10" fillId="0" borderId="0" xfId="0" applyFont="1" applyAlignment="1">
      <alignment horizontal="center"/>
    </xf>
    <xf numFmtId="166" fontId="11" fillId="0" borderId="0" xfId="0" applyNumberFormat="1" applyFont="1" applyAlignment="1">
      <alignment horizontal="right"/>
    </xf>
    <xf numFmtId="10" fontId="10" fillId="0" borderId="0" xfId="0" applyNumberFormat="1" applyFont="1"/>
    <xf numFmtId="167" fontId="10" fillId="0" borderId="0" xfId="0" applyNumberFormat="1" applyFont="1"/>
    <xf numFmtId="0" fontId="14" fillId="0" borderId="0" xfId="0" applyFont="1" applyAlignment="1">
      <alignment horizontal="right"/>
    </xf>
    <xf numFmtId="0" fontId="8" fillId="0" borderId="0" xfId="0" applyFont="1" applyAlignment="1">
      <alignment horizontal="right"/>
    </xf>
    <xf numFmtId="167" fontId="8" fillId="0" borderId="0" xfId="0" applyNumberFormat="1" applyFont="1"/>
    <xf numFmtId="0" fontId="12" fillId="0" borderId="0" xfId="0" applyFont="1" applyAlignment="1">
      <alignment horizontal="right"/>
    </xf>
    <xf numFmtId="10" fontId="11" fillId="0" borderId="0" xfId="0" applyNumberFormat="1" applyFont="1" applyAlignment="1">
      <alignment horizontal="right"/>
    </xf>
    <xf numFmtId="9" fontId="10" fillId="0" borderId="0" xfId="0" applyNumberFormat="1" applyFont="1"/>
    <xf numFmtId="0" fontId="13" fillId="0" borderId="0" xfId="0" applyFont="1"/>
    <xf numFmtId="0" fontId="15" fillId="0" borderId="0" xfId="0" applyFont="1"/>
    <xf numFmtId="0" fontId="14" fillId="0" borderId="0" xfId="0" applyFont="1"/>
    <xf numFmtId="10" fontId="10" fillId="0" borderId="0" xfId="0" applyNumberFormat="1" applyFont="1" applyAlignment="1">
      <alignment horizontal="right"/>
    </xf>
    <xf numFmtId="0" fontId="13" fillId="0" borderId="1" xfId="0" applyFont="1" applyBorder="1"/>
    <xf numFmtId="0" fontId="16" fillId="0" borderId="0" xfId="0" applyFont="1"/>
    <xf numFmtId="0" fontId="0" fillId="0" borderId="0" xfId="0" applyFont="1" applyAlignment="1"/>
    <xf numFmtId="0" fontId="5" fillId="0" borderId="4" xfId="0" applyFont="1" applyFill="1" applyBorder="1" applyAlignment="1">
      <alignment vertical="top" wrapText="1"/>
    </xf>
    <xf numFmtId="0" fontId="5" fillId="0" borderId="5" xfId="0" applyFont="1" applyFill="1" applyBorder="1" applyAlignment="1">
      <alignment horizontal="left" vertical="top" wrapText="1"/>
    </xf>
    <xf numFmtId="0" fontId="5" fillId="0" borderId="4" xfId="0" applyFont="1" applyFill="1" applyBorder="1" applyAlignment="1">
      <alignment horizontal="left" vertical="top" wrapText="1"/>
    </xf>
    <xf numFmtId="164" fontId="5" fillId="0" borderId="4" xfId="0" applyNumberFormat="1" applyFont="1" applyFill="1" applyBorder="1" applyAlignment="1">
      <alignment horizontal="left" vertical="top" wrapText="1"/>
    </xf>
    <xf numFmtId="0" fontId="5" fillId="0" borderId="6" xfId="0" applyFont="1" applyFill="1" applyBorder="1" applyAlignment="1">
      <alignment horizontal="left" vertical="top" wrapText="1"/>
    </xf>
    <xf numFmtId="164" fontId="5" fillId="0" borderId="6" xfId="0" applyNumberFormat="1" applyFont="1" applyFill="1" applyBorder="1" applyAlignment="1">
      <alignment horizontal="left" vertical="top" wrapText="1"/>
    </xf>
    <xf numFmtId="0" fontId="7" fillId="0" borderId="4" xfId="0" applyFont="1" applyFill="1" applyBorder="1" applyAlignment="1">
      <alignment vertical="top" wrapText="1"/>
    </xf>
    <xf numFmtId="0" fontId="7" fillId="0" borderId="5" xfId="0" applyFont="1" applyFill="1" applyBorder="1" applyAlignment="1">
      <alignment horizontal="left" vertical="top" wrapText="1"/>
    </xf>
    <xf numFmtId="0" fontId="7" fillId="0" borderId="4" xfId="0" applyFont="1" applyFill="1" applyBorder="1" applyAlignment="1">
      <alignment horizontal="left"/>
    </xf>
    <xf numFmtId="164" fontId="7" fillId="0" borderId="4" xfId="0" applyNumberFormat="1" applyFont="1" applyFill="1" applyBorder="1" applyAlignment="1">
      <alignment horizontal="left" vertical="top" wrapText="1"/>
    </xf>
    <xf numFmtId="164" fontId="7" fillId="0" borderId="6" xfId="0" applyNumberFormat="1" applyFont="1" applyFill="1" applyBorder="1" applyAlignment="1">
      <alignment horizontal="left"/>
    </xf>
    <xf numFmtId="0" fontId="7" fillId="0" borderId="4" xfId="0" applyFont="1" applyFill="1" applyBorder="1"/>
    <xf numFmtId="0" fontId="6" fillId="0" borderId="11" xfId="0" applyFont="1" applyFill="1" applyBorder="1"/>
    <xf numFmtId="0" fontId="6" fillId="0" borderId="12" xfId="0" applyFont="1" applyFill="1" applyBorder="1"/>
    <xf numFmtId="9" fontId="6" fillId="0" borderId="11" xfId="0" applyNumberFormat="1" applyFont="1" applyFill="1" applyBorder="1" applyAlignment="1">
      <alignment horizontal="left" vertical="center"/>
    </xf>
    <xf numFmtId="0" fontId="6" fillId="0" borderId="12" xfId="0" applyFont="1" applyFill="1" applyBorder="1" applyAlignment="1">
      <alignment horizontal="left"/>
    </xf>
    <xf numFmtId="2" fontId="6" fillId="0" borderId="12" xfId="0" applyNumberFormat="1" applyFont="1" applyFill="1" applyBorder="1" applyAlignment="1">
      <alignment horizontal="left"/>
    </xf>
    <xf numFmtId="2" fontId="6" fillId="0" borderId="13" xfId="0" applyNumberFormat="1" applyFont="1" applyFill="1" applyBorder="1" applyAlignment="1">
      <alignment horizontal="left"/>
    </xf>
    <xf numFmtId="164" fontId="6" fillId="0" borderId="13" xfId="0" applyNumberFormat="1" applyFont="1" applyFill="1" applyBorder="1" applyAlignment="1">
      <alignment horizontal="left"/>
    </xf>
    <xf numFmtId="2" fontId="6" fillId="0" borderId="12" xfId="0" applyNumberFormat="1" applyFont="1" applyFill="1" applyBorder="1"/>
    <xf numFmtId="2" fontId="6" fillId="0" borderId="12" xfId="0" applyNumberFormat="1" applyFont="1" applyFill="1" applyBorder="1" applyAlignment="1">
      <alignment horizontal="right"/>
    </xf>
    <xf numFmtId="2" fontId="6" fillId="0" borderId="13" xfId="0" applyNumberFormat="1" applyFont="1" applyFill="1" applyBorder="1" applyAlignment="1">
      <alignment horizontal="right"/>
    </xf>
    <xf numFmtId="0" fontId="6" fillId="0" borderId="14" xfId="0" applyFont="1" applyFill="1" applyBorder="1"/>
    <xf numFmtId="0" fontId="6" fillId="0" borderId="0" xfId="0" applyFont="1" applyFill="1"/>
    <xf numFmtId="9" fontId="6" fillId="0" borderId="14" xfId="0" applyNumberFormat="1" applyFont="1" applyFill="1" applyBorder="1" applyAlignment="1">
      <alignment horizontal="left" vertical="center"/>
    </xf>
    <xf numFmtId="0" fontId="6" fillId="0" borderId="0" xfId="0" applyFont="1" applyFill="1" applyAlignment="1">
      <alignment horizontal="left" vertical="center"/>
    </xf>
    <xf numFmtId="2" fontId="6" fillId="0" borderId="0" xfId="0" applyNumberFormat="1" applyFont="1" applyFill="1" applyAlignment="1">
      <alignment horizontal="left"/>
    </xf>
    <xf numFmtId="2" fontId="6" fillId="0" borderId="15" xfId="0" applyNumberFormat="1" applyFont="1" applyFill="1" applyBorder="1" applyAlignment="1">
      <alignment horizontal="left"/>
    </xf>
    <xf numFmtId="164" fontId="6" fillId="0" borderId="15" xfId="0" applyNumberFormat="1" applyFont="1" applyFill="1" applyBorder="1" applyAlignment="1">
      <alignment horizontal="left"/>
    </xf>
    <xf numFmtId="2" fontId="6" fillId="0" borderId="0" xfId="0" applyNumberFormat="1" applyFont="1" applyFill="1"/>
    <xf numFmtId="2" fontId="6" fillId="0" borderId="0" xfId="0" applyNumberFormat="1" applyFont="1" applyFill="1" applyAlignment="1">
      <alignment horizontal="right"/>
    </xf>
    <xf numFmtId="2" fontId="6" fillId="0" borderId="15" xfId="0" applyNumberFormat="1" applyFont="1" applyFill="1" applyBorder="1" applyAlignment="1">
      <alignment horizontal="right"/>
    </xf>
    <xf numFmtId="0" fontId="6" fillId="0" borderId="14" xfId="0" applyFont="1" applyFill="1" applyBorder="1" applyAlignment="1">
      <alignment horizontal="left" vertical="center"/>
    </xf>
    <xf numFmtId="0" fontId="6" fillId="0" borderId="3" xfId="0" applyFont="1" applyFill="1" applyBorder="1"/>
    <xf numFmtId="0" fontId="6" fillId="0" borderId="1" xfId="0" applyFont="1" applyFill="1" applyBorder="1"/>
    <xf numFmtId="0" fontId="6" fillId="0" borderId="3" xfId="0" applyFont="1" applyFill="1" applyBorder="1" applyAlignment="1">
      <alignment horizontal="left" vertical="center"/>
    </xf>
    <xf numFmtId="0" fontId="6" fillId="0" borderId="1" xfId="0" applyFont="1" applyFill="1" applyBorder="1" applyAlignment="1">
      <alignment horizontal="left" vertical="center"/>
    </xf>
    <xf numFmtId="0" fontId="6" fillId="0" borderId="1" xfId="0" applyFont="1" applyFill="1" applyBorder="1" applyAlignment="1">
      <alignment horizontal="left"/>
    </xf>
    <xf numFmtId="2" fontId="6" fillId="0" borderId="1" xfId="0" applyNumberFormat="1" applyFont="1" applyFill="1" applyBorder="1" applyAlignment="1">
      <alignment horizontal="left"/>
    </xf>
    <xf numFmtId="2" fontId="6" fillId="0" borderId="2" xfId="0" applyNumberFormat="1" applyFont="1" applyFill="1" applyBorder="1" applyAlignment="1">
      <alignment horizontal="left"/>
    </xf>
    <xf numFmtId="164" fontId="6" fillId="0" borderId="2" xfId="0" applyNumberFormat="1" applyFont="1" applyFill="1" applyBorder="1" applyAlignment="1">
      <alignment horizontal="left"/>
    </xf>
    <xf numFmtId="2" fontId="6" fillId="0" borderId="1" xfId="0" applyNumberFormat="1" applyFont="1" applyFill="1" applyBorder="1"/>
    <xf numFmtId="2" fontId="6" fillId="0" borderId="1" xfId="0" applyNumberFormat="1" applyFont="1" applyFill="1" applyBorder="1" applyAlignment="1">
      <alignment horizontal="right"/>
    </xf>
    <xf numFmtId="2" fontId="6" fillId="0" borderId="2" xfId="0" applyNumberFormat="1" applyFont="1" applyFill="1" applyBorder="1" applyAlignment="1">
      <alignment horizontal="right"/>
    </xf>
    <xf numFmtId="9" fontId="6" fillId="0" borderId="0" xfId="0" applyNumberFormat="1" applyFont="1" applyFill="1" applyAlignment="1">
      <alignment horizontal="left"/>
    </xf>
    <xf numFmtId="9" fontId="6" fillId="0" borderId="1" xfId="0" applyNumberFormat="1" applyFont="1" applyFill="1" applyBorder="1" applyAlignment="1">
      <alignment horizontal="left"/>
    </xf>
    <xf numFmtId="0" fontId="6" fillId="0" borderId="11" xfId="0" applyFont="1" applyFill="1" applyBorder="1" applyAlignment="1">
      <alignment horizontal="left"/>
    </xf>
    <xf numFmtId="2" fontId="6" fillId="0" borderId="0" xfId="0" applyNumberFormat="1" applyFont="1" applyFill="1" applyAlignment="1">
      <alignment horizontal="left" vertical="center"/>
    </xf>
    <xf numFmtId="2" fontId="6" fillId="0" borderId="15" xfId="0" applyNumberFormat="1" applyFont="1" applyFill="1" applyBorder="1" applyAlignment="1">
      <alignment horizontal="left" vertical="center"/>
    </xf>
    <xf numFmtId="2" fontId="6" fillId="0" borderId="0" xfId="0" applyNumberFormat="1" applyFont="1" applyFill="1" applyAlignment="1">
      <alignment horizontal="right" vertical="center"/>
    </xf>
    <xf numFmtId="2" fontId="6" fillId="0" borderId="15" xfId="0" applyNumberFormat="1" applyFont="1" applyFill="1" applyBorder="1" applyAlignment="1">
      <alignment horizontal="right" vertical="center"/>
    </xf>
    <xf numFmtId="0" fontId="6" fillId="0" borderId="14" xfId="0" applyFont="1" applyFill="1" applyBorder="1" applyAlignment="1">
      <alignment horizontal="left"/>
    </xf>
    <xf numFmtId="1" fontId="6" fillId="0" borderId="0" xfId="0" applyNumberFormat="1" applyFont="1" applyFill="1"/>
    <xf numFmtId="9" fontId="6" fillId="0" borderId="3" xfId="0" applyNumberFormat="1" applyFont="1" applyFill="1" applyBorder="1" applyAlignment="1">
      <alignment horizontal="left" vertical="center"/>
    </xf>
    <xf numFmtId="0" fontId="6" fillId="0" borderId="3" xfId="0" applyFont="1" applyFill="1" applyBorder="1" applyAlignment="1">
      <alignment horizontal="left"/>
    </xf>
    <xf numFmtId="2" fontId="6" fillId="0" borderId="1" xfId="0" applyNumberFormat="1" applyFont="1" applyFill="1" applyBorder="1" applyAlignment="1">
      <alignment horizontal="left" vertical="center"/>
    </xf>
    <xf numFmtId="2" fontId="6" fillId="0" borderId="2" xfId="0" applyNumberFormat="1" applyFont="1" applyFill="1" applyBorder="1" applyAlignment="1">
      <alignment horizontal="left" vertical="center"/>
    </xf>
    <xf numFmtId="2" fontId="6" fillId="0" borderId="1" xfId="0" applyNumberFormat="1" applyFont="1" applyFill="1" applyBorder="1" applyAlignment="1">
      <alignment horizontal="right" vertical="center"/>
    </xf>
    <xf numFmtId="2" fontId="6" fillId="0" borderId="2" xfId="0" applyNumberFormat="1" applyFont="1" applyFill="1" applyBorder="1" applyAlignment="1">
      <alignment horizontal="right" vertical="center"/>
    </xf>
    <xf numFmtId="2" fontId="18" fillId="0" borderId="0" xfId="0" applyNumberFormat="1" applyFont="1" applyFill="1"/>
    <xf numFmtId="0" fontId="6" fillId="0" borderId="15" xfId="0" applyFont="1" applyFill="1" applyBorder="1" applyAlignment="1">
      <alignment horizontal="left"/>
    </xf>
    <xf numFmtId="9" fontId="6" fillId="0" borderId="14" xfId="0" applyNumberFormat="1" applyFont="1" applyFill="1" applyBorder="1" applyAlignment="1">
      <alignment horizontal="left"/>
    </xf>
    <xf numFmtId="0" fontId="6" fillId="0" borderId="0" xfId="0" applyFont="1" applyFill="1" applyAlignment="1">
      <alignment vertical="top"/>
    </xf>
    <xf numFmtId="164" fontId="6" fillId="0" borderId="0" xfId="0" applyNumberFormat="1" applyFont="1" applyFill="1" applyAlignment="1">
      <alignment horizontal="left"/>
    </xf>
    <xf numFmtId="164" fontId="6" fillId="0" borderId="14" xfId="0" applyNumberFormat="1" applyFont="1" applyFill="1" applyBorder="1" applyAlignment="1">
      <alignment horizontal="left"/>
    </xf>
    <xf numFmtId="0" fontId="6" fillId="0" borderId="0" xfId="0" applyFont="1" applyFill="1" applyAlignment="1">
      <alignment vertical="top" wrapText="1"/>
    </xf>
    <xf numFmtId="0" fontId="6" fillId="0" borderId="0" xfId="0" applyFont="1" applyFill="1" applyAlignment="1">
      <alignment wrapText="1"/>
    </xf>
    <xf numFmtId="9" fontId="6" fillId="0" borderId="3" xfId="0" applyNumberFormat="1" applyFont="1" applyFill="1" applyBorder="1" applyAlignment="1">
      <alignment horizontal="left"/>
    </xf>
    <xf numFmtId="164" fontId="6" fillId="0" borderId="1" xfId="0" applyNumberFormat="1" applyFont="1" applyFill="1" applyBorder="1" applyAlignment="1">
      <alignment horizontal="left"/>
    </xf>
    <xf numFmtId="10" fontId="6" fillId="0" borderId="14" xfId="0" applyNumberFormat="1" applyFont="1" applyFill="1" applyBorder="1" applyAlignment="1">
      <alignment horizontal="left"/>
    </xf>
    <xf numFmtId="0" fontId="6" fillId="0" borderId="0" xfId="0" applyFont="1" applyFill="1" applyAlignment="1">
      <alignment horizontal="left" vertical="top" wrapText="1"/>
    </xf>
    <xf numFmtId="0" fontId="6" fillId="0" borderId="12" xfId="0" applyFont="1" applyFill="1" applyBorder="1" applyAlignment="1">
      <alignment vertical="top" wrapText="1"/>
    </xf>
    <xf numFmtId="164" fontId="6" fillId="0" borderId="12" xfId="0" applyNumberFormat="1" applyFont="1" applyFill="1" applyBorder="1" applyAlignment="1">
      <alignment horizontal="left"/>
    </xf>
    <xf numFmtId="2" fontId="6" fillId="0" borderId="12" xfId="0" applyNumberFormat="1" applyFont="1" applyFill="1" applyBorder="1" applyAlignment="1">
      <alignment horizontal="left" vertical="center"/>
    </xf>
    <xf numFmtId="2" fontId="6" fillId="0" borderId="12" xfId="0" applyNumberFormat="1" applyFont="1" applyFill="1" applyBorder="1" applyAlignment="1">
      <alignment horizontal="right" vertical="center"/>
    </xf>
    <xf numFmtId="2" fontId="6" fillId="0" borderId="13" xfId="0" applyNumberFormat="1" applyFont="1" applyFill="1" applyBorder="1" applyAlignment="1">
      <alignment horizontal="right" vertical="center"/>
    </xf>
    <xf numFmtId="0" fontId="6" fillId="0" borderId="4" xfId="0" applyFont="1" applyFill="1" applyBorder="1" applyAlignment="1">
      <alignment horizontal="left"/>
    </xf>
    <xf numFmtId="164" fontId="6" fillId="0" borderId="6" xfId="0" applyNumberFormat="1" applyFont="1" applyFill="1" applyBorder="1" applyAlignment="1">
      <alignment horizontal="left"/>
    </xf>
    <xf numFmtId="164" fontId="6" fillId="0" borderId="12" xfId="0" applyNumberFormat="1" applyFont="1" applyFill="1" applyBorder="1"/>
    <xf numFmtId="0" fontId="6" fillId="0" borderId="12" xfId="0" applyFont="1" applyFill="1" applyBorder="1" applyAlignment="1">
      <alignment horizontal="center" vertical="center"/>
    </xf>
    <xf numFmtId="164" fontId="6" fillId="0" borderId="13" xfId="0" applyNumberFormat="1" applyFont="1" applyFill="1" applyBorder="1" applyAlignment="1">
      <alignment horizontal="center" vertical="center"/>
    </xf>
    <xf numFmtId="2" fontId="6" fillId="0" borderId="13" xfId="0" applyNumberFormat="1" applyFont="1" applyFill="1" applyBorder="1"/>
    <xf numFmtId="164" fontId="6" fillId="0" borderId="0" xfId="0" applyNumberFormat="1" applyFont="1" applyFill="1"/>
    <xf numFmtId="0" fontId="6" fillId="0" borderId="0" xfId="0" applyFont="1" applyFill="1" applyAlignment="1">
      <alignment horizontal="center" vertical="center"/>
    </xf>
    <xf numFmtId="164" fontId="6" fillId="0" borderId="15" xfId="0" applyNumberFormat="1" applyFont="1" applyFill="1" applyBorder="1" applyAlignment="1">
      <alignment horizontal="center" vertical="center"/>
    </xf>
    <xf numFmtId="2" fontId="6" fillId="0" borderId="15" xfId="0" applyNumberFormat="1" applyFont="1" applyFill="1" applyBorder="1"/>
    <xf numFmtId="164" fontId="6" fillId="0" borderId="15" xfId="0" applyNumberFormat="1" applyFont="1" applyFill="1" applyBorder="1" applyAlignment="1">
      <alignment horizontal="left" vertical="center"/>
    </xf>
    <xf numFmtId="164" fontId="6" fillId="0" borderId="2" xfId="0" applyNumberFormat="1" applyFont="1" applyFill="1" applyBorder="1" applyAlignment="1">
      <alignment horizontal="left" vertical="center"/>
    </xf>
    <xf numFmtId="164" fontId="6" fillId="0" borderId="1" xfId="0" applyNumberFormat="1" applyFont="1" applyFill="1" applyBorder="1"/>
    <xf numFmtId="2" fontId="6" fillId="0" borderId="2" xfId="0" applyNumberFormat="1" applyFont="1" applyFill="1" applyBorder="1"/>
    <xf numFmtId="10" fontId="6" fillId="0" borderId="3" xfId="0" applyNumberFormat="1" applyFont="1" applyFill="1" applyBorder="1" applyAlignment="1">
      <alignment horizontal="left"/>
    </xf>
    <xf numFmtId="9" fontId="6" fillId="0" borderId="11" xfId="0" applyNumberFormat="1" applyFont="1" applyFill="1" applyBorder="1" applyAlignment="1">
      <alignment horizontal="left"/>
    </xf>
    <xf numFmtId="2" fontId="6" fillId="0" borderId="13" xfId="0" applyNumberFormat="1" applyFont="1" applyFill="1" applyBorder="1" applyAlignment="1">
      <alignment horizontal="left" vertical="center"/>
    </xf>
    <xf numFmtId="0" fontId="6" fillId="0" borderId="2" xfId="0" applyFont="1" applyFill="1" applyBorder="1"/>
    <xf numFmtId="0" fontId="6" fillId="0" borderId="15" xfId="0" applyFont="1" applyFill="1" applyBorder="1"/>
    <xf numFmtId="0" fontId="6" fillId="0" borderId="4" xfId="0" applyFont="1" applyFill="1" applyBorder="1"/>
    <xf numFmtId="0" fontId="6" fillId="0" borderId="4" xfId="0" applyFont="1" applyFill="1" applyBorder="1" applyAlignment="1">
      <alignment horizontal="left" vertical="center"/>
    </xf>
    <xf numFmtId="0" fontId="6" fillId="0" borderId="16" xfId="0" applyFont="1" applyFill="1" applyBorder="1" applyAlignment="1">
      <alignment horizontal="left"/>
    </xf>
    <xf numFmtId="164" fontId="6" fillId="0" borderId="16" xfId="0" applyNumberFormat="1" applyFont="1" applyFill="1" applyBorder="1" applyAlignment="1">
      <alignment horizontal="left"/>
    </xf>
    <xf numFmtId="0" fontId="6" fillId="0" borderId="5" xfId="0" applyFont="1" applyFill="1" applyBorder="1" applyAlignment="1">
      <alignment horizontal="left"/>
    </xf>
    <xf numFmtId="0" fontId="6" fillId="0" borderId="9" xfId="0" applyFont="1" applyFill="1" applyBorder="1" applyAlignment="1">
      <alignment wrapText="1"/>
    </xf>
    <xf numFmtId="0" fontId="6" fillId="0" borderId="9" xfId="0" applyFont="1" applyFill="1" applyBorder="1"/>
    <xf numFmtId="0" fontId="6" fillId="0" borderId="17" xfId="0" applyFont="1" applyFill="1" applyBorder="1" applyAlignment="1">
      <alignment horizontal="left"/>
    </xf>
    <xf numFmtId="0" fontId="6" fillId="0" borderId="9" xfId="0" applyFont="1" applyFill="1" applyBorder="1" applyAlignment="1">
      <alignment horizontal="left"/>
    </xf>
    <xf numFmtId="164" fontId="6" fillId="0" borderId="10" xfId="0" applyNumberFormat="1" applyFont="1" applyFill="1" applyBorder="1" applyAlignment="1">
      <alignment horizontal="left"/>
    </xf>
    <xf numFmtId="10" fontId="6" fillId="0" borderId="11" xfId="0" applyNumberFormat="1" applyFont="1" applyFill="1" applyBorder="1" applyAlignment="1">
      <alignment horizontal="left"/>
    </xf>
    <xf numFmtId="0" fontId="6" fillId="0" borderId="11" xfId="0" applyFont="1" applyFill="1" applyBorder="1" applyAlignment="1">
      <alignment horizontal="left" vertical="center"/>
    </xf>
    <xf numFmtId="164" fontId="6" fillId="0" borderId="4" xfId="0" applyNumberFormat="1" applyFont="1" applyFill="1" applyBorder="1" applyAlignment="1">
      <alignment horizontal="left"/>
    </xf>
    <xf numFmtId="0" fontId="6" fillId="0" borderId="8" xfId="0" quotePrefix="1" applyFont="1" applyFill="1" applyBorder="1"/>
    <xf numFmtId="0" fontId="6" fillId="0" borderId="6" xfId="0" quotePrefix="1" applyFont="1" applyFill="1" applyBorder="1"/>
    <xf numFmtId="164" fontId="6" fillId="0" borderId="6" xfId="0" quotePrefix="1" applyNumberFormat="1" applyFont="1" applyFill="1" applyBorder="1" applyAlignment="1">
      <alignment horizontal="left"/>
    </xf>
    <xf numFmtId="0" fontId="0" fillId="0" borderId="0" xfId="0" applyFont="1" applyFill="1" applyAlignment="1"/>
    <xf numFmtId="2" fontId="6" fillId="0" borderId="4" xfId="0" applyNumberFormat="1" applyFont="1" applyFill="1" applyBorder="1" applyAlignment="1">
      <alignment horizontal="left"/>
    </xf>
    <xf numFmtId="0" fontId="6" fillId="0" borderId="7" xfId="0" applyFont="1" applyFill="1" applyBorder="1"/>
    <xf numFmtId="165" fontId="6" fillId="0" borderId="0" xfId="0" applyNumberFormat="1" applyFont="1" applyFill="1" applyAlignment="1">
      <alignment horizontal="left"/>
    </xf>
    <xf numFmtId="0" fontId="6" fillId="0" borderId="14" xfId="0" quotePrefix="1" applyFont="1" applyFill="1" applyBorder="1" applyAlignment="1">
      <alignment horizontal="left"/>
    </xf>
    <xf numFmtId="0" fontId="6" fillId="0" borderId="8" xfId="0" applyFont="1" applyFill="1" applyBorder="1" applyAlignment="1">
      <alignment horizontal="left"/>
    </xf>
    <xf numFmtId="9" fontId="6" fillId="0" borderId="5" xfId="0" applyNumberFormat="1" applyFont="1" applyFill="1" applyBorder="1" applyAlignment="1">
      <alignment horizontal="left"/>
    </xf>
    <xf numFmtId="0" fontId="6" fillId="0" borderId="6" xfId="0" applyFont="1" applyFill="1" applyBorder="1" applyAlignment="1">
      <alignment horizontal="left"/>
    </xf>
    <xf numFmtId="0" fontId="6" fillId="0" borderId="0" xfId="0" applyFont="1" applyFill="1" applyAlignment="1">
      <alignment vertical="center" wrapText="1"/>
    </xf>
    <xf numFmtId="0" fontId="6" fillId="0" borderId="1" xfId="0" applyFont="1" applyFill="1" applyBorder="1" applyAlignment="1">
      <alignment horizontal="left" vertical="center" wrapText="1"/>
    </xf>
    <xf numFmtId="0" fontId="6" fillId="0" borderId="5" xfId="0" applyFont="1" applyFill="1" applyBorder="1"/>
    <xf numFmtId="0" fontId="6" fillId="0" borderId="17" xfId="0" applyFont="1" applyFill="1" applyBorder="1"/>
    <xf numFmtId="0" fontId="6" fillId="0" borderId="16" xfId="0" applyFont="1" applyFill="1" applyBorder="1"/>
    <xf numFmtId="0" fontId="6" fillId="0" borderId="5" xfId="0" applyFont="1" applyFill="1" applyBorder="1" applyAlignment="1">
      <alignment horizontal="left" vertical="center"/>
    </xf>
    <xf numFmtId="2" fontId="6" fillId="0" borderId="11" xfId="0" applyNumberFormat="1" applyFont="1" applyFill="1" applyBorder="1"/>
    <xf numFmtId="2" fontId="6" fillId="0" borderId="4" xfId="0" applyNumberFormat="1" applyFont="1" applyFill="1" applyBorder="1"/>
    <xf numFmtId="0" fontId="6" fillId="0" borderId="4" xfId="0" applyFont="1" applyFill="1" applyBorder="1" applyAlignment="1">
      <alignment vertical="top"/>
    </xf>
    <xf numFmtId="2" fontId="6" fillId="0" borderId="9" xfId="0" applyNumberFormat="1" applyFont="1" applyFill="1" applyBorder="1"/>
    <xf numFmtId="2" fontId="6" fillId="0" borderId="5" xfId="0" applyNumberFormat="1" applyFont="1" applyFill="1" applyBorder="1"/>
    <xf numFmtId="9" fontId="6" fillId="0" borderId="17" xfId="0" applyNumberFormat="1" applyFont="1" applyFill="1" applyBorder="1" applyAlignment="1">
      <alignment horizontal="left"/>
    </xf>
    <xf numFmtId="2" fontId="6" fillId="0" borderId="3" xfId="0" applyNumberFormat="1" applyFont="1" applyFill="1" applyBorder="1"/>
    <xf numFmtId="2" fontId="6" fillId="0" borderId="14" xfId="0" applyNumberFormat="1" applyFont="1" applyFill="1" applyBorder="1"/>
    <xf numFmtId="0" fontId="6" fillId="0" borderId="6" xfId="0" applyFont="1" applyFill="1" applyBorder="1"/>
    <xf numFmtId="0" fontId="6" fillId="0" borderId="7" xfId="0" applyFont="1" applyFill="1" applyBorder="1" applyAlignment="1">
      <alignment horizontal="left"/>
    </xf>
    <xf numFmtId="0" fontId="6" fillId="0" borderId="4" xfId="0" applyFont="1" applyFill="1" applyBorder="1" applyAlignment="1">
      <alignment horizontal="left" vertical="top"/>
    </xf>
    <xf numFmtId="0" fontId="6" fillId="0" borderId="0" xfId="0" applyFont="1" applyFill="1" applyAlignment="1">
      <alignment horizontal="left" vertical="top"/>
    </xf>
    <xf numFmtId="9" fontId="6" fillId="0" borderId="5" xfId="0" applyNumberFormat="1" applyFont="1" applyFill="1" applyBorder="1" applyAlignment="1">
      <alignment horizontal="left" vertical="top"/>
    </xf>
    <xf numFmtId="0" fontId="6" fillId="0" borderId="14" xfId="0" applyFont="1" applyFill="1" applyBorder="1" applyAlignment="1">
      <alignment horizontal="left" vertical="top"/>
    </xf>
    <xf numFmtId="2" fontId="6" fillId="0" borderId="0" xfId="0" applyNumberFormat="1" applyFont="1" applyFill="1" applyAlignment="1">
      <alignment horizontal="left" vertical="top"/>
    </xf>
    <xf numFmtId="2" fontId="6" fillId="0" borderId="15" xfId="0" applyNumberFormat="1" applyFont="1" applyFill="1" applyBorder="1" applyAlignment="1">
      <alignment horizontal="left" vertical="top"/>
    </xf>
    <xf numFmtId="164" fontId="6" fillId="0" borderId="15" xfId="0" applyNumberFormat="1" applyFont="1" applyFill="1" applyBorder="1" applyAlignment="1">
      <alignment horizontal="left" vertical="top"/>
    </xf>
    <xf numFmtId="2" fontId="6" fillId="0" borderId="14" xfId="0" applyNumberFormat="1" applyFont="1" applyFill="1" applyBorder="1" applyAlignment="1">
      <alignment horizontal="right" vertical="top"/>
    </xf>
    <xf numFmtId="2" fontId="6" fillId="0" borderId="0" xfId="0" applyNumberFormat="1" applyFont="1" applyFill="1" applyAlignment="1">
      <alignment horizontal="right" vertical="top"/>
    </xf>
    <xf numFmtId="2" fontId="6" fillId="0" borderId="15" xfId="0" applyNumberFormat="1" applyFont="1" applyFill="1" applyBorder="1" applyAlignment="1">
      <alignment horizontal="right" vertical="top"/>
    </xf>
    <xf numFmtId="0" fontId="6" fillId="0" borderId="18" xfId="0" applyFont="1" applyFill="1" applyBorder="1"/>
    <xf numFmtId="0" fontId="6" fillId="0" borderId="19" xfId="0" applyFont="1" applyFill="1" applyBorder="1"/>
    <xf numFmtId="0" fontId="6" fillId="0" borderId="18" xfId="0" applyFont="1" applyFill="1" applyBorder="1" applyAlignment="1">
      <alignment horizontal="left"/>
    </xf>
    <xf numFmtId="164" fontId="6" fillId="0" borderId="19" xfId="0" applyNumberFormat="1" applyFont="1" applyFill="1" applyBorder="1" applyAlignment="1">
      <alignment horizontal="left"/>
    </xf>
    <xf numFmtId="164" fontId="6" fillId="0" borderId="20" xfId="0" applyNumberFormat="1" applyFont="1" applyFill="1" applyBorder="1" applyAlignment="1">
      <alignment horizontal="left"/>
    </xf>
    <xf numFmtId="2" fontId="6" fillId="0" borderId="19" xfId="0" applyNumberFormat="1" applyFont="1" applyFill="1" applyBorder="1"/>
    <xf numFmtId="0" fontId="6" fillId="0" borderId="12" xfId="0" applyFont="1" applyFill="1" applyBorder="1" applyAlignment="1">
      <alignment wrapText="1"/>
    </xf>
    <xf numFmtId="0" fontId="6" fillId="0" borderId="11" xfId="0" applyFont="1" applyFill="1" applyBorder="1" applyAlignment="1">
      <alignment wrapText="1"/>
    </xf>
    <xf numFmtId="0" fontId="6" fillId="0" borderId="14" xfId="0" applyFont="1" applyFill="1" applyBorder="1" applyAlignment="1">
      <alignment wrapText="1"/>
    </xf>
    <xf numFmtId="0" fontId="6" fillId="0" borderId="4" xfId="0" applyFont="1" applyFill="1" applyBorder="1" applyAlignment="1">
      <alignment wrapText="1"/>
    </xf>
    <xf numFmtId="0" fontId="5" fillId="0" borderId="4" xfId="0" applyFont="1" applyFill="1" applyBorder="1" applyAlignment="1">
      <alignment horizontal="right"/>
    </xf>
    <xf numFmtId="10" fontId="6" fillId="0" borderId="4" xfId="0" applyNumberFormat="1" applyFont="1" applyFill="1" applyBorder="1"/>
    <xf numFmtId="0" fontId="7" fillId="0" borderId="21" xfId="0" applyFont="1" applyFill="1" applyBorder="1"/>
    <xf numFmtId="166" fontId="19" fillId="0" borderId="4" xfId="0" applyNumberFormat="1" applyFont="1" applyFill="1" applyBorder="1"/>
    <xf numFmtId="0" fontId="5" fillId="0" borderId="4" xfId="1" applyFont="1" applyFill="1" applyBorder="1" applyAlignment="1">
      <alignment vertical="top" wrapText="1"/>
    </xf>
    <xf numFmtId="0" fontId="7" fillId="0" borderId="4" xfId="1" applyFont="1" applyFill="1" applyBorder="1" applyAlignment="1">
      <alignment vertical="top" wrapText="1"/>
    </xf>
    <xf numFmtId="0" fontId="6" fillId="0" borderId="16" xfId="1" applyFont="1" applyFill="1" applyBorder="1"/>
    <xf numFmtId="0" fontId="6" fillId="0" borderId="12" xfId="1" applyFont="1" applyFill="1" applyBorder="1"/>
    <xf numFmtId="0" fontId="6" fillId="0" borderId="12" xfId="1" applyFont="1" applyFill="1" applyBorder="1" applyAlignment="1">
      <alignment horizontal="left"/>
    </xf>
    <xf numFmtId="0" fontId="6" fillId="0" borderId="14" xfId="1" applyFont="1" applyFill="1" applyBorder="1"/>
    <xf numFmtId="0" fontId="6" fillId="0" borderId="4" xfId="1" applyFont="1" applyFill="1"/>
    <xf numFmtId="0" fontId="6" fillId="0" borderId="4" xfId="1" applyFont="1" applyFill="1" applyAlignment="1">
      <alignment horizontal="left"/>
    </xf>
    <xf numFmtId="2" fontId="6" fillId="0" borderId="4" xfId="1" applyNumberFormat="1" applyFont="1" applyFill="1"/>
    <xf numFmtId="0" fontId="6" fillId="0" borderId="17" xfId="1" applyFont="1" applyFill="1" applyBorder="1"/>
    <xf numFmtId="0" fontId="6" fillId="0" borderId="9" xfId="1" applyFont="1" applyFill="1" applyBorder="1"/>
    <xf numFmtId="2" fontId="6" fillId="0" borderId="9" xfId="1" applyNumberFormat="1" applyFont="1" applyFill="1" applyBorder="1"/>
    <xf numFmtId="0" fontId="6" fillId="0" borderId="4" xfId="1" applyFont="1" applyFill="1" applyAlignment="1">
      <alignment wrapText="1"/>
    </xf>
    <xf numFmtId="0" fontId="6" fillId="0" borderId="4" xfId="1" applyFont="1" applyFill="1" applyBorder="1" applyAlignment="1">
      <alignment horizontal="left"/>
    </xf>
    <xf numFmtId="0" fontId="6" fillId="0" borderId="4" xfId="1" applyFont="1" applyFill="1" applyBorder="1"/>
    <xf numFmtId="0" fontId="6" fillId="0" borderId="4" xfId="1" applyFont="1" applyFill="1" applyBorder="1" applyAlignment="1">
      <alignment horizontal="left" vertical="top"/>
    </xf>
    <xf numFmtId="0" fontId="6" fillId="0" borderId="18" xfId="1" applyFont="1" applyFill="1" applyBorder="1"/>
    <xf numFmtId="0" fontId="6" fillId="0" borderId="12" xfId="1" applyFont="1" applyFill="1" applyBorder="1" applyAlignment="1">
      <alignment wrapText="1"/>
    </xf>
    <xf numFmtId="0" fontId="6" fillId="0" borderId="12" xfId="1" applyFont="1" applyFill="1" applyBorder="1" applyAlignment="1">
      <alignment horizontal="right"/>
    </xf>
    <xf numFmtId="0" fontId="6" fillId="0" borderId="12" xfId="1" applyFont="1" applyFill="1" applyBorder="1" applyAlignment="1">
      <alignment horizontal="right" wrapText="1"/>
    </xf>
    <xf numFmtId="0" fontId="6" fillId="0" borderId="12" xfId="1" applyFont="1" applyFill="1" applyBorder="1" applyAlignment="1"/>
    <xf numFmtId="0" fontId="6" fillId="0" borderId="4" xfId="1" applyFont="1" applyFill="1" applyAlignment="1"/>
    <xf numFmtId="0" fontId="6" fillId="0" borderId="12" xfId="1" applyFont="1" applyFill="1" applyBorder="1" applyAlignment="1">
      <alignment horizontal="left" wrapText="1"/>
    </xf>
    <xf numFmtId="0" fontId="6" fillId="0" borderId="4" xfId="1" applyFont="1" applyFill="1" applyBorder="1" applyAlignment="1"/>
    <xf numFmtId="0" fontId="9" fillId="0" borderId="4" xfId="0" applyFont="1" applyBorder="1" applyAlignment="1">
      <alignment horizontal="left"/>
    </xf>
    <xf numFmtId="0" fontId="6" fillId="0" borderId="4" xfId="0" applyNumberFormat="1" applyFont="1" applyFill="1" applyBorder="1" applyAlignment="1">
      <alignment horizontal="left" vertical="center"/>
    </xf>
    <xf numFmtId="0" fontId="6" fillId="0" borderId="22" xfId="0" applyFont="1" applyFill="1" applyBorder="1" applyAlignment="1">
      <alignment horizontal="left"/>
    </xf>
    <xf numFmtId="0" fontId="0" fillId="0" borderId="0" xfId="0" applyFont="1" applyAlignment="1">
      <alignment horizontal="left"/>
    </xf>
    <xf numFmtId="0" fontId="5" fillId="0" borderId="4" xfId="1" applyFont="1" applyFill="1" applyBorder="1" applyAlignment="1">
      <alignment horizontal="left" vertical="top" wrapText="1"/>
    </xf>
    <xf numFmtId="0" fontId="7" fillId="0" borderId="4" xfId="1" applyFont="1" applyFill="1" applyBorder="1" applyAlignment="1">
      <alignment horizontal="left" vertical="top" wrapText="1"/>
    </xf>
    <xf numFmtId="0" fontId="6" fillId="0" borderId="0" xfId="0" applyFont="1" applyFill="1" applyAlignment="1">
      <alignment horizontal="left"/>
    </xf>
    <xf numFmtId="0" fontId="0" fillId="0" borderId="0" xfId="0" applyFont="1" applyFill="1" applyAlignment="1"/>
    <xf numFmtId="0" fontId="0" fillId="0" borderId="0" xfId="0" applyFont="1" applyAlignment="1"/>
    <xf numFmtId="2" fontId="9" fillId="0" borderId="0" xfId="0" applyNumberFormat="1" applyFont="1"/>
    <xf numFmtId="0" fontId="0" fillId="3" borderId="0" xfId="0" applyFont="1" applyFill="1" applyAlignment="1"/>
    <xf numFmtId="165" fontId="6" fillId="0" borderId="12" xfId="0" applyNumberFormat="1" applyFont="1" applyFill="1" applyBorder="1" applyAlignment="1">
      <alignment horizontal="left"/>
    </xf>
    <xf numFmtId="165" fontId="6" fillId="0" borderId="1" xfId="0" applyNumberFormat="1" applyFont="1" applyFill="1" applyBorder="1" applyAlignment="1">
      <alignment horizontal="left"/>
    </xf>
    <xf numFmtId="0" fontId="0" fillId="0" borderId="0" xfId="0" applyFont="1" applyFill="1" applyAlignment="1">
      <alignment horizontal="left"/>
    </xf>
    <xf numFmtId="166" fontId="0" fillId="0" borderId="0" xfId="0" applyNumberFormat="1" applyFont="1" applyFill="1" applyAlignment="1"/>
    <xf numFmtId="0" fontId="6" fillId="0" borderId="0" xfId="0" applyFont="1" applyFill="1" applyAlignment="1">
      <alignment horizontal="left"/>
    </xf>
    <xf numFmtId="0" fontId="0" fillId="0" borderId="0" xfId="0" applyFont="1" applyFill="1" applyAlignment="1"/>
    <xf numFmtId="0" fontId="0" fillId="0" borderId="0" xfId="0" applyFont="1" applyAlignment="1"/>
    <xf numFmtId="0" fontId="6" fillId="0" borderId="0" xfId="0" applyFont="1" applyFill="1" applyAlignment="1">
      <alignment horizontal="left"/>
    </xf>
    <xf numFmtId="0" fontId="0" fillId="0" borderId="0" xfId="0" applyFont="1" applyFill="1" applyAlignment="1"/>
    <xf numFmtId="0" fontId="22" fillId="0" borderId="0" xfId="0" applyFont="1" applyAlignment="1">
      <alignment wrapText="1"/>
    </xf>
    <xf numFmtId="0" fontId="6" fillId="0" borderId="0" xfId="0" applyFont="1" applyFill="1" applyAlignment="1">
      <alignment horizontal="left"/>
    </xf>
    <xf numFmtId="0" fontId="0" fillId="0" borderId="0" xfId="0" applyFont="1" applyFill="1" applyAlignment="1"/>
    <xf numFmtId="0" fontId="9" fillId="0" borderId="0" xfId="0" applyFont="1" applyFill="1"/>
    <xf numFmtId="0" fontId="9" fillId="0" borderId="14" xfId="0" applyFont="1" applyFill="1" applyBorder="1" applyAlignment="1">
      <alignment horizontal="left"/>
    </xf>
    <xf numFmtId="0" fontId="9" fillId="0" borderId="4" xfId="0" applyFont="1" applyFill="1" applyBorder="1" applyAlignment="1">
      <alignment horizontal="left"/>
    </xf>
    <xf numFmtId="0" fontId="9" fillId="0" borderId="0" xfId="0" applyFont="1" applyFill="1" applyAlignment="1">
      <alignment horizontal="left"/>
    </xf>
    <xf numFmtId="164" fontId="9" fillId="0" borderId="0" xfId="0" applyNumberFormat="1" applyFont="1" applyFill="1" applyAlignment="1">
      <alignment horizontal="left"/>
    </xf>
    <xf numFmtId="0" fontId="9" fillId="0" borderId="15" xfId="0" applyFont="1" applyFill="1" applyBorder="1" applyAlignment="1">
      <alignment horizontal="left"/>
    </xf>
    <xf numFmtId="2" fontId="9" fillId="0" borderId="0" xfId="0" applyNumberFormat="1" applyFont="1" applyFill="1" applyAlignment="1">
      <alignment horizontal="left"/>
    </xf>
    <xf numFmtId="164" fontId="9" fillId="0" borderId="15" xfId="0" applyNumberFormat="1" applyFont="1" applyFill="1" applyBorder="1" applyAlignment="1">
      <alignment horizontal="left"/>
    </xf>
    <xf numFmtId="0" fontId="9" fillId="0" borderId="15" xfId="0" applyFont="1" applyFill="1" applyBorder="1"/>
    <xf numFmtId="0" fontId="23" fillId="0" borderId="4" xfId="0" applyFont="1" applyFill="1" applyBorder="1" applyAlignment="1">
      <alignment horizontal="left" vertical="top" wrapText="1"/>
    </xf>
    <xf numFmtId="164" fontId="23" fillId="0" borderId="4" xfId="0" applyNumberFormat="1" applyFont="1" applyFill="1" applyBorder="1" applyAlignment="1">
      <alignment horizontal="left" vertical="top" wrapText="1"/>
    </xf>
    <xf numFmtId="0" fontId="23" fillId="0" borderId="6" xfId="0" applyFont="1" applyFill="1" applyBorder="1" applyAlignment="1">
      <alignment horizontal="left" vertical="top" wrapText="1"/>
    </xf>
    <xf numFmtId="164" fontId="23" fillId="0" borderId="6" xfId="0" applyNumberFormat="1" applyFont="1" applyFill="1" applyBorder="1" applyAlignment="1">
      <alignment horizontal="left" vertical="top" wrapText="1"/>
    </xf>
    <xf numFmtId="164" fontId="24" fillId="0" borderId="4" xfId="0" applyNumberFormat="1" applyFont="1" applyFill="1" applyBorder="1" applyAlignment="1">
      <alignment horizontal="left" vertical="top" wrapText="1"/>
    </xf>
    <xf numFmtId="164" fontId="24" fillId="0" borderId="6" xfId="0" applyNumberFormat="1" applyFont="1" applyFill="1" applyBorder="1" applyAlignment="1">
      <alignment horizontal="left" vertical="top" wrapText="1"/>
    </xf>
    <xf numFmtId="0" fontId="23" fillId="0" borderId="4" xfId="0" applyFont="1" applyFill="1" applyBorder="1" applyAlignment="1">
      <alignment vertical="top" wrapText="1"/>
    </xf>
    <xf numFmtId="0" fontId="24" fillId="0" borderId="4" xfId="0" applyFont="1" applyFill="1" applyBorder="1" applyAlignment="1">
      <alignment wrapText="1"/>
    </xf>
    <xf numFmtId="0" fontId="24" fillId="0" borderId="4" xfId="0" applyFont="1" applyFill="1" applyBorder="1"/>
    <xf numFmtId="0" fontId="24" fillId="0" borderId="6" xfId="0" applyFont="1" applyFill="1" applyBorder="1"/>
    <xf numFmtId="0" fontId="0" fillId="0" borderId="0" xfId="0"/>
    <xf numFmtId="0" fontId="24" fillId="0" borderId="4" xfId="0" applyFont="1" applyFill="1" applyBorder="1" applyAlignment="1">
      <alignment horizontal="left"/>
    </xf>
    <xf numFmtId="0" fontId="24" fillId="0" borderId="6" xfId="0" applyFont="1" applyFill="1" applyBorder="1" applyAlignment="1">
      <alignment horizontal="left" vertical="top" wrapText="1"/>
    </xf>
    <xf numFmtId="0" fontId="0" fillId="0" borderId="4" xfId="0" applyBorder="1"/>
    <xf numFmtId="0" fontId="6" fillId="0" borderId="4" xfId="1" applyFont="1" applyFill="1" applyBorder="1" applyAlignment="1">
      <alignment wrapText="1"/>
    </xf>
    <xf numFmtId="0" fontId="0" fillId="0" borderId="4" xfId="0" applyFont="1" applyFill="1" applyBorder="1" applyAlignment="1"/>
    <xf numFmtId="0" fontId="0" fillId="0" borderId="4" xfId="0" applyFont="1" applyBorder="1" applyAlignment="1"/>
    <xf numFmtId="0" fontId="6" fillId="0" borderId="4" xfId="1" applyFont="1" applyFill="1" applyBorder="1" applyAlignment="1">
      <alignment horizontal="right"/>
    </xf>
    <xf numFmtId="0" fontId="10" fillId="0" borderId="4" xfId="0" applyFont="1" applyFill="1" applyBorder="1"/>
    <xf numFmtId="0" fontId="6" fillId="0" borderId="22" xfId="0" applyFont="1" applyFill="1" applyBorder="1"/>
    <xf numFmtId="164" fontId="6" fillId="0" borderId="22" xfId="0" applyNumberFormat="1" applyFont="1" applyFill="1" applyBorder="1" applyAlignment="1">
      <alignment horizontal="left"/>
    </xf>
    <xf numFmtId="0" fontId="6" fillId="0" borderId="22" xfId="1" applyFont="1" applyFill="1" applyBorder="1"/>
    <xf numFmtId="0" fontId="6" fillId="0" borderId="22" xfId="1" applyFont="1" applyFill="1" applyBorder="1" applyAlignment="1">
      <alignment horizontal="right"/>
    </xf>
    <xf numFmtId="0" fontId="6" fillId="0" borderId="23" xfId="0" applyFont="1" applyFill="1" applyBorder="1"/>
    <xf numFmtId="0" fontId="6" fillId="0" borderId="23" xfId="0" applyFont="1" applyFill="1" applyBorder="1" applyAlignment="1">
      <alignment horizontal="left"/>
    </xf>
    <xf numFmtId="0" fontId="6" fillId="0" borderId="23" xfId="0" applyFont="1" applyFill="1" applyBorder="1" applyAlignment="1">
      <alignment wrapText="1"/>
    </xf>
    <xf numFmtId="164" fontId="6" fillId="0" borderId="23" xfId="0" applyNumberFormat="1" applyFont="1" applyFill="1" applyBorder="1" applyAlignment="1">
      <alignment horizontal="left"/>
    </xf>
    <xf numFmtId="0" fontId="6" fillId="0" borderId="23" xfId="1" applyFont="1" applyFill="1" applyBorder="1"/>
    <xf numFmtId="0" fontId="6" fillId="0" borderId="23" xfId="1" applyFont="1" applyFill="1" applyBorder="1" applyAlignment="1">
      <alignment horizontal="right"/>
    </xf>
    <xf numFmtId="166" fontId="6" fillId="0" borderId="23" xfId="0" applyNumberFormat="1" applyFont="1" applyFill="1" applyBorder="1"/>
    <xf numFmtId="0" fontId="2" fillId="0" borderId="23" xfId="0" applyFont="1" applyFill="1" applyBorder="1" applyAlignment="1">
      <alignment horizontal="right"/>
    </xf>
    <xf numFmtId="166" fontId="6" fillId="0" borderId="4" xfId="0" applyNumberFormat="1" applyFont="1" applyFill="1" applyBorder="1"/>
    <xf numFmtId="0" fontId="2" fillId="0" borderId="4" xfId="0" applyFont="1" applyFill="1" applyBorder="1" applyAlignment="1">
      <alignment horizontal="right"/>
    </xf>
    <xf numFmtId="166" fontId="6" fillId="0" borderId="22" xfId="0" applyNumberFormat="1" applyFont="1" applyFill="1" applyBorder="1"/>
    <xf numFmtId="0" fontId="2" fillId="0" borderId="22" xfId="0" applyFont="1" applyFill="1" applyBorder="1" applyAlignment="1">
      <alignment horizontal="right"/>
    </xf>
    <xf numFmtId="0" fontId="2" fillId="0" borderId="23" xfId="0" applyFont="1" applyFill="1" applyBorder="1"/>
    <xf numFmtId="165" fontId="6" fillId="0" borderId="23" xfId="0" applyNumberFormat="1" applyFont="1" applyFill="1" applyBorder="1" applyAlignment="1">
      <alignment horizontal="left"/>
    </xf>
    <xf numFmtId="0" fontId="2" fillId="0" borderId="23" xfId="0" applyFont="1" applyFill="1" applyBorder="1" applyAlignment="1"/>
    <xf numFmtId="0" fontId="2" fillId="0" borderId="4" xfId="0" applyFont="1" applyFill="1" applyBorder="1"/>
    <xf numFmtId="0" fontId="2" fillId="0" borderId="4" xfId="0" applyFont="1" applyFill="1" applyBorder="1" applyAlignment="1"/>
    <xf numFmtId="0" fontId="2" fillId="0" borderId="22" xfId="0" applyFont="1" applyFill="1" applyBorder="1"/>
    <xf numFmtId="0" fontId="2" fillId="0" borderId="22" xfId="0" applyFont="1" applyFill="1" applyBorder="1" applyAlignment="1"/>
    <xf numFmtId="0" fontId="23" fillId="3" borderId="4" xfId="0" applyFont="1" applyFill="1" applyBorder="1" applyAlignment="1">
      <alignment horizontal="left" vertical="top" wrapText="1"/>
    </xf>
    <xf numFmtId="0" fontId="4" fillId="0" borderId="3" xfId="0" applyFont="1" applyFill="1" applyBorder="1" applyAlignment="1">
      <alignment horizontal="center"/>
    </xf>
    <xf numFmtId="0" fontId="10" fillId="0" borderId="1" xfId="0" applyFont="1" applyFill="1" applyBorder="1"/>
    <xf numFmtId="0" fontId="10" fillId="0" borderId="2" xfId="0" applyFont="1" applyFill="1" applyBorder="1"/>
    <xf numFmtId="0" fontId="4" fillId="0" borderId="1" xfId="0" applyFont="1" applyFill="1" applyBorder="1" applyAlignment="1">
      <alignment horizontal="center" vertical="top" wrapText="1"/>
    </xf>
    <xf numFmtId="0" fontId="4" fillId="0" borderId="1" xfId="0" applyFont="1" applyFill="1" applyBorder="1" applyAlignment="1">
      <alignment horizontal="center"/>
    </xf>
    <xf numFmtId="0" fontId="4" fillId="0" borderId="9" xfId="0" applyFont="1" applyFill="1" applyBorder="1" applyAlignment="1">
      <alignment horizontal="center"/>
    </xf>
    <xf numFmtId="0" fontId="10" fillId="0" borderId="9" xfId="0" applyFont="1" applyFill="1" applyBorder="1"/>
    <xf numFmtId="0" fontId="13" fillId="0" borderId="0" xfId="0" applyFont="1" applyAlignment="1">
      <alignment horizontal="center"/>
    </xf>
    <xf numFmtId="0" fontId="0" fillId="0" borderId="0" xfId="0" applyFont="1" applyAlignment="1"/>
    <xf numFmtId="0" fontId="0" fillId="0" borderId="0" xfId="0" applyFill="1"/>
    <xf numFmtId="0" fontId="1" fillId="0" borderId="0" xfId="0" applyNumberFormat="1" applyFont="1" applyFill="1"/>
  </cellXfs>
  <cellStyles count="2">
    <cellStyle name="Normal" xfId="0" builtinId="0"/>
    <cellStyle name="Normal 2" xfId="1" xr:uid="{D404636E-9BBD-434D-8C0B-C83BBDD4844F}"/>
  </cellStyles>
  <dxfs count="1">
    <dxf>
      <fill>
        <patternFill patternType="solid">
          <fgColor rgb="FFB7E1CD"/>
          <bgColor rgb="FFB7E1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pieChart>
        <c:varyColors val="1"/>
        <c:ser>
          <c:idx val="0"/>
          <c:order val="0"/>
          <c:dPt>
            <c:idx val="0"/>
            <c:bubble3D val="0"/>
            <c:spPr>
              <a:solidFill>
                <a:schemeClr val="accent2"/>
              </a:solidFill>
            </c:spPr>
            <c:extLst>
              <c:ext xmlns:c16="http://schemas.microsoft.com/office/drawing/2014/chart" uri="{C3380CC4-5D6E-409C-BE32-E72D297353CC}">
                <c16:uniqueId val="{00000001-4817-4955-B809-5C3B00808F03}"/>
              </c:ext>
            </c:extLst>
          </c:dPt>
          <c:dPt>
            <c:idx val="1"/>
            <c:bubble3D val="0"/>
            <c:spPr>
              <a:solidFill>
                <a:schemeClr val="accent4"/>
              </a:solidFill>
            </c:spPr>
            <c:extLst>
              <c:ext xmlns:c16="http://schemas.microsoft.com/office/drawing/2014/chart" uri="{C3380CC4-5D6E-409C-BE32-E72D297353CC}">
                <c16:uniqueId val="{00000003-4817-4955-B809-5C3B00808F03}"/>
              </c:ext>
            </c:extLst>
          </c:dPt>
          <c:dPt>
            <c:idx val="2"/>
            <c:bubble3D val="0"/>
            <c:spPr>
              <a:solidFill>
                <a:schemeClr val="accent6"/>
              </a:solidFill>
            </c:spPr>
            <c:extLst>
              <c:ext xmlns:c16="http://schemas.microsoft.com/office/drawing/2014/chart" uri="{C3380CC4-5D6E-409C-BE32-E72D297353CC}">
                <c16:uniqueId val="{00000005-4817-4955-B809-5C3B00808F03}"/>
              </c:ext>
            </c:extLst>
          </c:dPt>
          <c:dPt>
            <c:idx val="3"/>
            <c:bubble3D val="0"/>
            <c:spPr>
              <a:solidFill>
                <a:schemeClr val="accent2"/>
              </a:solidFill>
            </c:spPr>
            <c:extLst>
              <c:ext xmlns:c16="http://schemas.microsoft.com/office/drawing/2014/chart" uri="{C3380CC4-5D6E-409C-BE32-E72D297353CC}">
                <c16:uniqueId val="{00000007-4817-4955-B809-5C3B00808F03}"/>
              </c:ext>
            </c:extLst>
          </c:dPt>
          <c:dPt>
            <c:idx val="4"/>
            <c:bubble3D val="0"/>
            <c:spPr>
              <a:solidFill>
                <a:schemeClr val="accent4"/>
              </a:solidFill>
            </c:spPr>
            <c:extLst>
              <c:ext xmlns:c16="http://schemas.microsoft.com/office/drawing/2014/chart" uri="{C3380CC4-5D6E-409C-BE32-E72D297353CC}">
                <c16:uniqueId val="{00000009-4817-4955-B809-5C3B00808F03}"/>
              </c:ext>
            </c:extLst>
          </c:dPt>
          <c:dPt>
            <c:idx val="5"/>
            <c:bubble3D val="0"/>
            <c:explosion val="22"/>
            <c:spPr>
              <a:solidFill>
                <a:schemeClr val="accent6"/>
              </a:solidFill>
            </c:spPr>
            <c:extLst>
              <c:ext xmlns:c16="http://schemas.microsoft.com/office/drawing/2014/chart" uri="{C3380CC4-5D6E-409C-BE32-E72D297353CC}">
                <c16:uniqueId val="{0000000B-4817-4955-B809-5C3B00808F03}"/>
              </c:ext>
            </c:extLst>
          </c:dPt>
          <c:dPt>
            <c:idx val="6"/>
            <c:bubble3D val="0"/>
            <c:spPr>
              <a:solidFill>
                <a:schemeClr val="accent2"/>
              </a:solidFill>
            </c:spPr>
            <c:extLst>
              <c:ext xmlns:c16="http://schemas.microsoft.com/office/drawing/2014/chart" uri="{C3380CC4-5D6E-409C-BE32-E72D297353CC}">
                <c16:uniqueId val="{0000000D-4817-4955-B809-5C3B00808F03}"/>
              </c:ext>
            </c:extLst>
          </c:dPt>
          <c:dPt>
            <c:idx val="7"/>
            <c:bubble3D val="0"/>
            <c:spPr>
              <a:solidFill>
                <a:schemeClr val="accent4"/>
              </a:solidFill>
            </c:spPr>
            <c:extLst>
              <c:ext xmlns:c16="http://schemas.microsoft.com/office/drawing/2014/chart" uri="{C3380CC4-5D6E-409C-BE32-E72D297353CC}">
                <c16:uniqueId val="{0000000F-4817-4955-B809-5C3B00808F03}"/>
              </c:ext>
            </c:extLst>
          </c:dPt>
          <c:dPt>
            <c:idx val="8"/>
            <c:bubble3D val="0"/>
            <c:spPr>
              <a:solidFill>
                <a:schemeClr val="accent6"/>
              </a:solidFill>
            </c:spPr>
            <c:extLst>
              <c:ext xmlns:c16="http://schemas.microsoft.com/office/drawing/2014/chart" uri="{C3380CC4-5D6E-409C-BE32-E72D297353CC}">
                <c16:uniqueId val="{00000011-4817-4955-B809-5C3B00808F03}"/>
              </c:ext>
            </c:extLst>
          </c:dPt>
          <c:dPt>
            <c:idx val="9"/>
            <c:bubble3D val="0"/>
            <c:spPr>
              <a:solidFill>
                <a:schemeClr val="accent2"/>
              </a:solidFill>
            </c:spPr>
            <c:extLst>
              <c:ext xmlns:c16="http://schemas.microsoft.com/office/drawing/2014/chart" uri="{C3380CC4-5D6E-409C-BE32-E72D297353CC}">
                <c16:uniqueId val="{00000013-4817-4955-B809-5C3B00808F03}"/>
              </c:ext>
            </c:extLst>
          </c:dPt>
          <c:dPt>
            <c:idx val="10"/>
            <c:bubble3D val="0"/>
            <c:spPr>
              <a:solidFill>
                <a:schemeClr val="accent4"/>
              </a:solidFill>
            </c:spPr>
            <c:extLst>
              <c:ext xmlns:c16="http://schemas.microsoft.com/office/drawing/2014/chart" uri="{C3380CC4-5D6E-409C-BE32-E72D297353CC}">
                <c16:uniqueId val="{00000015-4817-4955-B809-5C3B00808F03}"/>
              </c:ext>
            </c:extLst>
          </c:dPt>
          <c:dPt>
            <c:idx val="11"/>
            <c:bubble3D val="0"/>
            <c:spPr>
              <a:solidFill>
                <a:schemeClr val="accent6"/>
              </a:solidFill>
            </c:spPr>
            <c:extLst>
              <c:ext xmlns:c16="http://schemas.microsoft.com/office/drawing/2014/chart" uri="{C3380CC4-5D6E-409C-BE32-E72D297353CC}">
                <c16:uniqueId val="{00000017-4817-4955-B809-5C3B00808F03}"/>
              </c:ext>
            </c:extLst>
          </c:dPt>
          <c:dPt>
            <c:idx val="12"/>
            <c:bubble3D val="0"/>
            <c:spPr>
              <a:solidFill>
                <a:schemeClr val="accent2"/>
              </a:solidFill>
            </c:spPr>
            <c:extLst>
              <c:ext xmlns:c16="http://schemas.microsoft.com/office/drawing/2014/chart" uri="{C3380CC4-5D6E-409C-BE32-E72D297353CC}">
                <c16:uniqueId val="{00000019-4817-4955-B809-5C3B00808F03}"/>
              </c:ext>
            </c:extLst>
          </c:dPt>
          <c:dPt>
            <c:idx val="13"/>
            <c:bubble3D val="0"/>
            <c:spPr>
              <a:solidFill>
                <a:schemeClr val="accent4"/>
              </a:solidFill>
            </c:spPr>
            <c:extLst>
              <c:ext xmlns:c16="http://schemas.microsoft.com/office/drawing/2014/chart" uri="{C3380CC4-5D6E-409C-BE32-E72D297353CC}">
                <c16:uniqueId val="{0000001B-4817-4955-B809-5C3B00808F03}"/>
              </c:ext>
            </c:extLst>
          </c:dPt>
          <c:dPt>
            <c:idx val="14"/>
            <c:bubble3D val="0"/>
            <c:spPr>
              <a:solidFill>
                <a:schemeClr val="accent6"/>
              </a:solidFill>
            </c:spPr>
            <c:extLst>
              <c:ext xmlns:c16="http://schemas.microsoft.com/office/drawing/2014/chart" uri="{C3380CC4-5D6E-409C-BE32-E72D297353CC}">
                <c16:uniqueId val="{0000001D-4817-4955-B809-5C3B00808F03}"/>
              </c:ext>
            </c:extLst>
          </c:dPt>
          <c:dPt>
            <c:idx val="15"/>
            <c:bubble3D val="0"/>
            <c:spPr>
              <a:solidFill>
                <a:schemeClr val="accent2"/>
              </a:solidFill>
            </c:spPr>
            <c:extLst>
              <c:ext xmlns:c16="http://schemas.microsoft.com/office/drawing/2014/chart" uri="{C3380CC4-5D6E-409C-BE32-E72D297353CC}">
                <c16:uniqueId val="{0000001F-4817-4955-B809-5C3B00808F03}"/>
              </c:ext>
            </c:extLst>
          </c:dPt>
          <c:dPt>
            <c:idx val="16"/>
            <c:bubble3D val="0"/>
            <c:spPr>
              <a:solidFill>
                <a:schemeClr val="accent4"/>
              </a:solidFill>
            </c:spPr>
            <c:extLst>
              <c:ext xmlns:c16="http://schemas.microsoft.com/office/drawing/2014/chart" uri="{C3380CC4-5D6E-409C-BE32-E72D297353CC}">
                <c16:uniqueId val="{00000021-4817-4955-B809-5C3B00808F03}"/>
              </c:ext>
            </c:extLst>
          </c:dPt>
          <c:dPt>
            <c:idx val="17"/>
            <c:bubble3D val="0"/>
            <c:spPr>
              <a:solidFill>
                <a:schemeClr val="accent6"/>
              </a:solidFill>
            </c:spPr>
            <c:extLst>
              <c:ext xmlns:c16="http://schemas.microsoft.com/office/drawing/2014/chart" uri="{C3380CC4-5D6E-409C-BE32-E72D297353CC}">
                <c16:uniqueId val="{00000023-4817-4955-B809-5C3B00808F03}"/>
              </c:ext>
            </c:extLst>
          </c:dPt>
          <c:dPt>
            <c:idx val="18"/>
            <c:bubble3D val="0"/>
            <c:spPr>
              <a:solidFill>
                <a:schemeClr val="accent2"/>
              </a:solidFill>
            </c:spPr>
            <c:extLst>
              <c:ext xmlns:c16="http://schemas.microsoft.com/office/drawing/2014/chart" uri="{C3380CC4-5D6E-409C-BE32-E72D297353CC}">
                <c16:uniqueId val="{00000025-4817-4955-B809-5C3B00808F03}"/>
              </c:ext>
            </c:extLst>
          </c:dPt>
          <c:dPt>
            <c:idx val="19"/>
            <c:bubble3D val="0"/>
            <c:spPr>
              <a:solidFill>
                <a:schemeClr val="accent4"/>
              </a:solidFill>
            </c:spPr>
            <c:extLst>
              <c:ext xmlns:c16="http://schemas.microsoft.com/office/drawing/2014/chart" uri="{C3380CC4-5D6E-409C-BE32-E72D297353CC}">
                <c16:uniqueId val="{00000027-4817-4955-B809-5C3B00808F03}"/>
              </c:ext>
            </c:extLst>
          </c:dPt>
          <c:dPt>
            <c:idx val="20"/>
            <c:bubble3D val="0"/>
            <c:spPr>
              <a:solidFill>
                <a:schemeClr val="accent6"/>
              </a:solidFill>
            </c:spPr>
            <c:extLst>
              <c:ext xmlns:c16="http://schemas.microsoft.com/office/drawing/2014/chart" uri="{C3380CC4-5D6E-409C-BE32-E72D297353CC}">
                <c16:uniqueId val="{00000029-4817-4955-B809-5C3B00808F03}"/>
              </c:ext>
            </c:extLst>
          </c:dPt>
          <c:dPt>
            <c:idx val="21"/>
            <c:bubble3D val="0"/>
            <c:spPr>
              <a:solidFill>
                <a:schemeClr val="accent2"/>
              </a:solidFill>
            </c:spPr>
            <c:extLst>
              <c:ext xmlns:c16="http://schemas.microsoft.com/office/drawing/2014/chart" uri="{C3380CC4-5D6E-409C-BE32-E72D297353CC}">
                <c16:uniqueId val="{0000002B-4817-4955-B809-5C3B00808F03}"/>
              </c:ext>
            </c:extLst>
          </c:dPt>
          <c:dPt>
            <c:idx val="22"/>
            <c:bubble3D val="0"/>
            <c:spPr>
              <a:solidFill>
                <a:schemeClr val="accent4"/>
              </a:solidFill>
            </c:spPr>
            <c:extLst>
              <c:ext xmlns:c16="http://schemas.microsoft.com/office/drawing/2014/chart" uri="{C3380CC4-5D6E-409C-BE32-E72D297353CC}">
                <c16:uniqueId val="{0000002D-4817-4955-B809-5C3B00808F03}"/>
              </c:ext>
            </c:extLst>
          </c:dPt>
          <c:dPt>
            <c:idx val="23"/>
            <c:bubble3D val="0"/>
            <c:spPr>
              <a:solidFill>
                <a:schemeClr val="accent6"/>
              </a:solidFill>
            </c:spPr>
            <c:extLst>
              <c:ext xmlns:c16="http://schemas.microsoft.com/office/drawing/2014/chart" uri="{C3380CC4-5D6E-409C-BE32-E72D297353CC}">
                <c16:uniqueId val="{0000002F-4817-4955-B809-5C3B00808F03}"/>
              </c:ext>
            </c:extLst>
          </c:dPt>
          <c:dPt>
            <c:idx val="24"/>
            <c:bubble3D val="0"/>
            <c:spPr>
              <a:solidFill>
                <a:schemeClr val="accent2"/>
              </a:solidFill>
            </c:spPr>
            <c:extLst>
              <c:ext xmlns:c16="http://schemas.microsoft.com/office/drawing/2014/chart" uri="{C3380CC4-5D6E-409C-BE32-E72D297353CC}">
                <c16:uniqueId val="{00000031-4817-4955-B809-5C3B00808F03}"/>
              </c:ext>
            </c:extLst>
          </c:dPt>
          <c:dPt>
            <c:idx val="25"/>
            <c:bubble3D val="0"/>
            <c:spPr>
              <a:solidFill>
                <a:schemeClr val="accent4"/>
              </a:solidFill>
            </c:spPr>
            <c:extLst>
              <c:ext xmlns:c16="http://schemas.microsoft.com/office/drawing/2014/chart" uri="{C3380CC4-5D6E-409C-BE32-E72D297353CC}">
                <c16:uniqueId val="{00000033-4817-4955-B809-5C3B00808F03}"/>
              </c:ext>
            </c:extLst>
          </c:dPt>
          <c:dPt>
            <c:idx val="26"/>
            <c:bubble3D val="0"/>
            <c:spPr>
              <a:solidFill>
                <a:schemeClr val="accent6"/>
              </a:solidFill>
            </c:spPr>
            <c:extLst>
              <c:ext xmlns:c16="http://schemas.microsoft.com/office/drawing/2014/chart" uri="{C3380CC4-5D6E-409C-BE32-E72D297353CC}">
                <c16:uniqueId val="{00000035-4817-4955-B809-5C3B00808F03}"/>
              </c:ext>
            </c:extLst>
          </c:dPt>
          <c:dPt>
            <c:idx val="27"/>
            <c:bubble3D val="0"/>
            <c:spPr>
              <a:solidFill>
                <a:schemeClr val="accent2"/>
              </a:solidFill>
            </c:spPr>
            <c:extLst>
              <c:ext xmlns:c16="http://schemas.microsoft.com/office/drawing/2014/chart" uri="{C3380CC4-5D6E-409C-BE32-E72D297353CC}">
                <c16:uniqueId val="{00000037-4817-4955-B809-5C3B00808F03}"/>
              </c:ext>
            </c:extLst>
          </c:dPt>
          <c:dPt>
            <c:idx val="28"/>
            <c:bubble3D val="0"/>
            <c:spPr>
              <a:solidFill>
                <a:schemeClr val="accent4"/>
              </a:solidFill>
            </c:spPr>
            <c:extLst>
              <c:ext xmlns:c16="http://schemas.microsoft.com/office/drawing/2014/chart" uri="{C3380CC4-5D6E-409C-BE32-E72D297353CC}">
                <c16:uniqueId val="{00000039-4817-4955-B809-5C3B00808F03}"/>
              </c:ext>
            </c:extLst>
          </c:dPt>
          <c:dPt>
            <c:idx val="29"/>
            <c:bubble3D val="0"/>
            <c:spPr>
              <a:solidFill>
                <a:schemeClr val="accent6"/>
              </a:solidFill>
            </c:spPr>
            <c:extLst>
              <c:ext xmlns:c16="http://schemas.microsoft.com/office/drawing/2014/chart" uri="{C3380CC4-5D6E-409C-BE32-E72D297353CC}">
                <c16:uniqueId val="{0000003B-4817-4955-B809-5C3B00808F03}"/>
              </c:ext>
            </c:extLst>
          </c:dPt>
          <c:dPt>
            <c:idx val="30"/>
            <c:bubble3D val="0"/>
            <c:spPr>
              <a:solidFill>
                <a:schemeClr val="accent2"/>
              </a:solidFill>
            </c:spPr>
            <c:extLst>
              <c:ext xmlns:c16="http://schemas.microsoft.com/office/drawing/2014/chart" uri="{C3380CC4-5D6E-409C-BE32-E72D297353CC}">
                <c16:uniqueId val="{0000003D-4817-4955-B809-5C3B00808F03}"/>
              </c:ext>
            </c:extLst>
          </c:dPt>
          <c:dPt>
            <c:idx val="31"/>
            <c:bubble3D val="0"/>
            <c:spPr>
              <a:solidFill>
                <a:schemeClr val="accent4"/>
              </a:solidFill>
            </c:spPr>
            <c:extLst>
              <c:ext xmlns:c16="http://schemas.microsoft.com/office/drawing/2014/chart" uri="{C3380CC4-5D6E-409C-BE32-E72D297353CC}">
                <c16:uniqueId val="{0000003F-4817-4955-B809-5C3B00808F03}"/>
              </c:ext>
            </c:extLst>
          </c:dPt>
          <c:dLbls>
            <c:spPr>
              <a:noFill/>
              <a:ln>
                <a:noFill/>
              </a:ln>
              <a:effectLst/>
            </c:spPr>
            <c:showLegendKey val="0"/>
            <c:showVal val="0"/>
            <c:showCatName val="0"/>
            <c:showSerName val="0"/>
            <c:showPercent val="1"/>
            <c:showBubbleSize val="0"/>
            <c:showLeaderLines val="1"/>
            <c:extLst>
              <c:ext xmlns:c15="http://schemas.microsoft.com/office/drawing/2012/chart" uri="{CE6537A1-D6FC-4f65-9D91-7224C49458BB}"/>
            </c:extLst>
          </c:dLbls>
          <c:cat>
            <c:strRef>
              <c:f>Sheet2!$B$2:$B$33</c:f>
              <c:strCache>
                <c:ptCount val="32"/>
                <c:pt idx="0">
                  <c:v>Cracking</c:v>
                </c:pt>
                <c:pt idx="1">
                  <c:v>Heat recovery</c:v>
                </c:pt>
                <c:pt idx="2">
                  <c:v>Power generation</c:v>
                </c:pt>
                <c:pt idx="3">
                  <c:v>Quenching</c:v>
                </c:pt>
                <c:pt idx="4">
                  <c:v>Compression</c:v>
                </c:pt>
                <c:pt idx="5">
                  <c:v>Drying</c:v>
                </c:pt>
                <c:pt idx="6">
                  <c:v>Refrigeration</c:v>
                </c:pt>
                <c:pt idx="7">
                  <c:v>Distillation</c:v>
                </c:pt>
                <c:pt idx="8">
                  <c:v>Pumping</c:v>
                </c:pt>
                <c:pt idx="9">
                  <c:v>Grinding</c:v>
                </c:pt>
                <c:pt idx="10">
                  <c:v>Homogenization</c:v>
                </c:pt>
                <c:pt idx="11">
                  <c:v>Calcination</c:v>
                </c:pt>
                <c:pt idx="12">
                  <c:v>Cooling</c:v>
                </c:pt>
                <c:pt idx="13">
                  <c:v>Steeping</c:v>
                </c:pt>
                <c:pt idx="14">
                  <c:v>Evaporation</c:v>
                </c:pt>
                <c:pt idx="15">
                  <c:v>Washing</c:v>
                </c:pt>
                <c:pt idx="16">
                  <c:v>Dewatering</c:v>
                </c:pt>
                <c:pt idx="17">
                  <c:v>Liquefaction</c:v>
                </c:pt>
                <c:pt idx="18">
                  <c:v>Saccharification</c:v>
                </c:pt>
                <c:pt idx="19">
                  <c:v>Centrifugation</c:v>
                </c:pt>
                <c:pt idx="20">
                  <c:v>Pasteurization</c:v>
                </c:pt>
                <c:pt idx="21">
                  <c:v>Heating</c:v>
                </c:pt>
                <c:pt idx="22">
                  <c:v>Sterilization</c:v>
                </c:pt>
                <c:pt idx="23">
                  <c:v>Packaging</c:v>
                </c:pt>
                <c:pt idx="24">
                  <c:v>Cleaning</c:v>
                </c:pt>
                <c:pt idx="25">
                  <c:v>Batching</c:v>
                </c:pt>
                <c:pt idx="26">
                  <c:v>Melting</c:v>
                </c:pt>
                <c:pt idx="27">
                  <c:v>Forming</c:v>
                </c:pt>
                <c:pt idx="28">
                  <c:v>Annealing</c:v>
                </c:pt>
                <c:pt idx="29">
                  <c:v>Finishing</c:v>
                </c:pt>
                <c:pt idx="30">
                  <c:v>Tempering</c:v>
                </c:pt>
                <c:pt idx="31">
                  <c:v>Laminating</c:v>
                </c:pt>
              </c:strCache>
            </c:strRef>
          </c:cat>
          <c:val>
            <c:numRef>
              <c:f>Sheet2!$C$2:$C$33</c:f>
              <c:numCache>
                <c:formatCode>General</c:formatCode>
                <c:ptCount val="32"/>
                <c:pt idx="0">
                  <c:v>622.11177280772063</c:v>
                </c:pt>
                <c:pt idx="4">
                  <c:v>33.808320000000009</c:v>
                </c:pt>
                <c:pt idx="5">
                  <c:v>261.71138461399977</c:v>
                </c:pt>
                <c:pt idx="6">
                  <c:v>33.808320000000009</c:v>
                </c:pt>
                <c:pt idx="7">
                  <c:v>1009.6323239487058</c:v>
                </c:pt>
                <c:pt idx="8">
                  <c:v>0.37926000000000004</c:v>
                </c:pt>
                <c:pt idx="9">
                  <c:v>23.581324627422891</c:v>
                </c:pt>
                <c:pt idx="10">
                  <c:v>2.0012705374827733</c:v>
                </c:pt>
                <c:pt idx="11">
                  <c:v>304.49330588688815</c:v>
                </c:pt>
                <c:pt idx="12">
                  <c:v>10.54365193504465</c:v>
                </c:pt>
                <c:pt idx="13">
                  <c:v>212.82650386118382</c:v>
                </c:pt>
                <c:pt idx="14">
                  <c:v>2583.7740982772912</c:v>
                </c:pt>
                <c:pt idx="15">
                  <c:v>1.2965235637439999E-2</c:v>
                </c:pt>
                <c:pt idx="16">
                  <c:v>13.131461747254928</c:v>
                </c:pt>
                <c:pt idx="17">
                  <c:v>378.15270609199996</c:v>
                </c:pt>
                <c:pt idx="18">
                  <c:v>378.15270609199996</c:v>
                </c:pt>
                <c:pt idx="19">
                  <c:v>0.6311098675747514</c:v>
                </c:pt>
                <c:pt idx="20">
                  <c:v>17.891329680708765</c:v>
                </c:pt>
                <c:pt idx="21">
                  <c:v>10.610824680708767</c:v>
                </c:pt>
                <c:pt idx="22">
                  <c:v>19.962674999999997</c:v>
                </c:pt>
                <c:pt idx="23">
                  <c:v>2.4349648442439067</c:v>
                </c:pt>
                <c:pt idx="24">
                  <c:v>0.37994206182119683</c:v>
                </c:pt>
                <c:pt idx="25">
                  <c:v>2.16</c:v>
                </c:pt>
                <c:pt idx="26">
                  <c:v>46.800000000000004</c:v>
                </c:pt>
                <c:pt idx="27">
                  <c:v>11.142857142857144</c:v>
                </c:pt>
                <c:pt idx="28">
                  <c:v>2.9520000000000004</c:v>
                </c:pt>
                <c:pt idx="29">
                  <c:v>4.3200000000000002E-2</c:v>
                </c:pt>
                <c:pt idx="30">
                  <c:v>30.168000000000003</c:v>
                </c:pt>
                <c:pt idx="31">
                  <c:v>4.6080000000000005</c:v>
                </c:pt>
              </c:numCache>
            </c:numRef>
          </c:val>
          <c:extLst>
            <c:ext xmlns:c16="http://schemas.microsoft.com/office/drawing/2014/chart" uri="{C3380CC4-5D6E-409C-BE32-E72D297353CC}">
              <c16:uniqueId val="{00000040-4817-4955-B809-5C3B00808F03}"/>
            </c:ext>
          </c:extLst>
        </c:ser>
        <c:dLbls>
          <c:showLegendKey val="0"/>
          <c:showVal val="0"/>
          <c:showCatName val="0"/>
          <c:showSerName val="0"/>
          <c:showPercent val="0"/>
          <c:showBubbleSize val="0"/>
          <c:showLeaderLines val="1"/>
        </c:dLbls>
        <c:firstSliceAng val="0"/>
      </c:pieChart>
    </c:plotArea>
    <c:legend>
      <c:legendPos val="b"/>
      <c:layout>
        <c:manualLayout>
          <c:xMode val="edge"/>
          <c:yMode val="edge"/>
          <c:x val="8.1656591243922175E-2"/>
          <c:y val="0.67297741191441973"/>
        </c:manualLayout>
      </c:layout>
      <c:overlay val="0"/>
      <c:txPr>
        <a:bodyPr/>
        <a:lstStyle/>
        <a:p>
          <a:pPr lvl="0">
            <a:defRPr sz="900" b="0" i="0">
              <a:solidFill>
                <a:srgbClr val="1A1A1A"/>
              </a:solidFill>
              <a:latin typeface="Aptos"/>
            </a:defRPr>
          </a:pPr>
          <a:endParaRPr lang="en-US"/>
        </a:p>
      </c:txPr>
    </c:legend>
    <c:plotVisOnly val="1"/>
    <c:dispBlanksAs val="zero"/>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pieChart>
        <c:varyColors val="1"/>
        <c:ser>
          <c:idx val="0"/>
          <c:order val="0"/>
          <c:dPt>
            <c:idx val="0"/>
            <c:bubble3D val="0"/>
            <c:spPr>
              <a:solidFill>
                <a:schemeClr val="accent1"/>
              </a:solidFill>
            </c:spPr>
            <c:extLst>
              <c:ext xmlns:c16="http://schemas.microsoft.com/office/drawing/2014/chart" uri="{C3380CC4-5D6E-409C-BE32-E72D297353CC}">
                <c16:uniqueId val="{00000001-CF3D-4653-8932-D1971ADB8CAD}"/>
              </c:ext>
            </c:extLst>
          </c:dPt>
          <c:dPt>
            <c:idx val="1"/>
            <c:bubble3D val="0"/>
            <c:spPr>
              <a:solidFill>
                <a:schemeClr val="accent2"/>
              </a:solidFill>
            </c:spPr>
            <c:extLst>
              <c:ext xmlns:c16="http://schemas.microsoft.com/office/drawing/2014/chart" uri="{C3380CC4-5D6E-409C-BE32-E72D297353CC}">
                <c16:uniqueId val="{00000003-CF3D-4653-8932-D1971ADB8CAD}"/>
              </c:ext>
            </c:extLst>
          </c:dPt>
          <c:dPt>
            <c:idx val="2"/>
            <c:bubble3D val="0"/>
            <c:spPr>
              <a:solidFill>
                <a:schemeClr val="accent3"/>
              </a:solidFill>
            </c:spPr>
            <c:extLst>
              <c:ext xmlns:c16="http://schemas.microsoft.com/office/drawing/2014/chart" uri="{C3380CC4-5D6E-409C-BE32-E72D297353CC}">
                <c16:uniqueId val="{00000005-CF3D-4653-8932-D1971ADB8CAD}"/>
              </c:ext>
            </c:extLst>
          </c:dPt>
          <c:dPt>
            <c:idx val="3"/>
            <c:bubble3D val="0"/>
            <c:spPr>
              <a:solidFill>
                <a:schemeClr val="accent4"/>
              </a:solidFill>
            </c:spPr>
            <c:extLst>
              <c:ext xmlns:c16="http://schemas.microsoft.com/office/drawing/2014/chart" uri="{C3380CC4-5D6E-409C-BE32-E72D297353CC}">
                <c16:uniqueId val="{00000007-CF3D-4653-8932-D1971ADB8CAD}"/>
              </c:ext>
            </c:extLst>
          </c:dPt>
          <c:dPt>
            <c:idx val="4"/>
            <c:bubble3D val="0"/>
            <c:spPr>
              <a:solidFill>
                <a:schemeClr val="accent5"/>
              </a:solidFill>
            </c:spPr>
            <c:extLst>
              <c:ext xmlns:c16="http://schemas.microsoft.com/office/drawing/2014/chart" uri="{C3380CC4-5D6E-409C-BE32-E72D297353CC}">
                <c16:uniqueId val="{00000009-CF3D-4653-8932-D1971ADB8CAD}"/>
              </c:ext>
            </c:extLst>
          </c:dPt>
          <c:dLbls>
            <c:spPr>
              <a:noFill/>
              <a:ln>
                <a:noFill/>
              </a:ln>
              <a:effectLst/>
            </c:spPr>
            <c:showLegendKey val="0"/>
            <c:showVal val="0"/>
            <c:showCatName val="0"/>
            <c:showSerName val="0"/>
            <c:showPercent val="1"/>
            <c:showBubbleSize val="0"/>
            <c:showLeaderLines val="1"/>
            <c:extLst>
              <c:ext xmlns:c15="http://schemas.microsoft.com/office/drawing/2012/chart" uri="{CE6537A1-D6FC-4f65-9D91-7224C49458BB}"/>
            </c:extLst>
          </c:dLbls>
          <c:cat>
            <c:strRef>
              <c:f>Sheet2!$B$43:$B$47</c:f>
              <c:strCache>
                <c:ptCount val="5"/>
                <c:pt idx="0">
                  <c:v>Molecular sieve dryer</c:v>
                </c:pt>
                <c:pt idx="1">
                  <c:v>Rotary steam tube dryers</c:v>
                </c:pt>
                <c:pt idx="2">
                  <c:v>Direct fired rotary dryers</c:v>
                </c:pt>
                <c:pt idx="3">
                  <c:v>Flash dryers</c:v>
                </c:pt>
                <c:pt idx="4">
                  <c:v>Double drum hot roll dryers</c:v>
                </c:pt>
              </c:strCache>
            </c:strRef>
          </c:cat>
          <c:val>
            <c:numRef>
              <c:f>Sheet2!$C$43:$C$47</c:f>
              <c:numCache>
                <c:formatCode>General</c:formatCode>
                <c:ptCount val="5"/>
                <c:pt idx="0">
                  <c:v>0</c:v>
                </c:pt>
                <c:pt idx="1">
                  <c:v>231.28089613662496</c:v>
                </c:pt>
                <c:pt idx="2">
                  <c:v>13.923042420155879</c:v>
                </c:pt>
                <c:pt idx="3">
                  <c:v>1.9215559650989198</c:v>
                </c:pt>
                <c:pt idx="4">
                  <c:v>14.58589009212</c:v>
                </c:pt>
              </c:numCache>
            </c:numRef>
          </c:val>
          <c:extLst>
            <c:ext xmlns:c16="http://schemas.microsoft.com/office/drawing/2014/chart" uri="{C3380CC4-5D6E-409C-BE32-E72D297353CC}">
              <c16:uniqueId val="{0000000A-CF3D-4653-8932-D1971ADB8CAD}"/>
            </c:ext>
          </c:extLst>
        </c:ser>
        <c:dLbls>
          <c:showLegendKey val="0"/>
          <c:showVal val="0"/>
          <c:showCatName val="0"/>
          <c:showSerName val="0"/>
          <c:showPercent val="0"/>
          <c:showBubbleSize val="0"/>
          <c:showLeaderLines val="1"/>
        </c:dLbls>
        <c:firstSliceAng val="0"/>
      </c:pieChart>
    </c:plotArea>
    <c:legend>
      <c:legendPos val="b"/>
      <c:overlay val="0"/>
      <c:txPr>
        <a:bodyPr/>
        <a:lstStyle/>
        <a:p>
          <a:pPr lvl="0">
            <a:defRPr sz="900" b="0" i="0">
              <a:solidFill>
                <a:srgbClr val="1A1A1A"/>
              </a:solidFill>
              <a:latin typeface="Aptos"/>
            </a:defRPr>
          </a:pPr>
          <a:endParaRPr lang="en-US"/>
        </a:p>
      </c:txPr>
    </c:legend>
    <c:plotVisOnly val="1"/>
    <c:dispBlanksAs val="zero"/>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pieChart>
        <c:varyColors val="1"/>
        <c:ser>
          <c:idx val="0"/>
          <c:order val="0"/>
          <c:dPt>
            <c:idx val="0"/>
            <c:bubble3D val="0"/>
            <c:spPr>
              <a:solidFill>
                <a:schemeClr val="accent6"/>
              </a:solidFill>
            </c:spPr>
            <c:extLst>
              <c:ext xmlns:c16="http://schemas.microsoft.com/office/drawing/2014/chart" uri="{C3380CC4-5D6E-409C-BE32-E72D297353CC}">
                <c16:uniqueId val="{00000001-19F6-4C6A-AB47-C17346FBAB6F}"/>
              </c:ext>
            </c:extLst>
          </c:dPt>
          <c:dPt>
            <c:idx val="1"/>
            <c:bubble3D val="0"/>
            <c:spPr>
              <a:solidFill>
                <a:schemeClr val="accent5"/>
              </a:solidFill>
            </c:spPr>
            <c:extLst>
              <c:ext xmlns:c16="http://schemas.microsoft.com/office/drawing/2014/chart" uri="{C3380CC4-5D6E-409C-BE32-E72D297353CC}">
                <c16:uniqueId val="{00000003-19F6-4C6A-AB47-C17346FBAB6F}"/>
              </c:ext>
            </c:extLst>
          </c:dPt>
          <c:dPt>
            <c:idx val="2"/>
            <c:bubble3D val="0"/>
            <c:spPr>
              <a:solidFill>
                <a:schemeClr val="accent4"/>
              </a:solidFill>
            </c:spPr>
            <c:extLst>
              <c:ext xmlns:c16="http://schemas.microsoft.com/office/drawing/2014/chart" uri="{C3380CC4-5D6E-409C-BE32-E72D297353CC}">
                <c16:uniqueId val="{00000005-19F6-4C6A-AB47-C17346FBAB6F}"/>
              </c:ext>
            </c:extLst>
          </c:dPt>
          <c:dLbls>
            <c:spPr>
              <a:noFill/>
              <a:ln>
                <a:noFill/>
              </a:ln>
              <a:effectLst/>
            </c:spPr>
            <c:showLegendKey val="0"/>
            <c:showVal val="0"/>
            <c:showCatName val="0"/>
            <c:showSerName val="0"/>
            <c:showPercent val="1"/>
            <c:showBubbleSize val="0"/>
            <c:showLeaderLines val="1"/>
            <c:extLst>
              <c:ext xmlns:c15="http://schemas.microsoft.com/office/drawing/2012/chart" uri="{CE6537A1-D6FC-4f65-9D91-7224C49458BB}"/>
            </c:extLst>
          </c:dLbls>
          <c:cat>
            <c:strRef>
              <c:f>Sheet2!$B$50:$B$52</c:f>
              <c:strCache>
                <c:ptCount val="3"/>
                <c:pt idx="0">
                  <c:v>&lt; 100°C</c:v>
                </c:pt>
                <c:pt idx="1">
                  <c:v>≥ 100 - 149°C</c:v>
                </c:pt>
                <c:pt idx="2">
                  <c:v>≥ 150°C</c:v>
                </c:pt>
              </c:strCache>
            </c:strRef>
          </c:cat>
          <c:val>
            <c:numRef>
              <c:f>Sheet2!$C$50:$C$52</c:f>
              <c:numCache>
                <c:formatCode>General</c:formatCode>
                <c:ptCount val="3"/>
                <c:pt idx="0">
                  <c:v>13.923042420155879</c:v>
                </c:pt>
                <c:pt idx="1">
                  <c:v>12.110610521672079</c:v>
                </c:pt>
                <c:pt idx="2">
                  <c:v>247.78834219384387</c:v>
                </c:pt>
              </c:numCache>
            </c:numRef>
          </c:val>
          <c:extLst>
            <c:ext xmlns:c16="http://schemas.microsoft.com/office/drawing/2014/chart" uri="{C3380CC4-5D6E-409C-BE32-E72D297353CC}">
              <c16:uniqueId val="{00000006-19F6-4C6A-AB47-C17346FBAB6F}"/>
            </c:ext>
          </c:extLst>
        </c:ser>
        <c:dLbls>
          <c:showLegendKey val="0"/>
          <c:showVal val="0"/>
          <c:showCatName val="0"/>
          <c:showSerName val="0"/>
          <c:showPercent val="0"/>
          <c:showBubbleSize val="0"/>
          <c:showLeaderLines val="1"/>
        </c:dLbls>
        <c:firstSliceAng val="0"/>
      </c:pieChart>
    </c:plotArea>
    <c:legend>
      <c:legendPos val="b"/>
      <c:overlay val="0"/>
      <c:txPr>
        <a:bodyPr/>
        <a:lstStyle/>
        <a:p>
          <a:pPr lvl="0">
            <a:defRPr sz="900" b="0" i="0">
              <a:solidFill>
                <a:srgbClr val="1A1A1A"/>
              </a:solidFill>
              <a:latin typeface="Aptos"/>
            </a:defRPr>
          </a:pPr>
          <a:endParaRPr lang="en-US"/>
        </a:p>
      </c:txPr>
    </c:legend>
    <c:plotVisOnly val="1"/>
    <c:dispBlanksAs val="zero"/>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400" b="1" i="0">
                <a:solidFill>
                  <a:srgbClr val="757575"/>
                </a:solidFill>
                <a:latin typeface="+mn-lt"/>
              </a:defRPr>
            </a:pPr>
            <a:r>
              <a:rPr sz="1400" b="1" i="0">
                <a:solidFill>
                  <a:srgbClr val="757575"/>
                </a:solidFill>
                <a:latin typeface="+mn-lt"/>
              </a:rPr>
              <a:t>Energy Breakdown across Unit Operations</a:t>
            </a:r>
          </a:p>
        </c:rich>
      </c:tx>
      <c:overlay val="0"/>
    </c:title>
    <c:autoTitleDeleted val="0"/>
    <c:plotArea>
      <c:layout>
        <c:manualLayout>
          <c:xMode val="edge"/>
          <c:yMode val="edge"/>
          <c:x val="0.17549590491903694"/>
          <c:y val="7.5712818962873407E-2"/>
          <c:w val="0.68116864229949525"/>
          <c:h val="0.60175906888873787"/>
        </c:manualLayout>
      </c:layout>
      <c:pieChart>
        <c:varyColors val="1"/>
        <c:ser>
          <c:idx val="0"/>
          <c:order val="0"/>
          <c:dPt>
            <c:idx val="0"/>
            <c:bubble3D val="0"/>
            <c:spPr>
              <a:solidFill>
                <a:schemeClr val="accent1"/>
              </a:solidFill>
            </c:spPr>
            <c:extLst>
              <c:ext xmlns:c16="http://schemas.microsoft.com/office/drawing/2014/chart" uri="{C3380CC4-5D6E-409C-BE32-E72D297353CC}">
                <c16:uniqueId val="{00000001-06D0-451F-9F91-7D9C157D113C}"/>
              </c:ext>
            </c:extLst>
          </c:dPt>
          <c:dPt>
            <c:idx val="1"/>
            <c:bubble3D val="0"/>
            <c:spPr>
              <a:solidFill>
                <a:schemeClr val="accent2"/>
              </a:solidFill>
            </c:spPr>
            <c:extLst>
              <c:ext xmlns:c16="http://schemas.microsoft.com/office/drawing/2014/chart" uri="{C3380CC4-5D6E-409C-BE32-E72D297353CC}">
                <c16:uniqueId val="{00000003-06D0-451F-9F91-7D9C157D113C}"/>
              </c:ext>
            </c:extLst>
          </c:dPt>
          <c:dPt>
            <c:idx val="2"/>
            <c:bubble3D val="0"/>
            <c:spPr>
              <a:solidFill>
                <a:schemeClr val="accent3"/>
              </a:solidFill>
            </c:spPr>
            <c:extLst>
              <c:ext xmlns:c16="http://schemas.microsoft.com/office/drawing/2014/chart" uri="{C3380CC4-5D6E-409C-BE32-E72D297353CC}">
                <c16:uniqueId val="{00000005-06D0-451F-9F91-7D9C157D113C}"/>
              </c:ext>
            </c:extLst>
          </c:dPt>
          <c:dPt>
            <c:idx val="3"/>
            <c:bubble3D val="0"/>
            <c:spPr>
              <a:solidFill>
                <a:schemeClr val="accent4"/>
              </a:solidFill>
            </c:spPr>
            <c:extLst>
              <c:ext xmlns:c16="http://schemas.microsoft.com/office/drawing/2014/chart" uri="{C3380CC4-5D6E-409C-BE32-E72D297353CC}">
                <c16:uniqueId val="{00000007-06D0-451F-9F91-7D9C157D113C}"/>
              </c:ext>
            </c:extLst>
          </c:dPt>
          <c:dPt>
            <c:idx val="4"/>
            <c:bubble3D val="0"/>
            <c:spPr>
              <a:solidFill>
                <a:schemeClr val="accent5"/>
              </a:solidFill>
            </c:spPr>
            <c:extLst>
              <c:ext xmlns:c16="http://schemas.microsoft.com/office/drawing/2014/chart" uri="{C3380CC4-5D6E-409C-BE32-E72D297353CC}">
                <c16:uniqueId val="{00000009-06D0-451F-9F91-7D9C157D113C}"/>
              </c:ext>
            </c:extLst>
          </c:dPt>
          <c:dPt>
            <c:idx val="5"/>
            <c:bubble3D val="0"/>
            <c:spPr>
              <a:solidFill>
                <a:schemeClr val="accent6"/>
              </a:solidFill>
            </c:spPr>
            <c:extLst>
              <c:ext xmlns:c16="http://schemas.microsoft.com/office/drawing/2014/chart" uri="{C3380CC4-5D6E-409C-BE32-E72D297353CC}">
                <c16:uniqueId val="{0000000B-06D0-451F-9F91-7D9C157D113C}"/>
              </c:ext>
            </c:extLst>
          </c:dPt>
          <c:dPt>
            <c:idx val="6"/>
            <c:bubble3D val="0"/>
            <c:spPr>
              <a:solidFill>
                <a:schemeClr val="accent1"/>
              </a:solidFill>
            </c:spPr>
            <c:extLst>
              <c:ext xmlns:c16="http://schemas.microsoft.com/office/drawing/2014/chart" uri="{C3380CC4-5D6E-409C-BE32-E72D297353CC}">
                <c16:uniqueId val="{0000000D-06D0-451F-9F91-7D9C157D113C}"/>
              </c:ext>
            </c:extLst>
          </c:dPt>
          <c:dPt>
            <c:idx val="7"/>
            <c:bubble3D val="0"/>
            <c:spPr>
              <a:solidFill>
                <a:schemeClr val="accent2"/>
              </a:solidFill>
            </c:spPr>
            <c:extLst>
              <c:ext xmlns:c16="http://schemas.microsoft.com/office/drawing/2014/chart" uri="{C3380CC4-5D6E-409C-BE32-E72D297353CC}">
                <c16:uniqueId val="{0000000F-06D0-451F-9F91-7D9C157D113C}"/>
              </c:ext>
            </c:extLst>
          </c:dPt>
          <c:dPt>
            <c:idx val="8"/>
            <c:bubble3D val="0"/>
            <c:spPr>
              <a:solidFill>
                <a:schemeClr val="accent3"/>
              </a:solidFill>
            </c:spPr>
            <c:extLst>
              <c:ext xmlns:c16="http://schemas.microsoft.com/office/drawing/2014/chart" uri="{C3380CC4-5D6E-409C-BE32-E72D297353CC}">
                <c16:uniqueId val="{00000011-06D0-451F-9F91-7D9C157D113C}"/>
              </c:ext>
            </c:extLst>
          </c:dPt>
          <c:dPt>
            <c:idx val="9"/>
            <c:bubble3D val="0"/>
            <c:spPr>
              <a:solidFill>
                <a:schemeClr val="accent4"/>
              </a:solidFill>
            </c:spPr>
            <c:extLst>
              <c:ext xmlns:c16="http://schemas.microsoft.com/office/drawing/2014/chart" uri="{C3380CC4-5D6E-409C-BE32-E72D297353CC}">
                <c16:uniqueId val="{00000013-06D0-451F-9F91-7D9C157D113C}"/>
              </c:ext>
            </c:extLst>
          </c:dPt>
          <c:dPt>
            <c:idx val="10"/>
            <c:bubble3D val="0"/>
            <c:spPr>
              <a:solidFill>
                <a:schemeClr val="accent5"/>
              </a:solidFill>
            </c:spPr>
            <c:extLst>
              <c:ext xmlns:c16="http://schemas.microsoft.com/office/drawing/2014/chart" uri="{C3380CC4-5D6E-409C-BE32-E72D297353CC}">
                <c16:uniqueId val="{00000015-06D0-451F-9F91-7D9C157D113C}"/>
              </c:ext>
            </c:extLst>
          </c:dPt>
          <c:dPt>
            <c:idx val="11"/>
            <c:bubble3D val="0"/>
            <c:spPr>
              <a:solidFill>
                <a:schemeClr val="accent6"/>
              </a:solidFill>
            </c:spPr>
            <c:extLst>
              <c:ext xmlns:c16="http://schemas.microsoft.com/office/drawing/2014/chart" uri="{C3380CC4-5D6E-409C-BE32-E72D297353CC}">
                <c16:uniqueId val="{00000017-06D0-451F-9F91-7D9C157D113C}"/>
              </c:ext>
            </c:extLst>
          </c:dPt>
          <c:dPt>
            <c:idx val="12"/>
            <c:bubble3D val="0"/>
            <c:spPr>
              <a:solidFill>
                <a:schemeClr val="accent1"/>
              </a:solidFill>
            </c:spPr>
            <c:extLst>
              <c:ext xmlns:c16="http://schemas.microsoft.com/office/drawing/2014/chart" uri="{C3380CC4-5D6E-409C-BE32-E72D297353CC}">
                <c16:uniqueId val="{00000019-06D0-451F-9F91-7D9C157D113C}"/>
              </c:ext>
            </c:extLst>
          </c:dPt>
          <c:dPt>
            <c:idx val="13"/>
            <c:bubble3D val="0"/>
            <c:spPr>
              <a:solidFill>
                <a:schemeClr val="accent2"/>
              </a:solidFill>
            </c:spPr>
            <c:extLst>
              <c:ext xmlns:c16="http://schemas.microsoft.com/office/drawing/2014/chart" uri="{C3380CC4-5D6E-409C-BE32-E72D297353CC}">
                <c16:uniqueId val="{0000001B-06D0-451F-9F91-7D9C157D113C}"/>
              </c:ext>
            </c:extLst>
          </c:dPt>
          <c:dPt>
            <c:idx val="14"/>
            <c:bubble3D val="0"/>
            <c:spPr>
              <a:solidFill>
                <a:schemeClr val="accent3"/>
              </a:solidFill>
            </c:spPr>
            <c:extLst>
              <c:ext xmlns:c16="http://schemas.microsoft.com/office/drawing/2014/chart" uri="{C3380CC4-5D6E-409C-BE32-E72D297353CC}">
                <c16:uniqueId val="{0000001D-06D0-451F-9F91-7D9C157D113C}"/>
              </c:ext>
            </c:extLst>
          </c:dPt>
          <c:dPt>
            <c:idx val="15"/>
            <c:bubble3D val="0"/>
            <c:spPr>
              <a:solidFill>
                <a:schemeClr val="accent4"/>
              </a:solidFill>
            </c:spPr>
            <c:extLst>
              <c:ext xmlns:c16="http://schemas.microsoft.com/office/drawing/2014/chart" uri="{C3380CC4-5D6E-409C-BE32-E72D297353CC}">
                <c16:uniqueId val="{0000001F-06D0-451F-9F91-7D9C157D113C}"/>
              </c:ext>
            </c:extLst>
          </c:dPt>
          <c:dPt>
            <c:idx val="16"/>
            <c:bubble3D val="0"/>
            <c:spPr>
              <a:solidFill>
                <a:schemeClr val="accent5"/>
              </a:solidFill>
            </c:spPr>
            <c:extLst>
              <c:ext xmlns:c16="http://schemas.microsoft.com/office/drawing/2014/chart" uri="{C3380CC4-5D6E-409C-BE32-E72D297353CC}">
                <c16:uniqueId val="{00000021-06D0-451F-9F91-7D9C157D113C}"/>
              </c:ext>
            </c:extLst>
          </c:dPt>
          <c:dPt>
            <c:idx val="17"/>
            <c:bubble3D val="0"/>
            <c:spPr>
              <a:solidFill>
                <a:schemeClr val="accent6"/>
              </a:solidFill>
            </c:spPr>
            <c:extLst>
              <c:ext xmlns:c16="http://schemas.microsoft.com/office/drawing/2014/chart" uri="{C3380CC4-5D6E-409C-BE32-E72D297353CC}">
                <c16:uniqueId val="{00000023-06D0-451F-9F91-7D9C157D113C}"/>
              </c:ext>
            </c:extLst>
          </c:dPt>
          <c:dPt>
            <c:idx val="18"/>
            <c:bubble3D val="0"/>
            <c:spPr>
              <a:solidFill>
                <a:schemeClr val="accent1"/>
              </a:solidFill>
            </c:spPr>
            <c:extLst>
              <c:ext xmlns:c16="http://schemas.microsoft.com/office/drawing/2014/chart" uri="{C3380CC4-5D6E-409C-BE32-E72D297353CC}">
                <c16:uniqueId val="{00000025-06D0-451F-9F91-7D9C157D113C}"/>
              </c:ext>
            </c:extLst>
          </c:dPt>
          <c:dPt>
            <c:idx val="19"/>
            <c:bubble3D val="0"/>
            <c:spPr>
              <a:solidFill>
                <a:schemeClr val="accent2"/>
              </a:solidFill>
            </c:spPr>
            <c:extLst>
              <c:ext xmlns:c16="http://schemas.microsoft.com/office/drawing/2014/chart" uri="{C3380CC4-5D6E-409C-BE32-E72D297353CC}">
                <c16:uniqueId val="{00000027-06D0-451F-9F91-7D9C157D113C}"/>
              </c:ext>
            </c:extLst>
          </c:dPt>
          <c:dPt>
            <c:idx val="20"/>
            <c:bubble3D val="0"/>
            <c:spPr>
              <a:solidFill>
                <a:schemeClr val="accent3"/>
              </a:solidFill>
            </c:spPr>
            <c:extLst>
              <c:ext xmlns:c16="http://schemas.microsoft.com/office/drawing/2014/chart" uri="{C3380CC4-5D6E-409C-BE32-E72D297353CC}">
                <c16:uniqueId val="{00000029-06D0-451F-9F91-7D9C157D113C}"/>
              </c:ext>
            </c:extLst>
          </c:dPt>
          <c:dPt>
            <c:idx val="21"/>
            <c:bubble3D val="0"/>
            <c:spPr>
              <a:solidFill>
                <a:schemeClr val="accent4"/>
              </a:solidFill>
            </c:spPr>
            <c:extLst>
              <c:ext xmlns:c16="http://schemas.microsoft.com/office/drawing/2014/chart" uri="{C3380CC4-5D6E-409C-BE32-E72D297353CC}">
                <c16:uniqueId val="{0000002B-06D0-451F-9F91-7D9C157D113C}"/>
              </c:ext>
            </c:extLst>
          </c:dPt>
          <c:dPt>
            <c:idx val="22"/>
            <c:bubble3D val="0"/>
            <c:spPr>
              <a:solidFill>
                <a:schemeClr val="accent5"/>
              </a:solidFill>
            </c:spPr>
            <c:extLst>
              <c:ext xmlns:c16="http://schemas.microsoft.com/office/drawing/2014/chart" uri="{C3380CC4-5D6E-409C-BE32-E72D297353CC}">
                <c16:uniqueId val="{0000002D-06D0-451F-9F91-7D9C157D113C}"/>
              </c:ext>
            </c:extLst>
          </c:dPt>
          <c:dPt>
            <c:idx val="23"/>
            <c:bubble3D val="0"/>
            <c:spPr>
              <a:solidFill>
                <a:schemeClr val="accent6"/>
              </a:solidFill>
            </c:spPr>
            <c:extLst>
              <c:ext xmlns:c16="http://schemas.microsoft.com/office/drawing/2014/chart" uri="{C3380CC4-5D6E-409C-BE32-E72D297353CC}">
                <c16:uniqueId val="{0000002F-06D0-451F-9F91-7D9C157D113C}"/>
              </c:ext>
            </c:extLst>
          </c:dPt>
          <c:dPt>
            <c:idx val="24"/>
            <c:bubble3D val="0"/>
            <c:spPr>
              <a:solidFill>
                <a:schemeClr val="accent1"/>
              </a:solidFill>
            </c:spPr>
            <c:extLst>
              <c:ext xmlns:c16="http://schemas.microsoft.com/office/drawing/2014/chart" uri="{C3380CC4-5D6E-409C-BE32-E72D297353CC}">
                <c16:uniqueId val="{00000031-06D0-451F-9F91-7D9C157D113C}"/>
              </c:ext>
            </c:extLst>
          </c:dPt>
          <c:dPt>
            <c:idx val="25"/>
            <c:bubble3D val="0"/>
            <c:spPr>
              <a:solidFill>
                <a:schemeClr val="accent2"/>
              </a:solidFill>
            </c:spPr>
            <c:extLst>
              <c:ext xmlns:c16="http://schemas.microsoft.com/office/drawing/2014/chart" uri="{C3380CC4-5D6E-409C-BE32-E72D297353CC}">
                <c16:uniqueId val="{00000033-06D0-451F-9F91-7D9C157D113C}"/>
              </c:ext>
            </c:extLst>
          </c:dPt>
          <c:dPt>
            <c:idx val="26"/>
            <c:bubble3D val="0"/>
            <c:spPr>
              <a:solidFill>
                <a:schemeClr val="accent3"/>
              </a:solidFill>
            </c:spPr>
            <c:extLst>
              <c:ext xmlns:c16="http://schemas.microsoft.com/office/drawing/2014/chart" uri="{C3380CC4-5D6E-409C-BE32-E72D297353CC}">
                <c16:uniqueId val="{00000035-06D0-451F-9F91-7D9C157D113C}"/>
              </c:ext>
            </c:extLst>
          </c:dPt>
          <c:dPt>
            <c:idx val="27"/>
            <c:bubble3D val="0"/>
            <c:spPr>
              <a:solidFill>
                <a:schemeClr val="accent4"/>
              </a:solidFill>
            </c:spPr>
            <c:extLst>
              <c:ext xmlns:c16="http://schemas.microsoft.com/office/drawing/2014/chart" uri="{C3380CC4-5D6E-409C-BE32-E72D297353CC}">
                <c16:uniqueId val="{00000037-06D0-451F-9F91-7D9C157D113C}"/>
              </c:ext>
            </c:extLst>
          </c:dPt>
          <c:dPt>
            <c:idx val="28"/>
            <c:bubble3D val="0"/>
            <c:spPr>
              <a:solidFill>
                <a:schemeClr val="accent5"/>
              </a:solidFill>
            </c:spPr>
            <c:extLst>
              <c:ext xmlns:c16="http://schemas.microsoft.com/office/drawing/2014/chart" uri="{C3380CC4-5D6E-409C-BE32-E72D297353CC}">
                <c16:uniqueId val="{00000039-06D0-451F-9F91-7D9C157D113C}"/>
              </c:ext>
            </c:extLst>
          </c:dPt>
          <c:dPt>
            <c:idx val="29"/>
            <c:bubble3D val="0"/>
            <c:spPr>
              <a:solidFill>
                <a:schemeClr val="accent6"/>
              </a:solidFill>
            </c:spPr>
            <c:extLst>
              <c:ext xmlns:c16="http://schemas.microsoft.com/office/drawing/2014/chart" uri="{C3380CC4-5D6E-409C-BE32-E72D297353CC}">
                <c16:uniqueId val="{0000003B-06D0-451F-9F91-7D9C157D113C}"/>
              </c:ext>
            </c:extLst>
          </c:dPt>
          <c:dPt>
            <c:idx val="30"/>
            <c:bubble3D val="0"/>
            <c:spPr>
              <a:solidFill>
                <a:schemeClr val="accent1"/>
              </a:solidFill>
            </c:spPr>
            <c:extLst>
              <c:ext xmlns:c16="http://schemas.microsoft.com/office/drawing/2014/chart" uri="{C3380CC4-5D6E-409C-BE32-E72D297353CC}">
                <c16:uniqueId val="{0000003D-06D0-451F-9F91-7D9C157D113C}"/>
              </c:ext>
            </c:extLst>
          </c:dPt>
          <c:dPt>
            <c:idx val="31"/>
            <c:bubble3D val="0"/>
            <c:spPr>
              <a:solidFill>
                <a:schemeClr val="accent2"/>
              </a:solidFill>
            </c:spPr>
            <c:extLst>
              <c:ext xmlns:c16="http://schemas.microsoft.com/office/drawing/2014/chart" uri="{C3380CC4-5D6E-409C-BE32-E72D297353CC}">
                <c16:uniqueId val="{0000003F-06D0-451F-9F91-7D9C157D113C}"/>
              </c:ext>
            </c:extLst>
          </c:dPt>
          <c:dPt>
            <c:idx val="32"/>
            <c:bubble3D val="0"/>
            <c:spPr>
              <a:solidFill>
                <a:schemeClr val="accent3"/>
              </a:solidFill>
            </c:spPr>
            <c:extLst>
              <c:ext xmlns:c16="http://schemas.microsoft.com/office/drawing/2014/chart" uri="{C3380CC4-5D6E-409C-BE32-E72D297353CC}">
                <c16:uniqueId val="{00000041-06D0-451F-9F91-7D9C157D113C}"/>
              </c:ext>
            </c:extLst>
          </c:dPt>
          <c:dPt>
            <c:idx val="33"/>
            <c:bubble3D val="0"/>
            <c:spPr>
              <a:solidFill>
                <a:schemeClr val="accent4"/>
              </a:solidFill>
            </c:spPr>
            <c:extLst>
              <c:ext xmlns:c16="http://schemas.microsoft.com/office/drawing/2014/chart" uri="{C3380CC4-5D6E-409C-BE32-E72D297353CC}">
                <c16:uniqueId val="{00000043-06D0-451F-9F91-7D9C157D113C}"/>
              </c:ext>
            </c:extLst>
          </c:dPt>
          <c:dPt>
            <c:idx val="34"/>
            <c:bubble3D val="0"/>
            <c:spPr>
              <a:solidFill>
                <a:schemeClr val="accent5"/>
              </a:solidFill>
            </c:spPr>
            <c:extLst>
              <c:ext xmlns:c16="http://schemas.microsoft.com/office/drawing/2014/chart" uri="{C3380CC4-5D6E-409C-BE32-E72D297353CC}">
                <c16:uniqueId val="{00000045-06D0-451F-9F91-7D9C157D113C}"/>
              </c:ext>
            </c:extLst>
          </c:dPt>
          <c:dPt>
            <c:idx val="35"/>
            <c:bubble3D val="0"/>
            <c:spPr>
              <a:solidFill>
                <a:schemeClr val="accent6"/>
              </a:solidFill>
            </c:spPr>
            <c:extLst>
              <c:ext xmlns:c16="http://schemas.microsoft.com/office/drawing/2014/chart" uri="{C3380CC4-5D6E-409C-BE32-E72D297353CC}">
                <c16:uniqueId val="{00000047-06D0-451F-9F91-7D9C157D113C}"/>
              </c:ext>
            </c:extLst>
          </c:dPt>
          <c:dPt>
            <c:idx val="36"/>
            <c:bubble3D val="0"/>
            <c:spPr>
              <a:solidFill>
                <a:schemeClr val="accent1"/>
              </a:solidFill>
            </c:spPr>
            <c:extLst>
              <c:ext xmlns:c16="http://schemas.microsoft.com/office/drawing/2014/chart" uri="{C3380CC4-5D6E-409C-BE32-E72D297353CC}">
                <c16:uniqueId val="{00000049-06D0-451F-9F91-7D9C157D113C}"/>
              </c:ext>
            </c:extLst>
          </c:dPt>
          <c:dPt>
            <c:idx val="37"/>
            <c:bubble3D val="0"/>
            <c:spPr>
              <a:solidFill>
                <a:schemeClr val="accent2"/>
              </a:solidFill>
            </c:spPr>
            <c:extLst>
              <c:ext xmlns:c16="http://schemas.microsoft.com/office/drawing/2014/chart" uri="{C3380CC4-5D6E-409C-BE32-E72D297353CC}">
                <c16:uniqueId val="{0000004B-06D0-451F-9F91-7D9C157D113C}"/>
              </c:ext>
            </c:extLst>
          </c:dPt>
          <c:dPt>
            <c:idx val="38"/>
            <c:bubble3D val="0"/>
            <c:spPr>
              <a:solidFill>
                <a:schemeClr val="accent3"/>
              </a:solidFill>
            </c:spPr>
            <c:extLst>
              <c:ext xmlns:c16="http://schemas.microsoft.com/office/drawing/2014/chart" uri="{C3380CC4-5D6E-409C-BE32-E72D297353CC}">
                <c16:uniqueId val="{0000004D-06D0-451F-9F91-7D9C157D113C}"/>
              </c:ext>
            </c:extLst>
          </c:dPt>
          <c:dPt>
            <c:idx val="39"/>
            <c:bubble3D val="0"/>
            <c:spPr>
              <a:solidFill>
                <a:schemeClr val="accent4"/>
              </a:solidFill>
            </c:spPr>
            <c:extLst>
              <c:ext xmlns:c16="http://schemas.microsoft.com/office/drawing/2014/chart" uri="{C3380CC4-5D6E-409C-BE32-E72D297353CC}">
                <c16:uniqueId val="{0000004F-06D0-451F-9F91-7D9C157D113C}"/>
              </c:ext>
            </c:extLst>
          </c:dPt>
          <c:dPt>
            <c:idx val="40"/>
            <c:bubble3D val="0"/>
            <c:spPr>
              <a:solidFill>
                <a:schemeClr val="accent5"/>
              </a:solidFill>
            </c:spPr>
            <c:extLst>
              <c:ext xmlns:c16="http://schemas.microsoft.com/office/drawing/2014/chart" uri="{C3380CC4-5D6E-409C-BE32-E72D297353CC}">
                <c16:uniqueId val="{00000051-06D0-451F-9F91-7D9C157D113C}"/>
              </c:ext>
            </c:extLst>
          </c:dPt>
          <c:dPt>
            <c:idx val="41"/>
            <c:bubble3D val="0"/>
            <c:spPr>
              <a:solidFill>
                <a:schemeClr val="accent6"/>
              </a:solidFill>
            </c:spPr>
            <c:extLst>
              <c:ext xmlns:c16="http://schemas.microsoft.com/office/drawing/2014/chart" uri="{C3380CC4-5D6E-409C-BE32-E72D297353CC}">
                <c16:uniqueId val="{00000053-06D0-451F-9F91-7D9C157D113C}"/>
              </c:ext>
            </c:extLst>
          </c:dPt>
          <c:dPt>
            <c:idx val="42"/>
            <c:bubble3D val="0"/>
            <c:spPr>
              <a:solidFill>
                <a:schemeClr val="accent1"/>
              </a:solidFill>
            </c:spPr>
            <c:extLst>
              <c:ext xmlns:c16="http://schemas.microsoft.com/office/drawing/2014/chart" uri="{C3380CC4-5D6E-409C-BE32-E72D297353CC}">
                <c16:uniqueId val="{00000055-06D0-451F-9F91-7D9C157D113C}"/>
              </c:ext>
            </c:extLst>
          </c:dPt>
          <c:dPt>
            <c:idx val="43"/>
            <c:bubble3D val="0"/>
            <c:spPr>
              <a:solidFill>
                <a:schemeClr val="accent2"/>
              </a:solidFill>
            </c:spPr>
            <c:extLst>
              <c:ext xmlns:c16="http://schemas.microsoft.com/office/drawing/2014/chart" uri="{C3380CC4-5D6E-409C-BE32-E72D297353CC}">
                <c16:uniqueId val="{00000057-06D0-451F-9F91-7D9C157D113C}"/>
              </c:ext>
            </c:extLst>
          </c:dPt>
          <c:dPt>
            <c:idx val="44"/>
            <c:bubble3D val="0"/>
            <c:spPr>
              <a:solidFill>
                <a:schemeClr val="accent3"/>
              </a:solidFill>
            </c:spPr>
            <c:extLst>
              <c:ext xmlns:c16="http://schemas.microsoft.com/office/drawing/2014/chart" uri="{C3380CC4-5D6E-409C-BE32-E72D297353CC}">
                <c16:uniqueId val="{00000059-06D0-451F-9F91-7D9C157D113C}"/>
              </c:ext>
            </c:extLst>
          </c:dPt>
          <c:dPt>
            <c:idx val="45"/>
            <c:bubble3D val="0"/>
            <c:spPr>
              <a:solidFill>
                <a:schemeClr val="accent4"/>
              </a:solidFill>
            </c:spPr>
            <c:extLst>
              <c:ext xmlns:c16="http://schemas.microsoft.com/office/drawing/2014/chart" uri="{C3380CC4-5D6E-409C-BE32-E72D297353CC}">
                <c16:uniqueId val="{0000005B-06D0-451F-9F91-7D9C157D113C}"/>
              </c:ext>
            </c:extLst>
          </c:dPt>
          <c:dPt>
            <c:idx val="46"/>
            <c:bubble3D val="0"/>
            <c:spPr>
              <a:solidFill>
                <a:schemeClr val="accent5"/>
              </a:solidFill>
            </c:spPr>
            <c:extLst>
              <c:ext xmlns:c16="http://schemas.microsoft.com/office/drawing/2014/chart" uri="{C3380CC4-5D6E-409C-BE32-E72D297353CC}">
                <c16:uniqueId val="{0000005D-06D0-451F-9F91-7D9C157D113C}"/>
              </c:ext>
            </c:extLst>
          </c:dPt>
          <c:dPt>
            <c:idx val="47"/>
            <c:bubble3D val="0"/>
            <c:spPr>
              <a:solidFill>
                <a:schemeClr val="accent6"/>
              </a:solidFill>
            </c:spPr>
            <c:extLst>
              <c:ext xmlns:c16="http://schemas.microsoft.com/office/drawing/2014/chart" uri="{C3380CC4-5D6E-409C-BE32-E72D297353CC}">
                <c16:uniqueId val="{0000005F-06D0-451F-9F91-7D9C157D113C}"/>
              </c:ext>
            </c:extLst>
          </c:dPt>
          <c:dPt>
            <c:idx val="48"/>
            <c:bubble3D val="0"/>
            <c:spPr>
              <a:solidFill>
                <a:schemeClr val="accent1"/>
              </a:solidFill>
            </c:spPr>
            <c:extLst>
              <c:ext xmlns:c16="http://schemas.microsoft.com/office/drawing/2014/chart" uri="{C3380CC4-5D6E-409C-BE32-E72D297353CC}">
                <c16:uniqueId val="{00000061-06D0-451F-9F91-7D9C157D113C}"/>
              </c:ext>
            </c:extLst>
          </c:dPt>
          <c:dPt>
            <c:idx val="49"/>
            <c:bubble3D val="0"/>
            <c:spPr>
              <a:solidFill>
                <a:schemeClr val="accent2"/>
              </a:solidFill>
            </c:spPr>
            <c:extLst>
              <c:ext xmlns:c16="http://schemas.microsoft.com/office/drawing/2014/chart" uri="{C3380CC4-5D6E-409C-BE32-E72D297353CC}">
                <c16:uniqueId val="{00000063-06D0-451F-9F91-7D9C157D113C}"/>
              </c:ext>
            </c:extLst>
          </c:dPt>
          <c:dPt>
            <c:idx val="50"/>
            <c:bubble3D val="0"/>
            <c:spPr>
              <a:solidFill>
                <a:schemeClr val="accent3"/>
              </a:solidFill>
            </c:spPr>
            <c:extLst>
              <c:ext xmlns:c16="http://schemas.microsoft.com/office/drawing/2014/chart" uri="{C3380CC4-5D6E-409C-BE32-E72D297353CC}">
                <c16:uniqueId val="{00000065-06D0-451F-9F91-7D9C157D113C}"/>
              </c:ext>
            </c:extLst>
          </c:dPt>
          <c:dPt>
            <c:idx val="51"/>
            <c:bubble3D val="0"/>
            <c:spPr>
              <a:solidFill>
                <a:schemeClr val="accent4"/>
              </a:solidFill>
            </c:spPr>
            <c:extLst>
              <c:ext xmlns:c16="http://schemas.microsoft.com/office/drawing/2014/chart" uri="{C3380CC4-5D6E-409C-BE32-E72D297353CC}">
                <c16:uniqueId val="{00000067-06D0-451F-9F91-7D9C157D113C}"/>
              </c:ext>
            </c:extLst>
          </c:dPt>
          <c:dPt>
            <c:idx val="52"/>
            <c:bubble3D val="0"/>
            <c:spPr>
              <a:solidFill>
                <a:schemeClr val="accent5"/>
              </a:solidFill>
            </c:spPr>
            <c:extLst>
              <c:ext xmlns:c16="http://schemas.microsoft.com/office/drawing/2014/chart" uri="{C3380CC4-5D6E-409C-BE32-E72D297353CC}">
                <c16:uniqueId val="{00000069-06D0-451F-9F91-7D9C157D113C}"/>
              </c:ext>
            </c:extLst>
          </c:dPt>
          <c:dPt>
            <c:idx val="53"/>
            <c:bubble3D val="0"/>
            <c:spPr>
              <a:solidFill>
                <a:schemeClr val="accent6"/>
              </a:solidFill>
            </c:spPr>
            <c:extLst>
              <c:ext xmlns:c16="http://schemas.microsoft.com/office/drawing/2014/chart" uri="{C3380CC4-5D6E-409C-BE32-E72D297353CC}">
                <c16:uniqueId val="{0000006B-06D0-451F-9F91-7D9C157D113C}"/>
              </c:ext>
            </c:extLst>
          </c:dPt>
          <c:dPt>
            <c:idx val="54"/>
            <c:bubble3D val="0"/>
            <c:spPr>
              <a:solidFill>
                <a:schemeClr val="accent1"/>
              </a:solidFill>
            </c:spPr>
            <c:extLst>
              <c:ext xmlns:c16="http://schemas.microsoft.com/office/drawing/2014/chart" uri="{C3380CC4-5D6E-409C-BE32-E72D297353CC}">
                <c16:uniqueId val="{0000006D-06D0-451F-9F91-7D9C157D113C}"/>
              </c:ext>
            </c:extLst>
          </c:dPt>
          <c:dPt>
            <c:idx val="55"/>
            <c:bubble3D val="0"/>
            <c:spPr>
              <a:solidFill>
                <a:schemeClr val="accent2"/>
              </a:solidFill>
            </c:spPr>
            <c:extLst>
              <c:ext xmlns:c16="http://schemas.microsoft.com/office/drawing/2014/chart" uri="{C3380CC4-5D6E-409C-BE32-E72D297353CC}">
                <c16:uniqueId val="{0000006F-06D0-451F-9F91-7D9C157D113C}"/>
              </c:ext>
            </c:extLst>
          </c:dPt>
          <c:dPt>
            <c:idx val="56"/>
            <c:bubble3D val="0"/>
            <c:spPr>
              <a:solidFill>
                <a:schemeClr val="accent3"/>
              </a:solidFill>
            </c:spPr>
            <c:extLst>
              <c:ext xmlns:c16="http://schemas.microsoft.com/office/drawing/2014/chart" uri="{C3380CC4-5D6E-409C-BE32-E72D297353CC}">
                <c16:uniqueId val="{00000071-06D0-451F-9F91-7D9C157D113C}"/>
              </c:ext>
            </c:extLst>
          </c:dPt>
          <c:dPt>
            <c:idx val="57"/>
            <c:bubble3D val="0"/>
            <c:spPr>
              <a:solidFill>
                <a:schemeClr val="accent4"/>
              </a:solidFill>
            </c:spPr>
            <c:extLst>
              <c:ext xmlns:c16="http://schemas.microsoft.com/office/drawing/2014/chart" uri="{C3380CC4-5D6E-409C-BE32-E72D297353CC}">
                <c16:uniqueId val="{00000073-06D0-451F-9F91-7D9C157D113C}"/>
              </c:ext>
            </c:extLst>
          </c:dPt>
          <c:dPt>
            <c:idx val="58"/>
            <c:bubble3D val="0"/>
            <c:spPr>
              <a:solidFill>
                <a:schemeClr val="accent5"/>
              </a:solidFill>
            </c:spPr>
            <c:extLst>
              <c:ext xmlns:c16="http://schemas.microsoft.com/office/drawing/2014/chart" uri="{C3380CC4-5D6E-409C-BE32-E72D297353CC}">
                <c16:uniqueId val="{00000075-06D0-451F-9F91-7D9C157D113C}"/>
              </c:ext>
            </c:extLst>
          </c:dPt>
          <c:dPt>
            <c:idx val="59"/>
            <c:bubble3D val="0"/>
            <c:spPr>
              <a:solidFill>
                <a:schemeClr val="accent6"/>
              </a:solidFill>
            </c:spPr>
            <c:extLst>
              <c:ext xmlns:c16="http://schemas.microsoft.com/office/drawing/2014/chart" uri="{C3380CC4-5D6E-409C-BE32-E72D297353CC}">
                <c16:uniqueId val="{00000077-06D0-451F-9F91-7D9C157D113C}"/>
              </c:ext>
            </c:extLst>
          </c:dPt>
          <c:dPt>
            <c:idx val="60"/>
            <c:bubble3D val="0"/>
            <c:spPr>
              <a:solidFill>
                <a:schemeClr val="accent1"/>
              </a:solidFill>
            </c:spPr>
            <c:extLst>
              <c:ext xmlns:c16="http://schemas.microsoft.com/office/drawing/2014/chart" uri="{C3380CC4-5D6E-409C-BE32-E72D297353CC}">
                <c16:uniqueId val="{00000079-06D0-451F-9F91-7D9C157D113C}"/>
              </c:ext>
            </c:extLst>
          </c:dPt>
          <c:dPt>
            <c:idx val="61"/>
            <c:bubble3D val="0"/>
            <c:spPr>
              <a:solidFill>
                <a:schemeClr val="accent2"/>
              </a:solidFill>
            </c:spPr>
            <c:extLst>
              <c:ext xmlns:c16="http://schemas.microsoft.com/office/drawing/2014/chart" uri="{C3380CC4-5D6E-409C-BE32-E72D297353CC}">
                <c16:uniqueId val="{0000007B-06D0-451F-9F91-7D9C157D113C}"/>
              </c:ext>
            </c:extLst>
          </c:dPt>
          <c:dPt>
            <c:idx val="62"/>
            <c:bubble3D val="0"/>
            <c:spPr>
              <a:solidFill>
                <a:schemeClr val="accent3"/>
              </a:solidFill>
            </c:spPr>
            <c:extLst>
              <c:ext xmlns:c16="http://schemas.microsoft.com/office/drawing/2014/chart" uri="{C3380CC4-5D6E-409C-BE32-E72D297353CC}">
                <c16:uniqueId val="{0000007D-06D0-451F-9F91-7D9C157D113C}"/>
              </c:ext>
            </c:extLst>
          </c:dPt>
          <c:dPt>
            <c:idx val="63"/>
            <c:bubble3D val="0"/>
            <c:spPr>
              <a:solidFill>
                <a:schemeClr val="accent4"/>
              </a:solidFill>
            </c:spPr>
            <c:extLst>
              <c:ext xmlns:c16="http://schemas.microsoft.com/office/drawing/2014/chart" uri="{C3380CC4-5D6E-409C-BE32-E72D297353CC}">
                <c16:uniqueId val="{0000007F-06D0-451F-9F91-7D9C157D113C}"/>
              </c:ext>
            </c:extLst>
          </c:dPt>
          <c:dPt>
            <c:idx val="64"/>
            <c:bubble3D val="0"/>
            <c:spPr>
              <a:solidFill>
                <a:schemeClr val="accent5"/>
              </a:solidFill>
            </c:spPr>
            <c:extLst>
              <c:ext xmlns:c16="http://schemas.microsoft.com/office/drawing/2014/chart" uri="{C3380CC4-5D6E-409C-BE32-E72D297353CC}">
                <c16:uniqueId val="{00000081-06D0-451F-9F91-7D9C157D113C}"/>
              </c:ext>
            </c:extLst>
          </c:dPt>
          <c:dPt>
            <c:idx val="65"/>
            <c:bubble3D val="0"/>
            <c:spPr>
              <a:solidFill>
                <a:schemeClr val="accent6"/>
              </a:solidFill>
            </c:spPr>
            <c:extLst>
              <c:ext xmlns:c16="http://schemas.microsoft.com/office/drawing/2014/chart" uri="{C3380CC4-5D6E-409C-BE32-E72D297353CC}">
                <c16:uniqueId val="{00000083-06D0-451F-9F91-7D9C157D113C}"/>
              </c:ext>
            </c:extLst>
          </c:dPt>
          <c:dPt>
            <c:idx val="66"/>
            <c:bubble3D val="0"/>
            <c:spPr>
              <a:solidFill>
                <a:schemeClr val="accent1"/>
              </a:solidFill>
            </c:spPr>
            <c:extLst>
              <c:ext xmlns:c16="http://schemas.microsoft.com/office/drawing/2014/chart" uri="{C3380CC4-5D6E-409C-BE32-E72D297353CC}">
                <c16:uniqueId val="{00000085-06D0-451F-9F91-7D9C157D113C}"/>
              </c:ext>
            </c:extLst>
          </c:dPt>
          <c:dPt>
            <c:idx val="67"/>
            <c:bubble3D val="0"/>
            <c:spPr>
              <a:solidFill>
                <a:schemeClr val="accent2"/>
              </a:solidFill>
            </c:spPr>
            <c:extLst>
              <c:ext xmlns:c16="http://schemas.microsoft.com/office/drawing/2014/chart" uri="{C3380CC4-5D6E-409C-BE32-E72D297353CC}">
                <c16:uniqueId val="{00000087-06D0-451F-9F91-7D9C157D113C}"/>
              </c:ext>
            </c:extLst>
          </c:dPt>
          <c:dPt>
            <c:idx val="68"/>
            <c:bubble3D val="0"/>
            <c:spPr>
              <a:solidFill>
                <a:schemeClr val="accent3"/>
              </a:solidFill>
            </c:spPr>
            <c:extLst>
              <c:ext xmlns:c16="http://schemas.microsoft.com/office/drawing/2014/chart" uri="{C3380CC4-5D6E-409C-BE32-E72D297353CC}">
                <c16:uniqueId val="{00000089-06D0-451F-9F91-7D9C157D113C}"/>
              </c:ext>
            </c:extLst>
          </c:dPt>
          <c:dPt>
            <c:idx val="69"/>
            <c:bubble3D val="0"/>
            <c:spPr>
              <a:solidFill>
                <a:schemeClr val="accent4"/>
              </a:solidFill>
            </c:spPr>
            <c:extLst>
              <c:ext xmlns:c16="http://schemas.microsoft.com/office/drawing/2014/chart" uri="{C3380CC4-5D6E-409C-BE32-E72D297353CC}">
                <c16:uniqueId val="{0000008B-06D0-451F-9F91-7D9C157D113C}"/>
              </c:ext>
            </c:extLst>
          </c:dPt>
          <c:dPt>
            <c:idx val="70"/>
            <c:bubble3D val="0"/>
            <c:spPr>
              <a:solidFill>
                <a:schemeClr val="accent5"/>
              </a:solidFill>
            </c:spPr>
            <c:extLst>
              <c:ext xmlns:c16="http://schemas.microsoft.com/office/drawing/2014/chart" uri="{C3380CC4-5D6E-409C-BE32-E72D297353CC}">
                <c16:uniqueId val="{0000008D-06D0-451F-9F91-7D9C157D113C}"/>
              </c:ext>
            </c:extLst>
          </c:dPt>
          <c:dPt>
            <c:idx val="71"/>
            <c:bubble3D val="0"/>
            <c:spPr>
              <a:solidFill>
                <a:schemeClr val="accent6"/>
              </a:solidFill>
            </c:spPr>
            <c:extLst>
              <c:ext xmlns:c16="http://schemas.microsoft.com/office/drawing/2014/chart" uri="{C3380CC4-5D6E-409C-BE32-E72D297353CC}">
                <c16:uniqueId val="{0000008F-06D0-451F-9F91-7D9C157D113C}"/>
              </c:ext>
            </c:extLst>
          </c:dPt>
          <c:dPt>
            <c:idx val="72"/>
            <c:bubble3D val="0"/>
            <c:spPr>
              <a:solidFill>
                <a:schemeClr val="accent1"/>
              </a:solidFill>
            </c:spPr>
            <c:extLst>
              <c:ext xmlns:c16="http://schemas.microsoft.com/office/drawing/2014/chart" uri="{C3380CC4-5D6E-409C-BE32-E72D297353CC}">
                <c16:uniqueId val="{00000091-06D0-451F-9F91-7D9C157D113C}"/>
              </c:ext>
            </c:extLst>
          </c:dPt>
          <c:dPt>
            <c:idx val="73"/>
            <c:bubble3D val="0"/>
            <c:spPr>
              <a:solidFill>
                <a:schemeClr val="accent2"/>
              </a:solidFill>
            </c:spPr>
            <c:extLst>
              <c:ext xmlns:c16="http://schemas.microsoft.com/office/drawing/2014/chart" uri="{C3380CC4-5D6E-409C-BE32-E72D297353CC}">
                <c16:uniqueId val="{00000093-06D0-451F-9F91-7D9C157D113C}"/>
              </c:ext>
            </c:extLst>
          </c:dPt>
          <c:dPt>
            <c:idx val="74"/>
            <c:bubble3D val="0"/>
            <c:spPr>
              <a:solidFill>
                <a:schemeClr val="accent3"/>
              </a:solidFill>
            </c:spPr>
            <c:extLst>
              <c:ext xmlns:c16="http://schemas.microsoft.com/office/drawing/2014/chart" uri="{C3380CC4-5D6E-409C-BE32-E72D297353CC}">
                <c16:uniqueId val="{00000095-06D0-451F-9F91-7D9C157D113C}"/>
              </c:ext>
            </c:extLst>
          </c:dPt>
          <c:dPt>
            <c:idx val="75"/>
            <c:bubble3D val="0"/>
            <c:spPr>
              <a:solidFill>
                <a:schemeClr val="accent4"/>
              </a:solidFill>
            </c:spPr>
            <c:extLst>
              <c:ext xmlns:c16="http://schemas.microsoft.com/office/drawing/2014/chart" uri="{C3380CC4-5D6E-409C-BE32-E72D297353CC}">
                <c16:uniqueId val="{00000097-06D0-451F-9F91-7D9C157D113C}"/>
              </c:ext>
            </c:extLst>
          </c:dPt>
          <c:dPt>
            <c:idx val="76"/>
            <c:bubble3D val="0"/>
            <c:spPr>
              <a:solidFill>
                <a:schemeClr val="accent5"/>
              </a:solidFill>
            </c:spPr>
            <c:extLst>
              <c:ext xmlns:c16="http://schemas.microsoft.com/office/drawing/2014/chart" uri="{C3380CC4-5D6E-409C-BE32-E72D297353CC}">
                <c16:uniqueId val="{00000099-06D0-451F-9F91-7D9C157D113C}"/>
              </c:ext>
            </c:extLst>
          </c:dPt>
          <c:dPt>
            <c:idx val="77"/>
            <c:bubble3D val="0"/>
            <c:spPr>
              <a:solidFill>
                <a:schemeClr val="accent6"/>
              </a:solidFill>
            </c:spPr>
            <c:extLst>
              <c:ext xmlns:c16="http://schemas.microsoft.com/office/drawing/2014/chart" uri="{C3380CC4-5D6E-409C-BE32-E72D297353CC}">
                <c16:uniqueId val="{0000009B-06D0-451F-9F91-7D9C157D113C}"/>
              </c:ext>
            </c:extLst>
          </c:dPt>
          <c:dPt>
            <c:idx val="78"/>
            <c:bubble3D val="0"/>
            <c:spPr>
              <a:solidFill>
                <a:schemeClr val="accent1"/>
              </a:solidFill>
            </c:spPr>
            <c:extLst>
              <c:ext xmlns:c16="http://schemas.microsoft.com/office/drawing/2014/chart" uri="{C3380CC4-5D6E-409C-BE32-E72D297353CC}">
                <c16:uniqueId val="{0000009D-06D0-451F-9F91-7D9C157D113C}"/>
              </c:ext>
            </c:extLst>
          </c:dPt>
          <c:dPt>
            <c:idx val="79"/>
            <c:bubble3D val="0"/>
            <c:spPr>
              <a:solidFill>
                <a:schemeClr val="accent2"/>
              </a:solidFill>
            </c:spPr>
            <c:extLst>
              <c:ext xmlns:c16="http://schemas.microsoft.com/office/drawing/2014/chart" uri="{C3380CC4-5D6E-409C-BE32-E72D297353CC}">
                <c16:uniqueId val="{0000009F-06D0-451F-9F91-7D9C157D113C}"/>
              </c:ext>
            </c:extLst>
          </c:dPt>
          <c:dPt>
            <c:idx val="80"/>
            <c:bubble3D val="0"/>
            <c:spPr>
              <a:solidFill>
                <a:schemeClr val="accent3"/>
              </a:solidFill>
            </c:spPr>
            <c:extLst>
              <c:ext xmlns:c16="http://schemas.microsoft.com/office/drawing/2014/chart" uri="{C3380CC4-5D6E-409C-BE32-E72D297353CC}">
                <c16:uniqueId val="{000000A1-06D0-451F-9F91-7D9C157D113C}"/>
              </c:ext>
            </c:extLst>
          </c:dPt>
          <c:dPt>
            <c:idx val="81"/>
            <c:bubble3D val="0"/>
            <c:spPr>
              <a:solidFill>
                <a:schemeClr val="accent4"/>
              </a:solidFill>
            </c:spPr>
            <c:extLst>
              <c:ext xmlns:c16="http://schemas.microsoft.com/office/drawing/2014/chart" uri="{C3380CC4-5D6E-409C-BE32-E72D297353CC}">
                <c16:uniqueId val="{000000A3-06D0-451F-9F91-7D9C157D113C}"/>
              </c:ext>
            </c:extLst>
          </c:dPt>
          <c:dPt>
            <c:idx val="82"/>
            <c:bubble3D val="0"/>
            <c:spPr>
              <a:solidFill>
                <a:schemeClr val="accent5"/>
              </a:solidFill>
            </c:spPr>
            <c:extLst>
              <c:ext xmlns:c16="http://schemas.microsoft.com/office/drawing/2014/chart" uri="{C3380CC4-5D6E-409C-BE32-E72D297353CC}">
                <c16:uniqueId val="{000000A5-06D0-451F-9F91-7D9C157D113C}"/>
              </c:ext>
            </c:extLst>
          </c:dPt>
          <c:dPt>
            <c:idx val="83"/>
            <c:bubble3D val="0"/>
            <c:spPr>
              <a:solidFill>
                <a:schemeClr val="accent6"/>
              </a:solidFill>
            </c:spPr>
            <c:extLst>
              <c:ext xmlns:c16="http://schemas.microsoft.com/office/drawing/2014/chart" uri="{C3380CC4-5D6E-409C-BE32-E72D297353CC}">
                <c16:uniqueId val="{000000A7-06D0-451F-9F91-7D9C157D113C}"/>
              </c:ext>
            </c:extLst>
          </c:dPt>
          <c:dPt>
            <c:idx val="84"/>
            <c:bubble3D val="0"/>
            <c:spPr>
              <a:solidFill>
                <a:schemeClr val="accent1"/>
              </a:solidFill>
            </c:spPr>
            <c:extLst>
              <c:ext xmlns:c16="http://schemas.microsoft.com/office/drawing/2014/chart" uri="{C3380CC4-5D6E-409C-BE32-E72D297353CC}">
                <c16:uniqueId val="{000000A9-06D0-451F-9F91-7D9C157D113C}"/>
              </c:ext>
            </c:extLst>
          </c:dPt>
          <c:dPt>
            <c:idx val="85"/>
            <c:bubble3D val="0"/>
            <c:spPr>
              <a:solidFill>
                <a:schemeClr val="accent2"/>
              </a:solidFill>
            </c:spPr>
            <c:extLst>
              <c:ext xmlns:c16="http://schemas.microsoft.com/office/drawing/2014/chart" uri="{C3380CC4-5D6E-409C-BE32-E72D297353CC}">
                <c16:uniqueId val="{000000AB-06D0-451F-9F91-7D9C157D113C}"/>
              </c:ext>
            </c:extLst>
          </c:dPt>
          <c:dPt>
            <c:idx val="86"/>
            <c:bubble3D val="0"/>
            <c:spPr>
              <a:solidFill>
                <a:schemeClr val="accent3"/>
              </a:solidFill>
            </c:spPr>
            <c:extLst>
              <c:ext xmlns:c16="http://schemas.microsoft.com/office/drawing/2014/chart" uri="{C3380CC4-5D6E-409C-BE32-E72D297353CC}">
                <c16:uniqueId val="{000000AD-06D0-451F-9F91-7D9C157D113C}"/>
              </c:ext>
            </c:extLst>
          </c:dPt>
          <c:dPt>
            <c:idx val="87"/>
            <c:bubble3D val="0"/>
            <c:spPr>
              <a:solidFill>
                <a:schemeClr val="accent4"/>
              </a:solidFill>
            </c:spPr>
            <c:extLst>
              <c:ext xmlns:c16="http://schemas.microsoft.com/office/drawing/2014/chart" uri="{C3380CC4-5D6E-409C-BE32-E72D297353CC}">
                <c16:uniqueId val="{000000AF-06D0-451F-9F91-7D9C157D113C}"/>
              </c:ext>
            </c:extLst>
          </c:dPt>
          <c:dPt>
            <c:idx val="88"/>
            <c:bubble3D val="0"/>
            <c:spPr>
              <a:solidFill>
                <a:schemeClr val="accent5"/>
              </a:solidFill>
            </c:spPr>
            <c:extLst>
              <c:ext xmlns:c16="http://schemas.microsoft.com/office/drawing/2014/chart" uri="{C3380CC4-5D6E-409C-BE32-E72D297353CC}">
                <c16:uniqueId val="{000000B1-06D0-451F-9F91-7D9C157D113C}"/>
              </c:ext>
            </c:extLst>
          </c:dPt>
          <c:dPt>
            <c:idx val="89"/>
            <c:bubble3D val="0"/>
            <c:spPr>
              <a:solidFill>
                <a:schemeClr val="accent6"/>
              </a:solidFill>
            </c:spPr>
            <c:extLst>
              <c:ext xmlns:c16="http://schemas.microsoft.com/office/drawing/2014/chart" uri="{C3380CC4-5D6E-409C-BE32-E72D297353CC}">
                <c16:uniqueId val="{000000B3-06D0-451F-9F91-7D9C157D113C}"/>
              </c:ext>
            </c:extLst>
          </c:dPt>
          <c:dPt>
            <c:idx val="90"/>
            <c:bubble3D val="0"/>
            <c:spPr>
              <a:solidFill>
                <a:schemeClr val="accent1"/>
              </a:solidFill>
            </c:spPr>
            <c:extLst>
              <c:ext xmlns:c16="http://schemas.microsoft.com/office/drawing/2014/chart" uri="{C3380CC4-5D6E-409C-BE32-E72D297353CC}">
                <c16:uniqueId val="{000000B5-06D0-451F-9F91-7D9C157D113C}"/>
              </c:ext>
            </c:extLst>
          </c:dPt>
          <c:cat>
            <c:strRef>
              <c:f>PieChartV2!$P$5:$P$95</c:f>
              <c:strCache>
                <c:ptCount val="91"/>
                <c:pt idx="0">
                  <c:v>Air Separation</c:v>
                </c:pt>
                <c:pt idx="1">
                  <c:v>Alkylation</c:v>
                </c:pt>
                <c:pt idx="2">
                  <c:v>Annealing</c:v>
                </c:pt>
                <c:pt idx="3">
                  <c:v>Baking</c:v>
                </c:pt>
                <c:pt idx="4">
                  <c:v>Basic oxygen furnace</c:v>
                </c:pt>
                <c:pt idx="5">
                  <c:v>Batching</c:v>
                </c:pt>
                <c:pt idx="6">
                  <c:v>Blast furnace</c:v>
                </c:pt>
                <c:pt idx="7">
                  <c:v>Bleaching</c:v>
                </c:pt>
                <c:pt idx="8">
                  <c:v>Calcination</c:v>
                </c:pt>
                <c:pt idx="9">
                  <c:v>Casting</c:v>
                </c:pt>
                <c:pt idx="10">
                  <c:v>Causticization</c:v>
                </c:pt>
                <c:pt idx="11">
                  <c:v>Centrifugation</c:v>
                </c:pt>
                <c:pt idx="12">
                  <c:v>Chemical Preparation</c:v>
                </c:pt>
                <c:pt idx="13">
                  <c:v>Clarification</c:v>
                </c:pt>
                <c:pt idx="14">
                  <c:v>Cleaning</c:v>
                </c:pt>
                <c:pt idx="15">
                  <c:v>Cogeneration</c:v>
                </c:pt>
                <c:pt idx="16">
                  <c:v>Coking</c:v>
                </c:pt>
                <c:pt idx="17">
                  <c:v>Compressed Air</c:v>
                </c:pt>
                <c:pt idx="18">
                  <c:v>Compression</c:v>
                </c:pt>
                <c:pt idx="19">
                  <c:v>Conditioning</c:v>
                </c:pt>
                <c:pt idx="20">
                  <c:v>Cooling</c:v>
                </c:pt>
                <c:pt idx="21">
                  <c:v>Cracking</c:v>
                </c:pt>
                <c:pt idx="22">
                  <c:v>Crushing</c:v>
                </c:pt>
                <c:pt idx="23">
                  <c:v>Crystallization</c:v>
                </c:pt>
                <c:pt idx="24">
                  <c:v>Degassing</c:v>
                </c:pt>
                <c:pt idx="25">
                  <c:v>Dehulling</c:v>
                </c:pt>
                <c:pt idx="26">
                  <c:v>Desilication</c:v>
                </c:pt>
                <c:pt idx="27">
                  <c:v>Desolventizing</c:v>
                </c:pt>
                <c:pt idx="28">
                  <c:v>Dewatering</c:v>
                </c:pt>
                <c:pt idx="29">
                  <c:v>Digestion</c:v>
                </c:pt>
                <c:pt idx="30">
                  <c:v>Dissolution</c:v>
                </c:pt>
                <c:pt idx="31">
                  <c:v>Distillation</c:v>
                </c:pt>
                <c:pt idx="32">
                  <c:v>Drying</c:v>
                </c:pt>
                <c:pt idx="33">
                  <c:v>Electrolysis</c:v>
                </c:pt>
                <c:pt idx="34">
                  <c:v>Evaporation</c:v>
                </c:pt>
                <c:pt idx="35">
                  <c:v>Extraction</c:v>
                </c:pt>
                <c:pt idx="36">
                  <c:v>Fermentation</c:v>
                </c:pt>
                <c:pt idx="37">
                  <c:v>Filtration</c:v>
                </c:pt>
                <c:pt idx="38">
                  <c:v>Finishing</c:v>
                </c:pt>
                <c:pt idx="39">
                  <c:v>Flaking</c:v>
                </c:pt>
                <c:pt idx="40">
                  <c:v>Forming</c:v>
                </c:pt>
                <c:pt idx="41">
                  <c:v>Gas absorption</c:v>
                </c:pt>
                <c:pt idx="42">
                  <c:v>Grinding</c:v>
                </c:pt>
                <c:pt idx="43">
                  <c:v>Heat recovery</c:v>
                </c:pt>
                <c:pt idx="44">
                  <c:v>Heating</c:v>
                </c:pt>
                <c:pt idx="45">
                  <c:v>High P/T Reactor</c:v>
                </c:pt>
                <c:pt idx="46">
                  <c:v>Homogenization</c:v>
                </c:pt>
                <c:pt idx="47">
                  <c:v>Hydration</c:v>
                </c:pt>
                <c:pt idx="48">
                  <c:v>Hydrocracking</c:v>
                </c:pt>
                <c:pt idx="49">
                  <c:v>Hydrotreating</c:v>
                </c:pt>
                <c:pt idx="50">
                  <c:v>Isomerization</c:v>
                </c:pt>
                <c:pt idx="51">
                  <c:v>Laminating</c:v>
                </c:pt>
                <c:pt idx="52">
                  <c:v>Lautering</c:v>
                </c:pt>
                <c:pt idx="53">
                  <c:v>Liming</c:v>
                </c:pt>
                <c:pt idx="54">
                  <c:v>Liquefaction</c:v>
                </c:pt>
                <c:pt idx="55">
                  <c:v>Mashing</c:v>
                </c:pt>
                <c:pt idx="56">
                  <c:v>Melting</c:v>
                </c:pt>
                <c:pt idx="57">
                  <c:v>Methanation</c:v>
                </c:pt>
                <c:pt idx="58">
                  <c:v>Milling</c:v>
                </c:pt>
                <c:pt idx="59">
                  <c:v>Mixing</c:v>
                </c:pt>
                <c:pt idx="60">
                  <c:v>Molding</c:v>
                </c:pt>
                <c:pt idx="61">
                  <c:v>Packaging</c:v>
                </c:pt>
                <c:pt idx="62">
                  <c:v>Packing</c:v>
                </c:pt>
                <c:pt idx="63">
                  <c:v>Pasteurization</c:v>
                </c:pt>
                <c:pt idx="64">
                  <c:v>Power generation</c:v>
                </c:pt>
                <c:pt idx="65">
                  <c:v>Precipitation</c:v>
                </c:pt>
                <c:pt idx="66">
                  <c:v>Preparation</c:v>
                </c:pt>
                <c:pt idx="67">
                  <c:v>Pretreatment</c:v>
                </c:pt>
                <c:pt idx="68">
                  <c:v>Pulping</c:v>
                </c:pt>
                <c:pt idx="69">
                  <c:v>Pumping</c:v>
                </c:pt>
                <c:pt idx="70">
                  <c:v>Purification</c:v>
                </c:pt>
                <c:pt idx="71">
                  <c:v>Quenching</c:v>
                </c:pt>
                <c:pt idx="72">
                  <c:v>Reaction</c:v>
                </c:pt>
                <c:pt idx="73">
                  <c:v>Reduction</c:v>
                </c:pt>
                <c:pt idx="74">
                  <c:v>Refining</c:v>
                </c:pt>
                <c:pt idx="75">
                  <c:v>Reforming</c:v>
                </c:pt>
                <c:pt idx="76">
                  <c:v>Refrigeration</c:v>
                </c:pt>
                <c:pt idx="77">
                  <c:v>Repulping</c:v>
                </c:pt>
                <c:pt idx="78">
                  <c:v>Saccharification</c:v>
                </c:pt>
                <c:pt idx="79">
                  <c:v>Screening</c:v>
                </c:pt>
                <c:pt idx="80">
                  <c:v>Separation</c:v>
                </c:pt>
                <c:pt idx="81">
                  <c:v>Shredding</c:v>
                </c:pt>
                <c:pt idx="82">
                  <c:v>Sieving</c:v>
                </c:pt>
                <c:pt idx="83">
                  <c:v>Sintering</c:v>
                </c:pt>
                <c:pt idx="84">
                  <c:v>Slicing</c:v>
                </c:pt>
                <c:pt idx="85">
                  <c:v>Steam export</c:v>
                </c:pt>
                <c:pt idx="86">
                  <c:v>Steeping</c:v>
                </c:pt>
                <c:pt idx="87">
                  <c:v>Sterilization</c:v>
                </c:pt>
                <c:pt idx="88">
                  <c:v>Sulfur Recovery</c:v>
                </c:pt>
                <c:pt idx="89">
                  <c:v>Washing</c:v>
                </c:pt>
                <c:pt idx="90">
                  <c:v>Wood Preparation</c:v>
                </c:pt>
              </c:strCache>
            </c:strRef>
          </c:cat>
          <c:val>
            <c:numRef>
              <c:f>PieChartV2!$Q$5:$Q$95</c:f>
              <c:numCache>
                <c:formatCode>0.0000%</c:formatCode>
                <c:ptCount val="91"/>
                <c:pt idx="0">
                  <c:v>5.4049709664493505E-3</c:v>
                </c:pt>
                <c:pt idx="1">
                  <c:v>2.564943149322583E-3</c:v>
                </c:pt>
                <c:pt idx="2">
                  <c:v>1.4533013614132E-4</c:v>
                </c:pt>
                <c:pt idx="3">
                  <c:v>7.7538944587594492E-5</c:v>
                </c:pt>
                <c:pt idx="4">
                  <c:v>1.3992899480118983E-3</c:v>
                </c:pt>
                <c:pt idx="5">
                  <c:v>2.4103534774657948E-4</c:v>
                </c:pt>
                <c:pt idx="6">
                  <c:v>3.2374481069911643E-2</c:v>
                </c:pt>
                <c:pt idx="7">
                  <c:v>1.5509620659837809E-2</c:v>
                </c:pt>
                <c:pt idx="8">
                  <c:v>4.7308118720269986E-2</c:v>
                </c:pt>
                <c:pt idx="9">
                  <c:v>1.2184691292336279E-4</c:v>
                </c:pt>
                <c:pt idx="10">
                  <c:v>6.6461952503652421E-5</c:v>
                </c:pt>
                <c:pt idx="11">
                  <c:v>2.6156747709936983E-3</c:v>
                </c:pt>
                <c:pt idx="12">
                  <c:v>5.6244535005424258E-3</c:v>
                </c:pt>
                <c:pt idx="13">
                  <c:v>0</c:v>
                </c:pt>
                <c:pt idx="14">
                  <c:v>7.0506683066795731E-5</c:v>
                </c:pt>
                <c:pt idx="15">
                  <c:v>4.8943221913616379E-3</c:v>
                </c:pt>
                <c:pt idx="16">
                  <c:v>2.1283797037287382E-2</c:v>
                </c:pt>
                <c:pt idx="17">
                  <c:v>3.7634371486720185E-4</c:v>
                </c:pt>
                <c:pt idx="18">
                  <c:v>1.235253189555573E-2</c:v>
                </c:pt>
                <c:pt idx="19">
                  <c:v>1.3683659925793491E-3</c:v>
                </c:pt>
                <c:pt idx="20">
                  <c:v>0</c:v>
                </c:pt>
                <c:pt idx="21">
                  <c:v>0.15975132720813265</c:v>
                </c:pt>
                <c:pt idx="22">
                  <c:v>5.5384960419710351E-5</c:v>
                </c:pt>
                <c:pt idx="23">
                  <c:v>2.8452118317608965E-3</c:v>
                </c:pt>
                <c:pt idx="24">
                  <c:v>1.1076992083942072E-5</c:v>
                </c:pt>
                <c:pt idx="25">
                  <c:v>1.364017956845348E-4</c:v>
                </c:pt>
                <c:pt idx="26">
                  <c:v>4.4307968335768288E-5</c:v>
                </c:pt>
                <c:pt idx="27">
                  <c:v>1.5514815801658561E-3</c:v>
                </c:pt>
                <c:pt idx="28">
                  <c:v>4.5416249250920121E-4</c:v>
                </c:pt>
                <c:pt idx="29">
                  <c:v>7.2000448545623456E-4</c:v>
                </c:pt>
                <c:pt idx="30">
                  <c:v>1.1327360240599055E-4</c:v>
                </c:pt>
                <c:pt idx="31">
                  <c:v>0.14344427261737255</c:v>
                </c:pt>
                <c:pt idx="32">
                  <c:v>8.7331808204133651E-2</c:v>
                </c:pt>
                <c:pt idx="33">
                  <c:v>1.7460363956042592E-2</c:v>
                </c:pt>
                <c:pt idx="34">
                  <c:v>3.8933988257591166E-2</c:v>
                </c:pt>
                <c:pt idx="35">
                  <c:v>4.9406415283546857E-4</c:v>
                </c:pt>
                <c:pt idx="36">
                  <c:v>9.9724791781287446E-4</c:v>
                </c:pt>
                <c:pt idx="37">
                  <c:v>0</c:v>
                </c:pt>
                <c:pt idx="38">
                  <c:v>6.5620101105272821E-4</c:v>
                </c:pt>
                <c:pt idx="39">
                  <c:v>2.4312357101178658E-4</c:v>
                </c:pt>
                <c:pt idx="40">
                  <c:v>3.7162200742417262E-3</c:v>
                </c:pt>
                <c:pt idx="41">
                  <c:v>2.3391948803185509E-3</c:v>
                </c:pt>
                <c:pt idx="42">
                  <c:v>2.8578798659950107E-3</c:v>
                </c:pt>
                <c:pt idx="43">
                  <c:v>0</c:v>
                </c:pt>
                <c:pt idx="44">
                  <c:v>2.9439250565691747E-3</c:v>
                </c:pt>
                <c:pt idx="45">
                  <c:v>1.8638708295630718E-3</c:v>
                </c:pt>
                <c:pt idx="46">
                  <c:v>2.7503377651711731E-4</c:v>
                </c:pt>
                <c:pt idx="47">
                  <c:v>0</c:v>
                </c:pt>
                <c:pt idx="48">
                  <c:v>1.6745895947553505E-2</c:v>
                </c:pt>
                <c:pt idx="49">
                  <c:v>4.4008575600961407E-2</c:v>
                </c:pt>
                <c:pt idx="50">
                  <c:v>4.6969202469083815E-4</c:v>
                </c:pt>
                <c:pt idx="51">
                  <c:v>2.2685679787913361E-4</c:v>
                </c:pt>
                <c:pt idx="52">
                  <c:v>5.2402289411888867E-5</c:v>
                </c:pt>
                <c:pt idx="53">
                  <c:v>1.1895982580979397E-4</c:v>
                </c:pt>
                <c:pt idx="54">
                  <c:v>6.9188848665656714E-4</c:v>
                </c:pt>
                <c:pt idx="55">
                  <c:v>4.2874600427909073E-4</c:v>
                </c:pt>
                <c:pt idx="56">
                  <c:v>3.1928089365920863E-2</c:v>
                </c:pt>
                <c:pt idx="57">
                  <c:v>0</c:v>
                </c:pt>
                <c:pt idx="58">
                  <c:v>1.9769954641758074E-4</c:v>
                </c:pt>
                <c:pt idx="59">
                  <c:v>0</c:v>
                </c:pt>
                <c:pt idx="60">
                  <c:v>1.1076992083942072E-5</c:v>
                </c:pt>
                <c:pt idx="61">
                  <c:v>3.2600131060393116E-4</c:v>
                </c:pt>
                <c:pt idx="62">
                  <c:v>3.4472924049070743E-4</c:v>
                </c:pt>
                <c:pt idx="63">
                  <c:v>3.27865310358664E-3</c:v>
                </c:pt>
                <c:pt idx="64">
                  <c:v>0</c:v>
                </c:pt>
                <c:pt idx="65">
                  <c:v>1.1076992083942072E-5</c:v>
                </c:pt>
                <c:pt idx="66">
                  <c:v>1.1191860491852549E-3</c:v>
                </c:pt>
                <c:pt idx="67">
                  <c:v>6.9751192106215336E-4</c:v>
                </c:pt>
                <c:pt idx="68">
                  <c:v>1.3754432014315478E-2</c:v>
                </c:pt>
                <c:pt idx="69">
                  <c:v>4.2293826015834277E-4</c:v>
                </c:pt>
                <c:pt idx="70">
                  <c:v>2.5890363216133435E-4</c:v>
                </c:pt>
                <c:pt idx="71">
                  <c:v>0</c:v>
                </c:pt>
                <c:pt idx="72">
                  <c:v>0</c:v>
                </c:pt>
                <c:pt idx="73">
                  <c:v>6.2953592185865867E-2</c:v>
                </c:pt>
                <c:pt idx="74">
                  <c:v>5.7121010566539695E-3</c:v>
                </c:pt>
                <c:pt idx="75">
                  <c:v>0.15299957021540278</c:v>
                </c:pt>
                <c:pt idx="76">
                  <c:v>6.1922587855262456E-3</c:v>
                </c:pt>
                <c:pt idx="77">
                  <c:v>1.9655682701123547E-4</c:v>
                </c:pt>
                <c:pt idx="78">
                  <c:v>1.2064377425145973E-2</c:v>
                </c:pt>
                <c:pt idx="79">
                  <c:v>2.1712190548588703E-3</c:v>
                </c:pt>
                <c:pt idx="80">
                  <c:v>2.2654720481198111E-4</c:v>
                </c:pt>
                <c:pt idx="81">
                  <c:v>4.4307968335768288E-5</c:v>
                </c:pt>
                <c:pt idx="82">
                  <c:v>3.727095074051919E-4</c:v>
                </c:pt>
                <c:pt idx="83">
                  <c:v>4.7067025524036576E-3</c:v>
                </c:pt>
                <c:pt idx="84">
                  <c:v>7.9972992141037958E-5</c:v>
                </c:pt>
                <c:pt idx="85">
                  <c:v>7.1767320370175244E-3</c:v>
                </c:pt>
                <c:pt idx="86">
                  <c:v>2.641334151973857E-4</c:v>
                </c:pt>
                <c:pt idx="87">
                  <c:v>3.7045174536448826E-5</c:v>
                </c:pt>
                <c:pt idx="88">
                  <c:v>3.4730301573803863E-3</c:v>
                </c:pt>
                <c:pt idx="89">
                  <c:v>2.2815242086838597E-3</c:v>
                </c:pt>
                <c:pt idx="90">
                  <c:v>9.1484314433695443E-4</c:v>
                </c:pt>
              </c:numCache>
            </c:numRef>
          </c:val>
          <c:extLst>
            <c:ext xmlns:c16="http://schemas.microsoft.com/office/drawing/2014/chart" uri="{C3380CC4-5D6E-409C-BE32-E72D297353CC}">
              <c16:uniqueId val="{000000B6-06D0-451F-9F91-7D9C157D113C}"/>
            </c:ext>
          </c:extLst>
        </c:ser>
        <c:dLbls>
          <c:showLegendKey val="0"/>
          <c:showVal val="0"/>
          <c:showCatName val="0"/>
          <c:showSerName val="0"/>
          <c:showPercent val="0"/>
          <c:showBubbleSize val="0"/>
          <c:showLeaderLines val="1"/>
        </c:dLbls>
        <c:firstSliceAng val="0"/>
      </c:pieChart>
    </c:plotArea>
    <c:legend>
      <c:legendPos val="r"/>
      <c:layout>
        <c:manualLayout>
          <c:xMode val="edge"/>
          <c:yMode val="edge"/>
          <c:x val="6.3944297940556174E-3"/>
          <c:y val="0.7023145428830051"/>
        </c:manualLayout>
      </c:layout>
      <c:overlay val="0"/>
      <c:txPr>
        <a:bodyPr/>
        <a:lstStyle/>
        <a:p>
          <a:pPr lvl="0">
            <a:defRPr sz="900" b="0" i="0">
              <a:solidFill>
                <a:srgbClr val="1A1A1A"/>
              </a:solidFill>
              <a:latin typeface="+mn-lt"/>
            </a:defRPr>
          </a:pPr>
          <a:endParaRPr lang="en-US"/>
        </a:p>
      </c:txPr>
    </c:legend>
    <c:plotVisOnly val="1"/>
    <c:dispBlanksAs val="zero"/>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400" b="0" i="0">
                <a:solidFill>
                  <a:srgbClr val="757575"/>
                </a:solidFill>
                <a:latin typeface="+mn-lt"/>
              </a:defRPr>
            </a:pPr>
            <a:r>
              <a:rPr sz="1400" b="0" i="0">
                <a:solidFill>
                  <a:srgbClr val="757575"/>
                </a:solidFill>
                <a:latin typeface="+mn-lt"/>
              </a:rPr>
              <a:t>Energy Cost Breakdown across Unit Operations</a:t>
            </a:r>
          </a:p>
        </c:rich>
      </c:tx>
      <c:layout>
        <c:manualLayout>
          <c:xMode val="edge"/>
          <c:yMode val="edge"/>
          <c:x val="0.41079349337188653"/>
          <c:y val="9.6842730890935695E-3"/>
        </c:manualLayout>
      </c:layout>
      <c:overlay val="0"/>
    </c:title>
    <c:autoTitleDeleted val="0"/>
    <c:plotArea>
      <c:layout>
        <c:manualLayout>
          <c:xMode val="edge"/>
          <c:yMode val="edge"/>
          <c:x val="0.29520897530446844"/>
          <c:y val="8.245194465432483E-2"/>
          <c:w val="0.64559645532290799"/>
          <c:h val="0.65532973990125098"/>
        </c:manualLayout>
      </c:layout>
      <c:pieChart>
        <c:varyColors val="1"/>
        <c:ser>
          <c:idx val="0"/>
          <c:order val="0"/>
          <c:dPt>
            <c:idx val="0"/>
            <c:bubble3D val="0"/>
            <c:spPr>
              <a:solidFill>
                <a:schemeClr val="accent1"/>
              </a:solidFill>
            </c:spPr>
            <c:extLst>
              <c:ext xmlns:c16="http://schemas.microsoft.com/office/drawing/2014/chart" uri="{C3380CC4-5D6E-409C-BE32-E72D297353CC}">
                <c16:uniqueId val="{00000001-0699-4543-A2B3-A404BC47F4A7}"/>
              </c:ext>
            </c:extLst>
          </c:dPt>
          <c:dPt>
            <c:idx val="1"/>
            <c:bubble3D val="0"/>
            <c:spPr>
              <a:solidFill>
                <a:schemeClr val="accent2"/>
              </a:solidFill>
            </c:spPr>
            <c:extLst>
              <c:ext xmlns:c16="http://schemas.microsoft.com/office/drawing/2014/chart" uri="{C3380CC4-5D6E-409C-BE32-E72D297353CC}">
                <c16:uniqueId val="{00000003-0699-4543-A2B3-A404BC47F4A7}"/>
              </c:ext>
            </c:extLst>
          </c:dPt>
          <c:dPt>
            <c:idx val="2"/>
            <c:bubble3D val="0"/>
            <c:spPr>
              <a:solidFill>
                <a:schemeClr val="accent3"/>
              </a:solidFill>
            </c:spPr>
            <c:extLst>
              <c:ext xmlns:c16="http://schemas.microsoft.com/office/drawing/2014/chart" uri="{C3380CC4-5D6E-409C-BE32-E72D297353CC}">
                <c16:uniqueId val="{00000005-0699-4543-A2B3-A404BC47F4A7}"/>
              </c:ext>
            </c:extLst>
          </c:dPt>
          <c:dPt>
            <c:idx val="3"/>
            <c:bubble3D val="0"/>
            <c:spPr>
              <a:solidFill>
                <a:schemeClr val="accent4"/>
              </a:solidFill>
            </c:spPr>
            <c:extLst>
              <c:ext xmlns:c16="http://schemas.microsoft.com/office/drawing/2014/chart" uri="{C3380CC4-5D6E-409C-BE32-E72D297353CC}">
                <c16:uniqueId val="{00000007-0699-4543-A2B3-A404BC47F4A7}"/>
              </c:ext>
            </c:extLst>
          </c:dPt>
          <c:dPt>
            <c:idx val="4"/>
            <c:bubble3D val="0"/>
            <c:spPr>
              <a:solidFill>
                <a:schemeClr val="accent5"/>
              </a:solidFill>
            </c:spPr>
            <c:extLst>
              <c:ext xmlns:c16="http://schemas.microsoft.com/office/drawing/2014/chart" uri="{C3380CC4-5D6E-409C-BE32-E72D297353CC}">
                <c16:uniqueId val="{00000009-0699-4543-A2B3-A404BC47F4A7}"/>
              </c:ext>
            </c:extLst>
          </c:dPt>
          <c:dPt>
            <c:idx val="5"/>
            <c:bubble3D val="0"/>
            <c:spPr>
              <a:solidFill>
                <a:schemeClr val="accent6"/>
              </a:solidFill>
            </c:spPr>
            <c:extLst>
              <c:ext xmlns:c16="http://schemas.microsoft.com/office/drawing/2014/chart" uri="{C3380CC4-5D6E-409C-BE32-E72D297353CC}">
                <c16:uniqueId val="{0000000B-0699-4543-A2B3-A404BC47F4A7}"/>
              </c:ext>
            </c:extLst>
          </c:dPt>
          <c:dPt>
            <c:idx val="6"/>
            <c:bubble3D val="0"/>
            <c:spPr>
              <a:solidFill>
                <a:schemeClr val="accent1"/>
              </a:solidFill>
            </c:spPr>
            <c:extLst>
              <c:ext xmlns:c16="http://schemas.microsoft.com/office/drawing/2014/chart" uri="{C3380CC4-5D6E-409C-BE32-E72D297353CC}">
                <c16:uniqueId val="{0000000D-0699-4543-A2B3-A404BC47F4A7}"/>
              </c:ext>
            </c:extLst>
          </c:dPt>
          <c:dPt>
            <c:idx val="7"/>
            <c:bubble3D val="0"/>
            <c:spPr>
              <a:solidFill>
                <a:schemeClr val="accent2"/>
              </a:solidFill>
            </c:spPr>
            <c:extLst>
              <c:ext xmlns:c16="http://schemas.microsoft.com/office/drawing/2014/chart" uri="{C3380CC4-5D6E-409C-BE32-E72D297353CC}">
                <c16:uniqueId val="{0000000F-0699-4543-A2B3-A404BC47F4A7}"/>
              </c:ext>
            </c:extLst>
          </c:dPt>
          <c:dPt>
            <c:idx val="8"/>
            <c:bubble3D val="0"/>
            <c:spPr>
              <a:solidFill>
                <a:schemeClr val="accent3"/>
              </a:solidFill>
            </c:spPr>
            <c:extLst>
              <c:ext xmlns:c16="http://schemas.microsoft.com/office/drawing/2014/chart" uri="{C3380CC4-5D6E-409C-BE32-E72D297353CC}">
                <c16:uniqueId val="{00000011-0699-4543-A2B3-A404BC47F4A7}"/>
              </c:ext>
            </c:extLst>
          </c:dPt>
          <c:dPt>
            <c:idx val="9"/>
            <c:bubble3D val="0"/>
            <c:spPr>
              <a:solidFill>
                <a:schemeClr val="accent4"/>
              </a:solidFill>
            </c:spPr>
            <c:extLst>
              <c:ext xmlns:c16="http://schemas.microsoft.com/office/drawing/2014/chart" uri="{C3380CC4-5D6E-409C-BE32-E72D297353CC}">
                <c16:uniqueId val="{00000013-0699-4543-A2B3-A404BC47F4A7}"/>
              </c:ext>
            </c:extLst>
          </c:dPt>
          <c:dPt>
            <c:idx val="10"/>
            <c:bubble3D val="0"/>
            <c:spPr>
              <a:solidFill>
                <a:schemeClr val="accent5"/>
              </a:solidFill>
            </c:spPr>
            <c:extLst>
              <c:ext xmlns:c16="http://schemas.microsoft.com/office/drawing/2014/chart" uri="{C3380CC4-5D6E-409C-BE32-E72D297353CC}">
                <c16:uniqueId val="{00000015-0699-4543-A2B3-A404BC47F4A7}"/>
              </c:ext>
            </c:extLst>
          </c:dPt>
          <c:dPt>
            <c:idx val="11"/>
            <c:bubble3D val="0"/>
            <c:spPr>
              <a:solidFill>
                <a:schemeClr val="accent6"/>
              </a:solidFill>
            </c:spPr>
            <c:extLst>
              <c:ext xmlns:c16="http://schemas.microsoft.com/office/drawing/2014/chart" uri="{C3380CC4-5D6E-409C-BE32-E72D297353CC}">
                <c16:uniqueId val="{00000017-0699-4543-A2B3-A404BC47F4A7}"/>
              </c:ext>
            </c:extLst>
          </c:dPt>
          <c:dPt>
            <c:idx val="12"/>
            <c:bubble3D val="0"/>
            <c:spPr>
              <a:solidFill>
                <a:schemeClr val="accent1"/>
              </a:solidFill>
            </c:spPr>
            <c:extLst>
              <c:ext xmlns:c16="http://schemas.microsoft.com/office/drawing/2014/chart" uri="{C3380CC4-5D6E-409C-BE32-E72D297353CC}">
                <c16:uniqueId val="{00000019-0699-4543-A2B3-A404BC47F4A7}"/>
              </c:ext>
            </c:extLst>
          </c:dPt>
          <c:dPt>
            <c:idx val="13"/>
            <c:bubble3D val="0"/>
            <c:spPr>
              <a:solidFill>
                <a:schemeClr val="accent2"/>
              </a:solidFill>
            </c:spPr>
            <c:extLst>
              <c:ext xmlns:c16="http://schemas.microsoft.com/office/drawing/2014/chart" uri="{C3380CC4-5D6E-409C-BE32-E72D297353CC}">
                <c16:uniqueId val="{0000001B-0699-4543-A2B3-A404BC47F4A7}"/>
              </c:ext>
            </c:extLst>
          </c:dPt>
          <c:dPt>
            <c:idx val="14"/>
            <c:bubble3D val="0"/>
            <c:spPr>
              <a:solidFill>
                <a:schemeClr val="accent3"/>
              </a:solidFill>
            </c:spPr>
            <c:extLst>
              <c:ext xmlns:c16="http://schemas.microsoft.com/office/drawing/2014/chart" uri="{C3380CC4-5D6E-409C-BE32-E72D297353CC}">
                <c16:uniqueId val="{0000001D-0699-4543-A2B3-A404BC47F4A7}"/>
              </c:ext>
            </c:extLst>
          </c:dPt>
          <c:dPt>
            <c:idx val="15"/>
            <c:bubble3D val="0"/>
            <c:spPr>
              <a:solidFill>
                <a:schemeClr val="accent4"/>
              </a:solidFill>
            </c:spPr>
            <c:extLst>
              <c:ext xmlns:c16="http://schemas.microsoft.com/office/drawing/2014/chart" uri="{C3380CC4-5D6E-409C-BE32-E72D297353CC}">
                <c16:uniqueId val="{0000001F-0699-4543-A2B3-A404BC47F4A7}"/>
              </c:ext>
            </c:extLst>
          </c:dPt>
          <c:dPt>
            <c:idx val="16"/>
            <c:bubble3D val="0"/>
            <c:spPr>
              <a:solidFill>
                <a:schemeClr val="accent5"/>
              </a:solidFill>
            </c:spPr>
            <c:extLst>
              <c:ext xmlns:c16="http://schemas.microsoft.com/office/drawing/2014/chart" uri="{C3380CC4-5D6E-409C-BE32-E72D297353CC}">
                <c16:uniqueId val="{00000021-0699-4543-A2B3-A404BC47F4A7}"/>
              </c:ext>
            </c:extLst>
          </c:dPt>
          <c:dPt>
            <c:idx val="17"/>
            <c:bubble3D val="0"/>
            <c:spPr>
              <a:solidFill>
                <a:schemeClr val="accent6"/>
              </a:solidFill>
            </c:spPr>
            <c:extLst>
              <c:ext xmlns:c16="http://schemas.microsoft.com/office/drawing/2014/chart" uri="{C3380CC4-5D6E-409C-BE32-E72D297353CC}">
                <c16:uniqueId val="{00000023-0699-4543-A2B3-A404BC47F4A7}"/>
              </c:ext>
            </c:extLst>
          </c:dPt>
          <c:dPt>
            <c:idx val="18"/>
            <c:bubble3D val="0"/>
            <c:spPr>
              <a:solidFill>
                <a:schemeClr val="accent1"/>
              </a:solidFill>
            </c:spPr>
            <c:extLst>
              <c:ext xmlns:c16="http://schemas.microsoft.com/office/drawing/2014/chart" uri="{C3380CC4-5D6E-409C-BE32-E72D297353CC}">
                <c16:uniqueId val="{00000025-0699-4543-A2B3-A404BC47F4A7}"/>
              </c:ext>
            </c:extLst>
          </c:dPt>
          <c:dPt>
            <c:idx val="19"/>
            <c:bubble3D val="0"/>
            <c:spPr>
              <a:solidFill>
                <a:schemeClr val="accent2"/>
              </a:solidFill>
            </c:spPr>
            <c:extLst>
              <c:ext xmlns:c16="http://schemas.microsoft.com/office/drawing/2014/chart" uri="{C3380CC4-5D6E-409C-BE32-E72D297353CC}">
                <c16:uniqueId val="{00000027-0699-4543-A2B3-A404BC47F4A7}"/>
              </c:ext>
            </c:extLst>
          </c:dPt>
          <c:dPt>
            <c:idx val="20"/>
            <c:bubble3D val="0"/>
            <c:spPr>
              <a:solidFill>
                <a:schemeClr val="accent3"/>
              </a:solidFill>
            </c:spPr>
            <c:extLst>
              <c:ext xmlns:c16="http://schemas.microsoft.com/office/drawing/2014/chart" uri="{C3380CC4-5D6E-409C-BE32-E72D297353CC}">
                <c16:uniqueId val="{00000029-0699-4543-A2B3-A404BC47F4A7}"/>
              </c:ext>
            </c:extLst>
          </c:dPt>
          <c:dPt>
            <c:idx val="21"/>
            <c:bubble3D val="0"/>
            <c:spPr>
              <a:solidFill>
                <a:schemeClr val="accent4"/>
              </a:solidFill>
            </c:spPr>
            <c:extLst>
              <c:ext xmlns:c16="http://schemas.microsoft.com/office/drawing/2014/chart" uri="{C3380CC4-5D6E-409C-BE32-E72D297353CC}">
                <c16:uniqueId val="{0000002B-0699-4543-A2B3-A404BC47F4A7}"/>
              </c:ext>
            </c:extLst>
          </c:dPt>
          <c:dPt>
            <c:idx val="22"/>
            <c:bubble3D val="0"/>
            <c:spPr>
              <a:solidFill>
                <a:schemeClr val="accent5"/>
              </a:solidFill>
            </c:spPr>
            <c:extLst>
              <c:ext xmlns:c16="http://schemas.microsoft.com/office/drawing/2014/chart" uri="{C3380CC4-5D6E-409C-BE32-E72D297353CC}">
                <c16:uniqueId val="{0000002D-0699-4543-A2B3-A404BC47F4A7}"/>
              </c:ext>
            </c:extLst>
          </c:dPt>
          <c:dPt>
            <c:idx val="23"/>
            <c:bubble3D val="0"/>
            <c:spPr>
              <a:solidFill>
                <a:schemeClr val="accent6"/>
              </a:solidFill>
            </c:spPr>
            <c:extLst>
              <c:ext xmlns:c16="http://schemas.microsoft.com/office/drawing/2014/chart" uri="{C3380CC4-5D6E-409C-BE32-E72D297353CC}">
                <c16:uniqueId val="{0000002F-0699-4543-A2B3-A404BC47F4A7}"/>
              </c:ext>
            </c:extLst>
          </c:dPt>
          <c:dPt>
            <c:idx val="24"/>
            <c:bubble3D val="0"/>
            <c:spPr>
              <a:solidFill>
                <a:schemeClr val="accent1"/>
              </a:solidFill>
            </c:spPr>
            <c:extLst>
              <c:ext xmlns:c16="http://schemas.microsoft.com/office/drawing/2014/chart" uri="{C3380CC4-5D6E-409C-BE32-E72D297353CC}">
                <c16:uniqueId val="{00000031-0699-4543-A2B3-A404BC47F4A7}"/>
              </c:ext>
            </c:extLst>
          </c:dPt>
          <c:dPt>
            <c:idx val="25"/>
            <c:bubble3D val="0"/>
            <c:spPr>
              <a:solidFill>
                <a:schemeClr val="accent2"/>
              </a:solidFill>
            </c:spPr>
            <c:extLst>
              <c:ext xmlns:c16="http://schemas.microsoft.com/office/drawing/2014/chart" uri="{C3380CC4-5D6E-409C-BE32-E72D297353CC}">
                <c16:uniqueId val="{00000033-0699-4543-A2B3-A404BC47F4A7}"/>
              </c:ext>
            </c:extLst>
          </c:dPt>
          <c:dPt>
            <c:idx val="26"/>
            <c:bubble3D val="0"/>
            <c:spPr>
              <a:solidFill>
                <a:schemeClr val="accent3"/>
              </a:solidFill>
            </c:spPr>
            <c:extLst>
              <c:ext xmlns:c16="http://schemas.microsoft.com/office/drawing/2014/chart" uri="{C3380CC4-5D6E-409C-BE32-E72D297353CC}">
                <c16:uniqueId val="{00000035-0699-4543-A2B3-A404BC47F4A7}"/>
              </c:ext>
            </c:extLst>
          </c:dPt>
          <c:dPt>
            <c:idx val="27"/>
            <c:bubble3D val="0"/>
            <c:spPr>
              <a:solidFill>
                <a:schemeClr val="accent4"/>
              </a:solidFill>
            </c:spPr>
            <c:extLst>
              <c:ext xmlns:c16="http://schemas.microsoft.com/office/drawing/2014/chart" uri="{C3380CC4-5D6E-409C-BE32-E72D297353CC}">
                <c16:uniqueId val="{00000037-0699-4543-A2B3-A404BC47F4A7}"/>
              </c:ext>
            </c:extLst>
          </c:dPt>
          <c:dPt>
            <c:idx val="28"/>
            <c:bubble3D val="0"/>
            <c:spPr>
              <a:solidFill>
                <a:schemeClr val="accent5"/>
              </a:solidFill>
            </c:spPr>
            <c:extLst>
              <c:ext xmlns:c16="http://schemas.microsoft.com/office/drawing/2014/chart" uri="{C3380CC4-5D6E-409C-BE32-E72D297353CC}">
                <c16:uniqueId val="{00000039-0699-4543-A2B3-A404BC47F4A7}"/>
              </c:ext>
            </c:extLst>
          </c:dPt>
          <c:dPt>
            <c:idx val="29"/>
            <c:bubble3D val="0"/>
            <c:spPr>
              <a:solidFill>
                <a:schemeClr val="accent6"/>
              </a:solidFill>
            </c:spPr>
            <c:extLst>
              <c:ext xmlns:c16="http://schemas.microsoft.com/office/drawing/2014/chart" uri="{C3380CC4-5D6E-409C-BE32-E72D297353CC}">
                <c16:uniqueId val="{0000003B-0699-4543-A2B3-A404BC47F4A7}"/>
              </c:ext>
            </c:extLst>
          </c:dPt>
          <c:dPt>
            <c:idx val="30"/>
            <c:bubble3D val="0"/>
            <c:spPr>
              <a:solidFill>
                <a:schemeClr val="accent1"/>
              </a:solidFill>
            </c:spPr>
            <c:extLst>
              <c:ext xmlns:c16="http://schemas.microsoft.com/office/drawing/2014/chart" uri="{C3380CC4-5D6E-409C-BE32-E72D297353CC}">
                <c16:uniqueId val="{0000003D-0699-4543-A2B3-A404BC47F4A7}"/>
              </c:ext>
            </c:extLst>
          </c:dPt>
          <c:dPt>
            <c:idx val="31"/>
            <c:bubble3D val="0"/>
            <c:spPr>
              <a:solidFill>
                <a:schemeClr val="accent2"/>
              </a:solidFill>
            </c:spPr>
            <c:extLst>
              <c:ext xmlns:c16="http://schemas.microsoft.com/office/drawing/2014/chart" uri="{C3380CC4-5D6E-409C-BE32-E72D297353CC}">
                <c16:uniqueId val="{0000003F-0699-4543-A2B3-A404BC47F4A7}"/>
              </c:ext>
            </c:extLst>
          </c:dPt>
          <c:dPt>
            <c:idx val="32"/>
            <c:bubble3D val="0"/>
            <c:spPr>
              <a:solidFill>
                <a:schemeClr val="accent3"/>
              </a:solidFill>
            </c:spPr>
            <c:extLst>
              <c:ext xmlns:c16="http://schemas.microsoft.com/office/drawing/2014/chart" uri="{C3380CC4-5D6E-409C-BE32-E72D297353CC}">
                <c16:uniqueId val="{00000041-0699-4543-A2B3-A404BC47F4A7}"/>
              </c:ext>
            </c:extLst>
          </c:dPt>
          <c:dPt>
            <c:idx val="33"/>
            <c:bubble3D val="0"/>
            <c:spPr>
              <a:solidFill>
                <a:schemeClr val="accent4"/>
              </a:solidFill>
            </c:spPr>
            <c:extLst>
              <c:ext xmlns:c16="http://schemas.microsoft.com/office/drawing/2014/chart" uri="{C3380CC4-5D6E-409C-BE32-E72D297353CC}">
                <c16:uniqueId val="{00000043-0699-4543-A2B3-A404BC47F4A7}"/>
              </c:ext>
            </c:extLst>
          </c:dPt>
          <c:dPt>
            <c:idx val="34"/>
            <c:bubble3D val="0"/>
            <c:spPr>
              <a:solidFill>
                <a:schemeClr val="accent5"/>
              </a:solidFill>
            </c:spPr>
            <c:extLst>
              <c:ext xmlns:c16="http://schemas.microsoft.com/office/drawing/2014/chart" uri="{C3380CC4-5D6E-409C-BE32-E72D297353CC}">
                <c16:uniqueId val="{00000045-0699-4543-A2B3-A404BC47F4A7}"/>
              </c:ext>
            </c:extLst>
          </c:dPt>
          <c:dPt>
            <c:idx val="35"/>
            <c:bubble3D val="0"/>
            <c:spPr>
              <a:solidFill>
                <a:schemeClr val="accent6"/>
              </a:solidFill>
            </c:spPr>
            <c:extLst>
              <c:ext xmlns:c16="http://schemas.microsoft.com/office/drawing/2014/chart" uri="{C3380CC4-5D6E-409C-BE32-E72D297353CC}">
                <c16:uniqueId val="{00000047-0699-4543-A2B3-A404BC47F4A7}"/>
              </c:ext>
            </c:extLst>
          </c:dPt>
          <c:dPt>
            <c:idx val="36"/>
            <c:bubble3D val="0"/>
            <c:spPr>
              <a:solidFill>
                <a:schemeClr val="accent1"/>
              </a:solidFill>
            </c:spPr>
            <c:extLst>
              <c:ext xmlns:c16="http://schemas.microsoft.com/office/drawing/2014/chart" uri="{C3380CC4-5D6E-409C-BE32-E72D297353CC}">
                <c16:uniqueId val="{00000049-0699-4543-A2B3-A404BC47F4A7}"/>
              </c:ext>
            </c:extLst>
          </c:dPt>
          <c:dPt>
            <c:idx val="37"/>
            <c:bubble3D val="0"/>
            <c:spPr>
              <a:solidFill>
                <a:schemeClr val="accent2"/>
              </a:solidFill>
            </c:spPr>
            <c:extLst>
              <c:ext xmlns:c16="http://schemas.microsoft.com/office/drawing/2014/chart" uri="{C3380CC4-5D6E-409C-BE32-E72D297353CC}">
                <c16:uniqueId val="{0000004B-0699-4543-A2B3-A404BC47F4A7}"/>
              </c:ext>
            </c:extLst>
          </c:dPt>
          <c:dPt>
            <c:idx val="38"/>
            <c:bubble3D val="0"/>
            <c:spPr>
              <a:solidFill>
                <a:schemeClr val="accent3"/>
              </a:solidFill>
            </c:spPr>
            <c:extLst>
              <c:ext xmlns:c16="http://schemas.microsoft.com/office/drawing/2014/chart" uri="{C3380CC4-5D6E-409C-BE32-E72D297353CC}">
                <c16:uniqueId val="{0000004D-0699-4543-A2B3-A404BC47F4A7}"/>
              </c:ext>
            </c:extLst>
          </c:dPt>
          <c:dPt>
            <c:idx val="39"/>
            <c:bubble3D val="0"/>
            <c:spPr>
              <a:solidFill>
                <a:schemeClr val="accent4"/>
              </a:solidFill>
            </c:spPr>
            <c:extLst>
              <c:ext xmlns:c16="http://schemas.microsoft.com/office/drawing/2014/chart" uri="{C3380CC4-5D6E-409C-BE32-E72D297353CC}">
                <c16:uniqueId val="{0000004F-0699-4543-A2B3-A404BC47F4A7}"/>
              </c:ext>
            </c:extLst>
          </c:dPt>
          <c:dPt>
            <c:idx val="40"/>
            <c:bubble3D val="0"/>
            <c:spPr>
              <a:solidFill>
                <a:schemeClr val="accent5"/>
              </a:solidFill>
            </c:spPr>
            <c:extLst>
              <c:ext xmlns:c16="http://schemas.microsoft.com/office/drawing/2014/chart" uri="{C3380CC4-5D6E-409C-BE32-E72D297353CC}">
                <c16:uniqueId val="{00000051-0699-4543-A2B3-A404BC47F4A7}"/>
              </c:ext>
            </c:extLst>
          </c:dPt>
          <c:dPt>
            <c:idx val="41"/>
            <c:bubble3D val="0"/>
            <c:spPr>
              <a:solidFill>
                <a:schemeClr val="accent6"/>
              </a:solidFill>
            </c:spPr>
            <c:extLst>
              <c:ext xmlns:c16="http://schemas.microsoft.com/office/drawing/2014/chart" uri="{C3380CC4-5D6E-409C-BE32-E72D297353CC}">
                <c16:uniqueId val="{00000053-0699-4543-A2B3-A404BC47F4A7}"/>
              </c:ext>
            </c:extLst>
          </c:dPt>
          <c:dPt>
            <c:idx val="42"/>
            <c:bubble3D val="0"/>
            <c:spPr>
              <a:solidFill>
                <a:schemeClr val="accent1"/>
              </a:solidFill>
            </c:spPr>
            <c:extLst>
              <c:ext xmlns:c16="http://schemas.microsoft.com/office/drawing/2014/chart" uri="{C3380CC4-5D6E-409C-BE32-E72D297353CC}">
                <c16:uniqueId val="{00000055-0699-4543-A2B3-A404BC47F4A7}"/>
              </c:ext>
            </c:extLst>
          </c:dPt>
          <c:dPt>
            <c:idx val="43"/>
            <c:bubble3D val="0"/>
            <c:spPr>
              <a:solidFill>
                <a:schemeClr val="accent2"/>
              </a:solidFill>
            </c:spPr>
            <c:extLst>
              <c:ext xmlns:c16="http://schemas.microsoft.com/office/drawing/2014/chart" uri="{C3380CC4-5D6E-409C-BE32-E72D297353CC}">
                <c16:uniqueId val="{00000057-0699-4543-A2B3-A404BC47F4A7}"/>
              </c:ext>
            </c:extLst>
          </c:dPt>
          <c:dPt>
            <c:idx val="44"/>
            <c:bubble3D val="0"/>
            <c:spPr>
              <a:solidFill>
                <a:schemeClr val="accent3"/>
              </a:solidFill>
            </c:spPr>
            <c:extLst>
              <c:ext xmlns:c16="http://schemas.microsoft.com/office/drawing/2014/chart" uri="{C3380CC4-5D6E-409C-BE32-E72D297353CC}">
                <c16:uniqueId val="{00000059-0699-4543-A2B3-A404BC47F4A7}"/>
              </c:ext>
            </c:extLst>
          </c:dPt>
          <c:dPt>
            <c:idx val="45"/>
            <c:bubble3D val="0"/>
            <c:spPr>
              <a:solidFill>
                <a:schemeClr val="accent4"/>
              </a:solidFill>
            </c:spPr>
            <c:extLst>
              <c:ext xmlns:c16="http://schemas.microsoft.com/office/drawing/2014/chart" uri="{C3380CC4-5D6E-409C-BE32-E72D297353CC}">
                <c16:uniqueId val="{0000005B-0699-4543-A2B3-A404BC47F4A7}"/>
              </c:ext>
            </c:extLst>
          </c:dPt>
          <c:dPt>
            <c:idx val="46"/>
            <c:bubble3D val="0"/>
            <c:spPr>
              <a:solidFill>
                <a:schemeClr val="accent5"/>
              </a:solidFill>
            </c:spPr>
            <c:extLst>
              <c:ext xmlns:c16="http://schemas.microsoft.com/office/drawing/2014/chart" uri="{C3380CC4-5D6E-409C-BE32-E72D297353CC}">
                <c16:uniqueId val="{0000005D-0699-4543-A2B3-A404BC47F4A7}"/>
              </c:ext>
            </c:extLst>
          </c:dPt>
          <c:dPt>
            <c:idx val="47"/>
            <c:bubble3D val="0"/>
            <c:spPr>
              <a:solidFill>
                <a:schemeClr val="accent6"/>
              </a:solidFill>
            </c:spPr>
            <c:extLst>
              <c:ext xmlns:c16="http://schemas.microsoft.com/office/drawing/2014/chart" uri="{C3380CC4-5D6E-409C-BE32-E72D297353CC}">
                <c16:uniqueId val="{0000005F-0699-4543-A2B3-A404BC47F4A7}"/>
              </c:ext>
            </c:extLst>
          </c:dPt>
          <c:dPt>
            <c:idx val="48"/>
            <c:bubble3D val="0"/>
            <c:spPr>
              <a:solidFill>
                <a:schemeClr val="accent1"/>
              </a:solidFill>
            </c:spPr>
            <c:extLst>
              <c:ext xmlns:c16="http://schemas.microsoft.com/office/drawing/2014/chart" uri="{C3380CC4-5D6E-409C-BE32-E72D297353CC}">
                <c16:uniqueId val="{00000061-0699-4543-A2B3-A404BC47F4A7}"/>
              </c:ext>
            </c:extLst>
          </c:dPt>
          <c:dPt>
            <c:idx val="49"/>
            <c:bubble3D val="0"/>
            <c:spPr>
              <a:solidFill>
                <a:schemeClr val="accent2"/>
              </a:solidFill>
            </c:spPr>
            <c:extLst>
              <c:ext xmlns:c16="http://schemas.microsoft.com/office/drawing/2014/chart" uri="{C3380CC4-5D6E-409C-BE32-E72D297353CC}">
                <c16:uniqueId val="{00000063-0699-4543-A2B3-A404BC47F4A7}"/>
              </c:ext>
            </c:extLst>
          </c:dPt>
          <c:dPt>
            <c:idx val="50"/>
            <c:bubble3D val="0"/>
            <c:spPr>
              <a:solidFill>
                <a:schemeClr val="accent3"/>
              </a:solidFill>
            </c:spPr>
            <c:extLst>
              <c:ext xmlns:c16="http://schemas.microsoft.com/office/drawing/2014/chart" uri="{C3380CC4-5D6E-409C-BE32-E72D297353CC}">
                <c16:uniqueId val="{00000065-0699-4543-A2B3-A404BC47F4A7}"/>
              </c:ext>
            </c:extLst>
          </c:dPt>
          <c:dPt>
            <c:idx val="51"/>
            <c:bubble3D val="0"/>
            <c:spPr>
              <a:solidFill>
                <a:schemeClr val="accent4"/>
              </a:solidFill>
            </c:spPr>
            <c:extLst>
              <c:ext xmlns:c16="http://schemas.microsoft.com/office/drawing/2014/chart" uri="{C3380CC4-5D6E-409C-BE32-E72D297353CC}">
                <c16:uniqueId val="{00000067-0699-4543-A2B3-A404BC47F4A7}"/>
              </c:ext>
            </c:extLst>
          </c:dPt>
          <c:dPt>
            <c:idx val="52"/>
            <c:bubble3D val="0"/>
            <c:spPr>
              <a:solidFill>
                <a:schemeClr val="accent5"/>
              </a:solidFill>
            </c:spPr>
            <c:extLst>
              <c:ext xmlns:c16="http://schemas.microsoft.com/office/drawing/2014/chart" uri="{C3380CC4-5D6E-409C-BE32-E72D297353CC}">
                <c16:uniqueId val="{00000069-0699-4543-A2B3-A404BC47F4A7}"/>
              </c:ext>
            </c:extLst>
          </c:dPt>
          <c:dPt>
            <c:idx val="53"/>
            <c:bubble3D val="0"/>
            <c:spPr>
              <a:solidFill>
                <a:schemeClr val="accent6"/>
              </a:solidFill>
            </c:spPr>
            <c:extLst>
              <c:ext xmlns:c16="http://schemas.microsoft.com/office/drawing/2014/chart" uri="{C3380CC4-5D6E-409C-BE32-E72D297353CC}">
                <c16:uniqueId val="{0000006B-0699-4543-A2B3-A404BC47F4A7}"/>
              </c:ext>
            </c:extLst>
          </c:dPt>
          <c:dPt>
            <c:idx val="54"/>
            <c:bubble3D val="0"/>
            <c:spPr>
              <a:solidFill>
                <a:schemeClr val="accent1"/>
              </a:solidFill>
            </c:spPr>
            <c:extLst>
              <c:ext xmlns:c16="http://schemas.microsoft.com/office/drawing/2014/chart" uri="{C3380CC4-5D6E-409C-BE32-E72D297353CC}">
                <c16:uniqueId val="{0000006D-0699-4543-A2B3-A404BC47F4A7}"/>
              </c:ext>
            </c:extLst>
          </c:dPt>
          <c:dPt>
            <c:idx val="55"/>
            <c:bubble3D val="0"/>
            <c:spPr>
              <a:solidFill>
                <a:schemeClr val="accent2"/>
              </a:solidFill>
            </c:spPr>
            <c:extLst>
              <c:ext xmlns:c16="http://schemas.microsoft.com/office/drawing/2014/chart" uri="{C3380CC4-5D6E-409C-BE32-E72D297353CC}">
                <c16:uniqueId val="{0000006F-0699-4543-A2B3-A404BC47F4A7}"/>
              </c:ext>
            </c:extLst>
          </c:dPt>
          <c:dPt>
            <c:idx val="56"/>
            <c:bubble3D val="0"/>
            <c:spPr>
              <a:solidFill>
                <a:schemeClr val="accent3"/>
              </a:solidFill>
            </c:spPr>
            <c:extLst>
              <c:ext xmlns:c16="http://schemas.microsoft.com/office/drawing/2014/chart" uri="{C3380CC4-5D6E-409C-BE32-E72D297353CC}">
                <c16:uniqueId val="{00000071-0699-4543-A2B3-A404BC47F4A7}"/>
              </c:ext>
            </c:extLst>
          </c:dPt>
          <c:dPt>
            <c:idx val="57"/>
            <c:bubble3D val="0"/>
            <c:spPr>
              <a:solidFill>
                <a:schemeClr val="accent4"/>
              </a:solidFill>
            </c:spPr>
            <c:extLst>
              <c:ext xmlns:c16="http://schemas.microsoft.com/office/drawing/2014/chart" uri="{C3380CC4-5D6E-409C-BE32-E72D297353CC}">
                <c16:uniqueId val="{00000073-0699-4543-A2B3-A404BC47F4A7}"/>
              </c:ext>
            </c:extLst>
          </c:dPt>
          <c:dPt>
            <c:idx val="58"/>
            <c:bubble3D val="0"/>
            <c:spPr>
              <a:solidFill>
                <a:schemeClr val="accent5"/>
              </a:solidFill>
            </c:spPr>
            <c:extLst>
              <c:ext xmlns:c16="http://schemas.microsoft.com/office/drawing/2014/chart" uri="{C3380CC4-5D6E-409C-BE32-E72D297353CC}">
                <c16:uniqueId val="{00000075-0699-4543-A2B3-A404BC47F4A7}"/>
              </c:ext>
            </c:extLst>
          </c:dPt>
          <c:dPt>
            <c:idx val="59"/>
            <c:bubble3D val="0"/>
            <c:spPr>
              <a:solidFill>
                <a:schemeClr val="accent6"/>
              </a:solidFill>
            </c:spPr>
            <c:extLst>
              <c:ext xmlns:c16="http://schemas.microsoft.com/office/drawing/2014/chart" uri="{C3380CC4-5D6E-409C-BE32-E72D297353CC}">
                <c16:uniqueId val="{00000077-0699-4543-A2B3-A404BC47F4A7}"/>
              </c:ext>
            </c:extLst>
          </c:dPt>
          <c:dPt>
            <c:idx val="60"/>
            <c:bubble3D val="0"/>
            <c:spPr>
              <a:solidFill>
                <a:schemeClr val="accent1"/>
              </a:solidFill>
            </c:spPr>
            <c:extLst>
              <c:ext xmlns:c16="http://schemas.microsoft.com/office/drawing/2014/chart" uri="{C3380CC4-5D6E-409C-BE32-E72D297353CC}">
                <c16:uniqueId val="{00000079-0699-4543-A2B3-A404BC47F4A7}"/>
              </c:ext>
            </c:extLst>
          </c:dPt>
          <c:dPt>
            <c:idx val="61"/>
            <c:bubble3D val="0"/>
            <c:spPr>
              <a:solidFill>
                <a:schemeClr val="accent2"/>
              </a:solidFill>
            </c:spPr>
            <c:extLst>
              <c:ext xmlns:c16="http://schemas.microsoft.com/office/drawing/2014/chart" uri="{C3380CC4-5D6E-409C-BE32-E72D297353CC}">
                <c16:uniqueId val="{0000007B-0699-4543-A2B3-A404BC47F4A7}"/>
              </c:ext>
            </c:extLst>
          </c:dPt>
          <c:dPt>
            <c:idx val="62"/>
            <c:bubble3D val="0"/>
            <c:spPr>
              <a:solidFill>
                <a:schemeClr val="accent3"/>
              </a:solidFill>
            </c:spPr>
            <c:extLst>
              <c:ext xmlns:c16="http://schemas.microsoft.com/office/drawing/2014/chart" uri="{C3380CC4-5D6E-409C-BE32-E72D297353CC}">
                <c16:uniqueId val="{0000007D-0699-4543-A2B3-A404BC47F4A7}"/>
              </c:ext>
            </c:extLst>
          </c:dPt>
          <c:dPt>
            <c:idx val="63"/>
            <c:bubble3D val="0"/>
            <c:spPr>
              <a:solidFill>
                <a:schemeClr val="accent4"/>
              </a:solidFill>
            </c:spPr>
            <c:extLst>
              <c:ext xmlns:c16="http://schemas.microsoft.com/office/drawing/2014/chart" uri="{C3380CC4-5D6E-409C-BE32-E72D297353CC}">
                <c16:uniqueId val="{0000007F-0699-4543-A2B3-A404BC47F4A7}"/>
              </c:ext>
            </c:extLst>
          </c:dPt>
          <c:dPt>
            <c:idx val="64"/>
            <c:bubble3D val="0"/>
            <c:spPr>
              <a:solidFill>
                <a:schemeClr val="accent5"/>
              </a:solidFill>
            </c:spPr>
            <c:extLst>
              <c:ext xmlns:c16="http://schemas.microsoft.com/office/drawing/2014/chart" uri="{C3380CC4-5D6E-409C-BE32-E72D297353CC}">
                <c16:uniqueId val="{00000081-0699-4543-A2B3-A404BC47F4A7}"/>
              </c:ext>
            </c:extLst>
          </c:dPt>
          <c:dPt>
            <c:idx val="65"/>
            <c:bubble3D val="0"/>
            <c:spPr>
              <a:solidFill>
                <a:schemeClr val="accent6"/>
              </a:solidFill>
            </c:spPr>
            <c:extLst>
              <c:ext xmlns:c16="http://schemas.microsoft.com/office/drawing/2014/chart" uri="{C3380CC4-5D6E-409C-BE32-E72D297353CC}">
                <c16:uniqueId val="{00000083-0699-4543-A2B3-A404BC47F4A7}"/>
              </c:ext>
            </c:extLst>
          </c:dPt>
          <c:dPt>
            <c:idx val="66"/>
            <c:bubble3D val="0"/>
            <c:spPr>
              <a:solidFill>
                <a:schemeClr val="accent1"/>
              </a:solidFill>
            </c:spPr>
            <c:extLst>
              <c:ext xmlns:c16="http://schemas.microsoft.com/office/drawing/2014/chart" uri="{C3380CC4-5D6E-409C-BE32-E72D297353CC}">
                <c16:uniqueId val="{00000085-0699-4543-A2B3-A404BC47F4A7}"/>
              </c:ext>
            </c:extLst>
          </c:dPt>
          <c:dPt>
            <c:idx val="67"/>
            <c:bubble3D val="0"/>
            <c:spPr>
              <a:solidFill>
                <a:schemeClr val="accent2"/>
              </a:solidFill>
            </c:spPr>
            <c:extLst>
              <c:ext xmlns:c16="http://schemas.microsoft.com/office/drawing/2014/chart" uri="{C3380CC4-5D6E-409C-BE32-E72D297353CC}">
                <c16:uniqueId val="{00000087-0699-4543-A2B3-A404BC47F4A7}"/>
              </c:ext>
            </c:extLst>
          </c:dPt>
          <c:dPt>
            <c:idx val="68"/>
            <c:bubble3D val="0"/>
            <c:spPr>
              <a:solidFill>
                <a:schemeClr val="accent3"/>
              </a:solidFill>
            </c:spPr>
            <c:extLst>
              <c:ext xmlns:c16="http://schemas.microsoft.com/office/drawing/2014/chart" uri="{C3380CC4-5D6E-409C-BE32-E72D297353CC}">
                <c16:uniqueId val="{00000089-0699-4543-A2B3-A404BC47F4A7}"/>
              </c:ext>
            </c:extLst>
          </c:dPt>
          <c:dPt>
            <c:idx val="69"/>
            <c:bubble3D val="0"/>
            <c:spPr>
              <a:solidFill>
                <a:schemeClr val="accent4"/>
              </a:solidFill>
            </c:spPr>
            <c:extLst>
              <c:ext xmlns:c16="http://schemas.microsoft.com/office/drawing/2014/chart" uri="{C3380CC4-5D6E-409C-BE32-E72D297353CC}">
                <c16:uniqueId val="{0000008B-0699-4543-A2B3-A404BC47F4A7}"/>
              </c:ext>
            </c:extLst>
          </c:dPt>
          <c:dPt>
            <c:idx val="70"/>
            <c:bubble3D val="0"/>
            <c:spPr>
              <a:solidFill>
                <a:schemeClr val="accent5"/>
              </a:solidFill>
            </c:spPr>
            <c:extLst>
              <c:ext xmlns:c16="http://schemas.microsoft.com/office/drawing/2014/chart" uri="{C3380CC4-5D6E-409C-BE32-E72D297353CC}">
                <c16:uniqueId val="{0000008D-0699-4543-A2B3-A404BC47F4A7}"/>
              </c:ext>
            </c:extLst>
          </c:dPt>
          <c:dPt>
            <c:idx val="71"/>
            <c:bubble3D val="0"/>
            <c:spPr>
              <a:solidFill>
                <a:schemeClr val="accent6"/>
              </a:solidFill>
            </c:spPr>
            <c:extLst>
              <c:ext xmlns:c16="http://schemas.microsoft.com/office/drawing/2014/chart" uri="{C3380CC4-5D6E-409C-BE32-E72D297353CC}">
                <c16:uniqueId val="{0000008F-0699-4543-A2B3-A404BC47F4A7}"/>
              </c:ext>
            </c:extLst>
          </c:dPt>
          <c:dPt>
            <c:idx val="72"/>
            <c:bubble3D val="0"/>
            <c:spPr>
              <a:solidFill>
                <a:schemeClr val="accent1"/>
              </a:solidFill>
            </c:spPr>
            <c:extLst>
              <c:ext xmlns:c16="http://schemas.microsoft.com/office/drawing/2014/chart" uri="{C3380CC4-5D6E-409C-BE32-E72D297353CC}">
                <c16:uniqueId val="{00000091-0699-4543-A2B3-A404BC47F4A7}"/>
              </c:ext>
            </c:extLst>
          </c:dPt>
          <c:dPt>
            <c:idx val="73"/>
            <c:bubble3D val="0"/>
            <c:spPr>
              <a:solidFill>
                <a:schemeClr val="accent2"/>
              </a:solidFill>
            </c:spPr>
            <c:extLst>
              <c:ext xmlns:c16="http://schemas.microsoft.com/office/drawing/2014/chart" uri="{C3380CC4-5D6E-409C-BE32-E72D297353CC}">
                <c16:uniqueId val="{00000093-0699-4543-A2B3-A404BC47F4A7}"/>
              </c:ext>
            </c:extLst>
          </c:dPt>
          <c:dPt>
            <c:idx val="74"/>
            <c:bubble3D val="0"/>
            <c:spPr>
              <a:solidFill>
                <a:schemeClr val="accent3"/>
              </a:solidFill>
            </c:spPr>
            <c:extLst>
              <c:ext xmlns:c16="http://schemas.microsoft.com/office/drawing/2014/chart" uri="{C3380CC4-5D6E-409C-BE32-E72D297353CC}">
                <c16:uniqueId val="{00000095-0699-4543-A2B3-A404BC47F4A7}"/>
              </c:ext>
            </c:extLst>
          </c:dPt>
          <c:dPt>
            <c:idx val="75"/>
            <c:bubble3D val="0"/>
            <c:spPr>
              <a:solidFill>
                <a:schemeClr val="accent4"/>
              </a:solidFill>
            </c:spPr>
            <c:extLst>
              <c:ext xmlns:c16="http://schemas.microsoft.com/office/drawing/2014/chart" uri="{C3380CC4-5D6E-409C-BE32-E72D297353CC}">
                <c16:uniqueId val="{00000097-0699-4543-A2B3-A404BC47F4A7}"/>
              </c:ext>
            </c:extLst>
          </c:dPt>
          <c:dPt>
            <c:idx val="76"/>
            <c:bubble3D val="0"/>
            <c:spPr>
              <a:solidFill>
                <a:schemeClr val="accent5"/>
              </a:solidFill>
            </c:spPr>
            <c:extLst>
              <c:ext xmlns:c16="http://schemas.microsoft.com/office/drawing/2014/chart" uri="{C3380CC4-5D6E-409C-BE32-E72D297353CC}">
                <c16:uniqueId val="{00000099-0699-4543-A2B3-A404BC47F4A7}"/>
              </c:ext>
            </c:extLst>
          </c:dPt>
          <c:dPt>
            <c:idx val="77"/>
            <c:bubble3D val="0"/>
            <c:spPr>
              <a:solidFill>
                <a:schemeClr val="accent6"/>
              </a:solidFill>
            </c:spPr>
            <c:extLst>
              <c:ext xmlns:c16="http://schemas.microsoft.com/office/drawing/2014/chart" uri="{C3380CC4-5D6E-409C-BE32-E72D297353CC}">
                <c16:uniqueId val="{0000009B-0699-4543-A2B3-A404BC47F4A7}"/>
              </c:ext>
            </c:extLst>
          </c:dPt>
          <c:dPt>
            <c:idx val="78"/>
            <c:bubble3D val="0"/>
            <c:spPr>
              <a:solidFill>
                <a:schemeClr val="accent1"/>
              </a:solidFill>
            </c:spPr>
            <c:extLst>
              <c:ext xmlns:c16="http://schemas.microsoft.com/office/drawing/2014/chart" uri="{C3380CC4-5D6E-409C-BE32-E72D297353CC}">
                <c16:uniqueId val="{0000009D-0699-4543-A2B3-A404BC47F4A7}"/>
              </c:ext>
            </c:extLst>
          </c:dPt>
          <c:dPt>
            <c:idx val="79"/>
            <c:bubble3D val="0"/>
            <c:spPr>
              <a:solidFill>
                <a:schemeClr val="accent2"/>
              </a:solidFill>
            </c:spPr>
            <c:extLst>
              <c:ext xmlns:c16="http://schemas.microsoft.com/office/drawing/2014/chart" uri="{C3380CC4-5D6E-409C-BE32-E72D297353CC}">
                <c16:uniqueId val="{0000009F-0699-4543-A2B3-A404BC47F4A7}"/>
              </c:ext>
            </c:extLst>
          </c:dPt>
          <c:dPt>
            <c:idx val="80"/>
            <c:bubble3D val="0"/>
            <c:spPr>
              <a:solidFill>
                <a:schemeClr val="accent3"/>
              </a:solidFill>
            </c:spPr>
            <c:extLst>
              <c:ext xmlns:c16="http://schemas.microsoft.com/office/drawing/2014/chart" uri="{C3380CC4-5D6E-409C-BE32-E72D297353CC}">
                <c16:uniqueId val="{000000A1-0699-4543-A2B3-A404BC47F4A7}"/>
              </c:ext>
            </c:extLst>
          </c:dPt>
          <c:dPt>
            <c:idx val="81"/>
            <c:bubble3D val="0"/>
            <c:spPr>
              <a:solidFill>
                <a:schemeClr val="accent4"/>
              </a:solidFill>
            </c:spPr>
            <c:extLst>
              <c:ext xmlns:c16="http://schemas.microsoft.com/office/drawing/2014/chart" uri="{C3380CC4-5D6E-409C-BE32-E72D297353CC}">
                <c16:uniqueId val="{000000A3-0699-4543-A2B3-A404BC47F4A7}"/>
              </c:ext>
            </c:extLst>
          </c:dPt>
          <c:dPt>
            <c:idx val="82"/>
            <c:bubble3D val="0"/>
            <c:spPr>
              <a:solidFill>
                <a:schemeClr val="accent5"/>
              </a:solidFill>
            </c:spPr>
            <c:extLst>
              <c:ext xmlns:c16="http://schemas.microsoft.com/office/drawing/2014/chart" uri="{C3380CC4-5D6E-409C-BE32-E72D297353CC}">
                <c16:uniqueId val="{000000A5-0699-4543-A2B3-A404BC47F4A7}"/>
              </c:ext>
            </c:extLst>
          </c:dPt>
          <c:dPt>
            <c:idx val="83"/>
            <c:bubble3D val="0"/>
            <c:spPr>
              <a:solidFill>
                <a:schemeClr val="accent6"/>
              </a:solidFill>
            </c:spPr>
            <c:extLst>
              <c:ext xmlns:c16="http://schemas.microsoft.com/office/drawing/2014/chart" uri="{C3380CC4-5D6E-409C-BE32-E72D297353CC}">
                <c16:uniqueId val="{000000A7-0699-4543-A2B3-A404BC47F4A7}"/>
              </c:ext>
            </c:extLst>
          </c:dPt>
          <c:dPt>
            <c:idx val="84"/>
            <c:bubble3D val="0"/>
            <c:spPr>
              <a:solidFill>
                <a:schemeClr val="accent1"/>
              </a:solidFill>
            </c:spPr>
            <c:extLst>
              <c:ext xmlns:c16="http://schemas.microsoft.com/office/drawing/2014/chart" uri="{C3380CC4-5D6E-409C-BE32-E72D297353CC}">
                <c16:uniqueId val="{000000A9-0699-4543-A2B3-A404BC47F4A7}"/>
              </c:ext>
            </c:extLst>
          </c:dPt>
          <c:dPt>
            <c:idx val="85"/>
            <c:bubble3D val="0"/>
            <c:spPr>
              <a:solidFill>
                <a:schemeClr val="accent2"/>
              </a:solidFill>
            </c:spPr>
            <c:extLst>
              <c:ext xmlns:c16="http://schemas.microsoft.com/office/drawing/2014/chart" uri="{C3380CC4-5D6E-409C-BE32-E72D297353CC}">
                <c16:uniqueId val="{000000AB-0699-4543-A2B3-A404BC47F4A7}"/>
              </c:ext>
            </c:extLst>
          </c:dPt>
          <c:dPt>
            <c:idx val="86"/>
            <c:bubble3D val="0"/>
            <c:spPr>
              <a:solidFill>
                <a:schemeClr val="accent3"/>
              </a:solidFill>
            </c:spPr>
            <c:extLst>
              <c:ext xmlns:c16="http://schemas.microsoft.com/office/drawing/2014/chart" uri="{C3380CC4-5D6E-409C-BE32-E72D297353CC}">
                <c16:uniqueId val="{000000AD-0699-4543-A2B3-A404BC47F4A7}"/>
              </c:ext>
            </c:extLst>
          </c:dPt>
          <c:dPt>
            <c:idx val="87"/>
            <c:bubble3D val="0"/>
            <c:spPr>
              <a:solidFill>
                <a:schemeClr val="accent4"/>
              </a:solidFill>
            </c:spPr>
            <c:extLst>
              <c:ext xmlns:c16="http://schemas.microsoft.com/office/drawing/2014/chart" uri="{C3380CC4-5D6E-409C-BE32-E72D297353CC}">
                <c16:uniqueId val="{000000AF-0699-4543-A2B3-A404BC47F4A7}"/>
              </c:ext>
            </c:extLst>
          </c:dPt>
          <c:dPt>
            <c:idx val="88"/>
            <c:bubble3D val="0"/>
            <c:spPr>
              <a:solidFill>
                <a:schemeClr val="accent5"/>
              </a:solidFill>
            </c:spPr>
            <c:extLst>
              <c:ext xmlns:c16="http://schemas.microsoft.com/office/drawing/2014/chart" uri="{C3380CC4-5D6E-409C-BE32-E72D297353CC}">
                <c16:uniqueId val="{000000B1-0699-4543-A2B3-A404BC47F4A7}"/>
              </c:ext>
            </c:extLst>
          </c:dPt>
          <c:dPt>
            <c:idx val="89"/>
            <c:bubble3D val="0"/>
            <c:spPr>
              <a:solidFill>
                <a:schemeClr val="accent6"/>
              </a:solidFill>
            </c:spPr>
            <c:extLst>
              <c:ext xmlns:c16="http://schemas.microsoft.com/office/drawing/2014/chart" uri="{C3380CC4-5D6E-409C-BE32-E72D297353CC}">
                <c16:uniqueId val="{000000B3-0699-4543-A2B3-A404BC47F4A7}"/>
              </c:ext>
            </c:extLst>
          </c:dPt>
          <c:dPt>
            <c:idx val="90"/>
            <c:bubble3D val="0"/>
            <c:spPr>
              <a:solidFill>
                <a:schemeClr val="accent1"/>
              </a:solidFill>
            </c:spPr>
            <c:extLst>
              <c:ext xmlns:c16="http://schemas.microsoft.com/office/drawing/2014/chart" uri="{C3380CC4-5D6E-409C-BE32-E72D297353CC}">
                <c16:uniqueId val="{000000B5-0699-4543-A2B3-A404BC47F4A7}"/>
              </c:ext>
            </c:extLst>
          </c:dPt>
          <c:cat>
            <c:strRef>
              <c:f>PieChartV2!$U$5:$U$95</c:f>
              <c:strCache>
                <c:ptCount val="91"/>
                <c:pt idx="0">
                  <c:v>Air Separation</c:v>
                </c:pt>
                <c:pt idx="1">
                  <c:v>Alkylation</c:v>
                </c:pt>
                <c:pt idx="2">
                  <c:v>Annealing</c:v>
                </c:pt>
                <c:pt idx="3">
                  <c:v>Baking</c:v>
                </c:pt>
                <c:pt idx="4">
                  <c:v>Basic oxygen furnace</c:v>
                </c:pt>
                <c:pt idx="5">
                  <c:v>Batching</c:v>
                </c:pt>
                <c:pt idx="6">
                  <c:v>Blast furnace</c:v>
                </c:pt>
                <c:pt idx="7">
                  <c:v>Bleaching</c:v>
                </c:pt>
                <c:pt idx="8">
                  <c:v>Calcination</c:v>
                </c:pt>
                <c:pt idx="9">
                  <c:v>Casting</c:v>
                </c:pt>
                <c:pt idx="10">
                  <c:v>Causticization</c:v>
                </c:pt>
                <c:pt idx="11">
                  <c:v>Centrifugation</c:v>
                </c:pt>
                <c:pt idx="12">
                  <c:v>Chemical Preparation</c:v>
                </c:pt>
                <c:pt idx="13">
                  <c:v>Clarification</c:v>
                </c:pt>
                <c:pt idx="14">
                  <c:v>Cleaning</c:v>
                </c:pt>
                <c:pt idx="15">
                  <c:v>Cogeneration</c:v>
                </c:pt>
                <c:pt idx="16">
                  <c:v>Coking</c:v>
                </c:pt>
                <c:pt idx="17">
                  <c:v>Compressed Air</c:v>
                </c:pt>
                <c:pt idx="18">
                  <c:v>Compression</c:v>
                </c:pt>
                <c:pt idx="19">
                  <c:v>Conditioning</c:v>
                </c:pt>
                <c:pt idx="20">
                  <c:v>Cooling</c:v>
                </c:pt>
                <c:pt idx="21">
                  <c:v>Cracking</c:v>
                </c:pt>
                <c:pt idx="22">
                  <c:v>Crushing</c:v>
                </c:pt>
                <c:pt idx="23">
                  <c:v>Crystallization</c:v>
                </c:pt>
                <c:pt idx="24">
                  <c:v>Degassing</c:v>
                </c:pt>
                <c:pt idx="25">
                  <c:v>Dehulling</c:v>
                </c:pt>
                <c:pt idx="26">
                  <c:v>Desilication</c:v>
                </c:pt>
                <c:pt idx="27">
                  <c:v>Desolventizing</c:v>
                </c:pt>
                <c:pt idx="28">
                  <c:v>Dewatering</c:v>
                </c:pt>
                <c:pt idx="29">
                  <c:v>Digestion</c:v>
                </c:pt>
                <c:pt idx="30">
                  <c:v>Dissolution</c:v>
                </c:pt>
                <c:pt idx="31">
                  <c:v>Distillation</c:v>
                </c:pt>
                <c:pt idx="32">
                  <c:v>Drying</c:v>
                </c:pt>
                <c:pt idx="33">
                  <c:v>Electrolysis</c:v>
                </c:pt>
                <c:pt idx="34">
                  <c:v>Evaporation</c:v>
                </c:pt>
                <c:pt idx="35">
                  <c:v>Extraction</c:v>
                </c:pt>
                <c:pt idx="36">
                  <c:v>Fermentation</c:v>
                </c:pt>
                <c:pt idx="37">
                  <c:v>Filtration</c:v>
                </c:pt>
                <c:pt idx="38">
                  <c:v>Finishing</c:v>
                </c:pt>
                <c:pt idx="39">
                  <c:v>Flaking</c:v>
                </c:pt>
                <c:pt idx="40">
                  <c:v>Forming</c:v>
                </c:pt>
                <c:pt idx="41">
                  <c:v>Gas absorption</c:v>
                </c:pt>
                <c:pt idx="42">
                  <c:v>Grinding</c:v>
                </c:pt>
                <c:pt idx="43">
                  <c:v>Heat recovery</c:v>
                </c:pt>
                <c:pt idx="44">
                  <c:v>Heating</c:v>
                </c:pt>
                <c:pt idx="45">
                  <c:v>High P/T Reactor</c:v>
                </c:pt>
                <c:pt idx="46">
                  <c:v>Homogenization</c:v>
                </c:pt>
                <c:pt idx="47">
                  <c:v>Hydration</c:v>
                </c:pt>
                <c:pt idx="48">
                  <c:v>Hydrocracking</c:v>
                </c:pt>
                <c:pt idx="49">
                  <c:v>Hydrotreating</c:v>
                </c:pt>
                <c:pt idx="50">
                  <c:v>Isomerization</c:v>
                </c:pt>
                <c:pt idx="51">
                  <c:v>Laminating</c:v>
                </c:pt>
                <c:pt idx="52">
                  <c:v>Lautering</c:v>
                </c:pt>
                <c:pt idx="53">
                  <c:v>Liming</c:v>
                </c:pt>
                <c:pt idx="54">
                  <c:v>Liquefaction</c:v>
                </c:pt>
                <c:pt idx="55">
                  <c:v>Mashing</c:v>
                </c:pt>
                <c:pt idx="56">
                  <c:v>Melting</c:v>
                </c:pt>
                <c:pt idx="57">
                  <c:v>Methanation</c:v>
                </c:pt>
                <c:pt idx="58">
                  <c:v>Milling</c:v>
                </c:pt>
                <c:pt idx="59">
                  <c:v>Mixing</c:v>
                </c:pt>
                <c:pt idx="60">
                  <c:v>Molding</c:v>
                </c:pt>
                <c:pt idx="61">
                  <c:v>Packaging</c:v>
                </c:pt>
                <c:pt idx="62">
                  <c:v>Packing</c:v>
                </c:pt>
                <c:pt idx="63">
                  <c:v>Pasteurization</c:v>
                </c:pt>
                <c:pt idx="64">
                  <c:v>Power generation</c:v>
                </c:pt>
                <c:pt idx="65">
                  <c:v>Precipitation</c:v>
                </c:pt>
                <c:pt idx="66">
                  <c:v>Preparation</c:v>
                </c:pt>
                <c:pt idx="67">
                  <c:v>Pretreatment</c:v>
                </c:pt>
                <c:pt idx="68">
                  <c:v>Pulping</c:v>
                </c:pt>
                <c:pt idx="69">
                  <c:v>Pumping</c:v>
                </c:pt>
                <c:pt idx="70">
                  <c:v>Purification</c:v>
                </c:pt>
                <c:pt idx="71">
                  <c:v>Quenching</c:v>
                </c:pt>
                <c:pt idx="72">
                  <c:v>Reaction</c:v>
                </c:pt>
                <c:pt idx="73">
                  <c:v>Reduction</c:v>
                </c:pt>
                <c:pt idx="74">
                  <c:v>Refining</c:v>
                </c:pt>
                <c:pt idx="75">
                  <c:v>Reforming</c:v>
                </c:pt>
                <c:pt idx="76">
                  <c:v>Refrigeration</c:v>
                </c:pt>
                <c:pt idx="77">
                  <c:v>Repulping</c:v>
                </c:pt>
                <c:pt idx="78">
                  <c:v>Saccharification</c:v>
                </c:pt>
                <c:pt idx="79">
                  <c:v>Screening</c:v>
                </c:pt>
                <c:pt idx="80">
                  <c:v>Separation</c:v>
                </c:pt>
                <c:pt idx="81">
                  <c:v>Shredding</c:v>
                </c:pt>
                <c:pt idx="82">
                  <c:v>Sieving</c:v>
                </c:pt>
                <c:pt idx="83">
                  <c:v>Sintering</c:v>
                </c:pt>
                <c:pt idx="84">
                  <c:v>Slicing</c:v>
                </c:pt>
                <c:pt idx="85">
                  <c:v>Steam export</c:v>
                </c:pt>
                <c:pt idx="86">
                  <c:v>Steeping</c:v>
                </c:pt>
                <c:pt idx="87">
                  <c:v>Sterilization</c:v>
                </c:pt>
                <c:pt idx="88">
                  <c:v>Sulfur Recovery</c:v>
                </c:pt>
                <c:pt idx="89">
                  <c:v>Washing</c:v>
                </c:pt>
                <c:pt idx="90">
                  <c:v>Wood Preparation</c:v>
                </c:pt>
              </c:strCache>
            </c:strRef>
          </c:cat>
          <c:val>
            <c:numRef>
              <c:f>PieChartV2!$V$5:$V$95</c:f>
              <c:numCache>
                <c:formatCode>0.00%</c:formatCode>
                <c:ptCount val="91"/>
                <c:pt idx="0">
                  <c:v>2.5246027122614839E-2</c:v>
                </c:pt>
                <c:pt idx="1">
                  <c:v>3.1454254386594016E-3</c:v>
                </c:pt>
                <c:pt idx="2">
                  <c:v>7.7878452040339394E-5</c:v>
                </c:pt>
                <c:pt idx="3">
                  <c:v>3.3535380617885886E-5</c:v>
                </c:pt>
                <c:pt idx="4">
                  <c:v>2.7618221353310568E-3</c:v>
                </c:pt>
                <c:pt idx="5">
                  <c:v>1.1258496973419532E-3</c:v>
                </c:pt>
                <c:pt idx="6">
                  <c:v>1.7641192479126971E-2</c:v>
                </c:pt>
                <c:pt idx="7">
                  <c:v>1.5706745812371511E-2</c:v>
                </c:pt>
                <c:pt idx="8">
                  <c:v>2.3580204572739443E-2</c:v>
                </c:pt>
                <c:pt idx="9">
                  <c:v>5.6913357861955352E-4</c:v>
                </c:pt>
                <c:pt idx="10">
                  <c:v>4.8379713885015174E-5</c:v>
                </c:pt>
                <c:pt idx="11">
                  <c:v>7.251238253790598E-3</c:v>
                </c:pt>
                <c:pt idx="12">
                  <c:v>2.4325606946482485E-3</c:v>
                </c:pt>
                <c:pt idx="13">
                  <c:v>0</c:v>
                </c:pt>
                <c:pt idx="14">
                  <c:v>5.132399854737287E-5</c:v>
                </c:pt>
                <c:pt idx="15">
                  <c:v>0</c:v>
                </c:pt>
                <c:pt idx="16">
                  <c:v>1.5879617226268763E-2</c:v>
                </c:pt>
                <c:pt idx="17">
                  <c:v>1.7578602534482344E-3</c:v>
                </c:pt>
                <c:pt idx="18">
                  <c:v>5.7697322928087408E-2</c:v>
                </c:pt>
                <c:pt idx="19">
                  <c:v>1.4069158688090071E-3</c:v>
                </c:pt>
                <c:pt idx="20">
                  <c:v>0</c:v>
                </c:pt>
                <c:pt idx="21">
                  <c:v>8.0220242132618316E-2</c:v>
                </c:pt>
                <c:pt idx="22">
                  <c:v>2.5869708119070613E-4</c:v>
                </c:pt>
                <c:pt idx="23">
                  <c:v>7.4307164722395621E-3</c:v>
                </c:pt>
                <c:pt idx="24">
                  <c:v>5.1739416238141231E-5</c:v>
                </c:pt>
                <c:pt idx="25">
                  <c:v>6.3711784111345859E-4</c:v>
                </c:pt>
                <c:pt idx="26">
                  <c:v>3.2253142590010116E-5</c:v>
                </c:pt>
                <c:pt idx="27">
                  <c:v>1.1293714993126391E-3</c:v>
                </c:pt>
                <c:pt idx="28">
                  <c:v>1.9171125400556086E-3</c:v>
                </c:pt>
                <c:pt idx="29">
                  <c:v>5.6778969767830312E-4</c:v>
                </c:pt>
                <c:pt idx="30">
                  <c:v>5.290885846324047E-4</c:v>
                </c:pt>
                <c:pt idx="31">
                  <c:v>9.5449170063933317E-2</c:v>
                </c:pt>
                <c:pt idx="32">
                  <c:v>7.0218244184132778E-2</c:v>
                </c:pt>
                <c:pt idx="33">
                  <c:v>8.1555446780605501E-2</c:v>
                </c:pt>
                <c:pt idx="34">
                  <c:v>3.0484127127576421E-2</c:v>
                </c:pt>
                <c:pt idx="35">
                  <c:v>7.7048447817800185E-4</c:v>
                </c:pt>
                <c:pt idx="36">
                  <c:v>4.6580357484536225E-3</c:v>
                </c:pt>
                <c:pt idx="37">
                  <c:v>0</c:v>
                </c:pt>
                <c:pt idx="38">
                  <c:v>3.0650430179474859E-3</c:v>
                </c:pt>
                <c:pt idx="39">
                  <c:v>1.1356035593920442E-3</c:v>
                </c:pt>
                <c:pt idx="40">
                  <c:v>1.7358056753734002E-2</c:v>
                </c:pt>
                <c:pt idx="41">
                  <c:v>2.8739915278155619E-3</c:v>
                </c:pt>
                <c:pt idx="42">
                  <c:v>1.2627306618139683E-2</c:v>
                </c:pt>
                <c:pt idx="43">
                  <c:v>0</c:v>
                </c:pt>
                <c:pt idx="44">
                  <c:v>4.1367739568438583E-3</c:v>
                </c:pt>
                <c:pt idx="45">
                  <c:v>1.3567693101994226E-3</c:v>
                </c:pt>
                <c:pt idx="46">
                  <c:v>1.2846526326759687E-3</c:v>
                </c:pt>
                <c:pt idx="47">
                  <c:v>0</c:v>
                </c:pt>
                <c:pt idx="48">
                  <c:v>1.3360842676090268E-2</c:v>
                </c:pt>
                <c:pt idx="49">
                  <c:v>3.4799581423993482E-2</c:v>
                </c:pt>
                <c:pt idx="50">
                  <c:v>6.2969165146555808E-4</c:v>
                </c:pt>
                <c:pt idx="51">
                  <c:v>3.0844488330204046E-4</c:v>
                </c:pt>
                <c:pt idx="52">
                  <c:v>2.4476535174595672E-4</c:v>
                </c:pt>
                <c:pt idx="53">
                  <c:v>5.1449798007788547E-5</c:v>
                </c:pt>
                <c:pt idx="54">
                  <c:v>1.4700022953478566E-3</c:v>
                </c:pt>
                <c:pt idx="55">
                  <c:v>3.1209749691338046E-4</c:v>
                </c:pt>
                <c:pt idx="56">
                  <c:v>7.483003560143868E-2</c:v>
                </c:pt>
                <c:pt idx="57">
                  <c:v>0</c:v>
                </c:pt>
                <c:pt idx="58">
                  <c:v>9.2343291795065491E-4</c:v>
                </c:pt>
                <c:pt idx="59">
                  <c:v>0</c:v>
                </c:pt>
                <c:pt idx="60">
                  <c:v>5.1739416238141231E-5</c:v>
                </c:pt>
                <c:pt idx="61">
                  <c:v>1.5227163995149937E-3</c:v>
                </c:pt>
                <c:pt idx="62">
                  <c:v>1.6101925078617105E-3</c:v>
                </c:pt>
                <c:pt idx="63">
                  <c:v>2.3866331503129053E-3</c:v>
                </c:pt>
                <c:pt idx="64">
                  <c:v>0</c:v>
                </c:pt>
                <c:pt idx="65">
                  <c:v>5.1739416238141231E-5</c:v>
                </c:pt>
                <c:pt idx="66">
                  <c:v>2.5788564587837914E-3</c:v>
                </c:pt>
                <c:pt idx="67">
                  <c:v>2.2246434329535911E-3</c:v>
                </c:pt>
                <c:pt idx="68">
                  <c:v>1.3539629335325674E-2</c:v>
                </c:pt>
                <c:pt idx="69">
                  <c:v>5.7372348957652921E-4</c:v>
                </c:pt>
                <c:pt idx="70">
                  <c:v>1.2093104958864156E-3</c:v>
                </c:pt>
                <c:pt idx="71">
                  <c:v>0</c:v>
                </c:pt>
                <c:pt idx="72">
                  <c:v>8.43804241548703E-3</c:v>
                </c:pt>
                <c:pt idx="73">
                  <c:v>3.6805484090161156E-2</c:v>
                </c:pt>
                <c:pt idx="74">
                  <c:v>2.7344704016557405E-3</c:v>
                </c:pt>
                <c:pt idx="75">
                  <c:v>0.11119081872945508</c:v>
                </c:pt>
                <c:pt idx="76">
                  <c:v>2.8923362256715757E-2</c:v>
                </c:pt>
                <c:pt idx="77">
                  <c:v>4.197680900168328E-4</c:v>
                </c:pt>
                <c:pt idx="78">
                  <c:v>9.4561955847906193E-3</c:v>
                </c:pt>
                <c:pt idx="79">
                  <c:v>1.0141526289106821E-2</c:v>
                </c:pt>
                <c:pt idx="80">
                  <c:v>1.0581771692648094E-3</c:v>
                </c:pt>
                <c:pt idx="81">
                  <c:v>2.0695766495256492E-4</c:v>
                </c:pt>
                <c:pt idx="82">
                  <c:v>5.6500370478480453E-4</c:v>
                </c:pt>
                <c:pt idx="83">
                  <c:v>4.1922690048183196E-3</c:v>
                </c:pt>
                <c:pt idx="84">
                  <c:v>3.7354508307296894E-4</c:v>
                </c:pt>
                <c:pt idx="85">
                  <c:v>5.2241655488717261E-3</c:v>
                </c:pt>
                <c:pt idx="86">
                  <c:v>2.4276342091409081E-4</c:v>
                </c:pt>
                <c:pt idx="87">
                  <c:v>2.6966330018597501E-5</c:v>
                </c:pt>
                <c:pt idx="88">
                  <c:v>1.6222143300148689E-2</c:v>
                </c:pt>
                <c:pt idx="89">
                  <c:v>1.0664812861339202E-2</c:v>
                </c:pt>
                <c:pt idx="90">
                  <c:v>4.2731320812332482E-3</c:v>
                </c:pt>
              </c:numCache>
            </c:numRef>
          </c:val>
          <c:extLst>
            <c:ext xmlns:c16="http://schemas.microsoft.com/office/drawing/2014/chart" uri="{C3380CC4-5D6E-409C-BE32-E72D297353CC}">
              <c16:uniqueId val="{000000B6-0699-4543-A2B3-A404BC47F4A7}"/>
            </c:ext>
          </c:extLst>
        </c:ser>
        <c:dLbls>
          <c:showLegendKey val="0"/>
          <c:showVal val="0"/>
          <c:showCatName val="0"/>
          <c:showSerName val="0"/>
          <c:showPercent val="0"/>
          <c:showBubbleSize val="0"/>
          <c:showLeaderLines val="1"/>
        </c:dLbls>
        <c:firstSliceAng val="0"/>
      </c:pieChart>
    </c:plotArea>
    <c:legend>
      <c:legendPos val="r"/>
      <c:layout>
        <c:manualLayout>
          <c:xMode val="edge"/>
          <c:yMode val="edge"/>
          <c:x val="1.0321872920646768E-2"/>
          <c:y val="0.79312279353260495"/>
        </c:manualLayout>
      </c:layout>
      <c:overlay val="0"/>
      <c:txPr>
        <a:bodyPr/>
        <a:lstStyle/>
        <a:p>
          <a:pPr lvl="0">
            <a:defRPr sz="900" b="0" i="0">
              <a:solidFill>
                <a:srgbClr val="1A1A1A"/>
              </a:solidFill>
              <a:latin typeface="+mn-lt"/>
            </a:defRPr>
          </a:pPr>
          <a:endParaRPr lang="en-US"/>
        </a:p>
      </c:txPr>
    </c:legend>
    <c:plotVisOnly val="1"/>
    <c:dispBlanksAs val="zero"/>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400" b="0" i="0">
                <a:solidFill>
                  <a:srgbClr val="757575"/>
                </a:solidFill>
                <a:latin typeface="+mn-lt"/>
              </a:defRPr>
            </a:pPr>
            <a:r>
              <a:rPr sz="1400" b="0" i="0">
                <a:solidFill>
                  <a:srgbClr val="757575"/>
                </a:solidFill>
                <a:latin typeface="+mn-lt"/>
              </a:rPr>
              <a:t>Energy (PJ) Breakdown across Dryers</a:t>
            </a:r>
          </a:p>
        </c:rich>
      </c:tx>
      <c:overlay val="0"/>
    </c:title>
    <c:autoTitleDeleted val="0"/>
    <c:plotArea>
      <c:layout/>
      <c:pieChart>
        <c:varyColors val="1"/>
        <c:ser>
          <c:idx val="0"/>
          <c:order val="0"/>
          <c:dPt>
            <c:idx val="0"/>
            <c:bubble3D val="0"/>
            <c:spPr>
              <a:solidFill>
                <a:schemeClr val="accent1"/>
              </a:solidFill>
            </c:spPr>
            <c:extLst>
              <c:ext xmlns:c16="http://schemas.microsoft.com/office/drawing/2014/chart" uri="{C3380CC4-5D6E-409C-BE32-E72D297353CC}">
                <c16:uniqueId val="{00000001-E4F4-4B49-9166-F23D28251D24}"/>
              </c:ext>
            </c:extLst>
          </c:dPt>
          <c:dPt>
            <c:idx val="1"/>
            <c:bubble3D val="0"/>
            <c:spPr>
              <a:solidFill>
                <a:schemeClr val="accent2"/>
              </a:solidFill>
            </c:spPr>
            <c:extLst>
              <c:ext xmlns:c16="http://schemas.microsoft.com/office/drawing/2014/chart" uri="{C3380CC4-5D6E-409C-BE32-E72D297353CC}">
                <c16:uniqueId val="{00000003-E4F4-4B49-9166-F23D28251D24}"/>
              </c:ext>
            </c:extLst>
          </c:dPt>
          <c:dPt>
            <c:idx val="2"/>
            <c:bubble3D val="0"/>
            <c:spPr>
              <a:solidFill>
                <a:schemeClr val="accent3"/>
              </a:solidFill>
            </c:spPr>
            <c:extLst>
              <c:ext xmlns:c16="http://schemas.microsoft.com/office/drawing/2014/chart" uri="{C3380CC4-5D6E-409C-BE32-E72D297353CC}">
                <c16:uniqueId val="{00000005-E4F4-4B49-9166-F23D28251D24}"/>
              </c:ext>
            </c:extLst>
          </c:dPt>
          <c:dPt>
            <c:idx val="3"/>
            <c:bubble3D val="0"/>
            <c:spPr>
              <a:solidFill>
                <a:schemeClr val="accent4"/>
              </a:solidFill>
            </c:spPr>
            <c:extLst>
              <c:ext xmlns:c16="http://schemas.microsoft.com/office/drawing/2014/chart" uri="{C3380CC4-5D6E-409C-BE32-E72D297353CC}">
                <c16:uniqueId val="{00000007-E4F4-4B49-9166-F23D28251D24}"/>
              </c:ext>
            </c:extLst>
          </c:dPt>
          <c:dPt>
            <c:idx val="4"/>
            <c:bubble3D val="0"/>
            <c:spPr>
              <a:solidFill>
                <a:schemeClr val="accent5"/>
              </a:solidFill>
            </c:spPr>
            <c:extLst>
              <c:ext xmlns:c16="http://schemas.microsoft.com/office/drawing/2014/chart" uri="{C3380CC4-5D6E-409C-BE32-E72D297353CC}">
                <c16:uniqueId val="{00000009-E4F4-4B49-9166-F23D28251D24}"/>
              </c:ext>
            </c:extLst>
          </c:dPt>
          <c:dPt>
            <c:idx val="5"/>
            <c:bubble3D val="0"/>
            <c:spPr>
              <a:solidFill>
                <a:schemeClr val="accent6"/>
              </a:solidFill>
            </c:spPr>
            <c:extLst>
              <c:ext xmlns:c16="http://schemas.microsoft.com/office/drawing/2014/chart" uri="{C3380CC4-5D6E-409C-BE32-E72D297353CC}">
                <c16:uniqueId val="{0000000B-E4F4-4B49-9166-F23D28251D24}"/>
              </c:ext>
            </c:extLst>
          </c:dPt>
          <c:dPt>
            <c:idx val="6"/>
            <c:bubble3D val="0"/>
            <c:spPr>
              <a:solidFill>
                <a:schemeClr val="accent1"/>
              </a:solidFill>
            </c:spPr>
            <c:extLst>
              <c:ext xmlns:c16="http://schemas.microsoft.com/office/drawing/2014/chart" uri="{C3380CC4-5D6E-409C-BE32-E72D297353CC}">
                <c16:uniqueId val="{0000000D-E4F4-4B49-9166-F23D28251D24}"/>
              </c:ext>
            </c:extLst>
          </c:dPt>
          <c:dPt>
            <c:idx val="7"/>
            <c:bubble3D val="0"/>
            <c:spPr>
              <a:solidFill>
                <a:schemeClr val="accent2"/>
              </a:solidFill>
            </c:spPr>
            <c:extLst>
              <c:ext xmlns:c16="http://schemas.microsoft.com/office/drawing/2014/chart" uri="{C3380CC4-5D6E-409C-BE32-E72D297353CC}">
                <c16:uniqueId val="{0000000F-E4F4-4B49-9166-F23D28251D24}"/>
              </c:ext>
            </c:extLst>
          </c:dPt>
          <c:dLbls>
            <c:spPr>
              <a:noFill/>
              <a:ln>
                <a:noFill/>
              </a:ln>
              <a:effectLst/>
            </c:spPr>
            <c:showLegendKey val="0"/>
            <c:showVal val="1"/>
            <c:showCatName val="0"/>
            <c:showSerName val="0"/>
            <c:showPercent val="0"/>
            <c:showBubbleSize val="0"/>
            <c:showLeaderLines val="1"/>
            <c:extLst>
              <c:ext xmlns:c15="http://schemas.microsoft.com/office/drawing/2012/chart" uri="{CE6537A1-D6FC-4f65-9D91-7224C49458BB}"/>
            </c:extLst>
          </c:dLbls>
          <c:cat>
            <c:strRef>
              <c:f>Cases!$C$38:$C$45</c:f>
              <c:strCache>
                <c:ptCount val="8"/>
                <c:pt idx="0">
                  <c:v>Flash dryer</c:v>
                </c:pt>
                <c:pt idx="1">
                  <c:v>Molecular sieve dryer</c:v>
                </c:pt>
                <c:pt idx="2">
                  <c:v>Air separator</c:v>
                </c:pt>
                <c:pt idx="3">
                  <c:v>Pnuematic dryer</c:v>
                </c:pt>
                <c:pt idx="4">
                  <c:v>Multicylinder dryer</c:v>
                </c:pt>
                <c:pt idx="5">
                  <c:v>Rotary dryer</c:v>
                </c:pt>
                <c:pt idx="6">
                  <c:v>Direct air fired heater</c:v>
                </c:pt>
                <c:pt idx="7">
                  <c:v>Indirect heat exchanger</c:v>
                </c:pt>
              </c:strCache>
            </c:strRef>
          </c:cat>
          <c:val>
            <c:numRef>
              <c:f>Cases!$D$38:$D$45</c:f>
              <c:numCache>
                <c:formatCode>General</c:formatCode>
                <c:ptCount val="8"/>
                <c:pt idx="0">
                  <c:v>48.079158242101158</c:v>
                </c:pt>
                <c:pt idx="1">
                  <c:v>0.30848898499999999</c:v>
                </c:pt>
                <c:pt idx="2">
                  <c:v>2.6870400000000003E-2</c:v>
                </c:pt>
                <c:pt idx="3">
                  <c:v>12.733029309999999</c:v>
                </c:pt>
                <c:pt idx="4">
                  <c:v>262.25945000000002</c:v>
                </c:pt>
                <c:pt idx="5">
                  <c:v>371.65323569482712</c:v>
                </c:pt>
                <c:pt idx="6">
                  <c:v>79.055999999999997</c:v>
                </c:pt>
                <c:pt idx="7">
                  <c:v>14.291013146783788</c:v>
                </c:pt>
              </c:numCache>
            </c:numRef>
          </c:val>
          <c:extLst>
            <c:ext xmlns:c16="http://schemas.microsoft.com/office/drawing/2014/chart" uri="{C3380CC4-5D6E-409C-BE32-E72D297353CC}">
              <c16:uniqueId val="{00000010-E4F4-4B49-9166-F23D28251D24}"/>
            </c:ext>
          </c:extLst>
        </c:ser>
        <c:dLbls>
          <c:showLegendKey val="0"/>
          <c:showVal val="0"/>
          <c:showCatName val="0"/>
          <c:showSerName val="0"/>
          <c:showPercent val="0"/>
          <c:showBubbleSize val="0"/>
          <c:showLeaderLines val="1"/>
        </c:dLbls>
        <c:firstSliceAng val="0"/>
      </c:pieChart>
    </c:plotArea>
    <c:legend>
      <c:legendPos val="b"/>
      <c:overlay val="0"/>
      <c:txPr>
        <a:bodyPr/>
        <a:lstStyle/>
        <a:p>
          <a:pPr lvl="0">
            <a:defRPr sz="900" b="0" i="0">
              <a:solidFill>
                <a:srgbClr val="1A1A1A"/>
              </a:solidFill>
              <a:latin typeface="+mn-lt"/>
            </a:defRPr>
          </a:pPr>
          <a:endParaRPr lang="en-US"/>
        </a:p>
      </c:txPr>
    </c:legend>
    <c:plotVisOnly val="1"/>
    <c:dispBlanksAs val="zero"/>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400" b="0" i="0">
                <a:solidFill>
                  <a:srgbClr val="757575"/>
                </a:solidFill>
                <a:latin typeface="+mn-lt"/>
              </a:defRPr>
            </a:pPr>
            <a:r>
              <a:rPr sz="1400" b="0" i="0">
                <a:solidFill>
                  <a:srgbClr val="757575"/>
                </a:solidFill>
                <a:latin typeface="+mn-lt"/>
              </a:rPr>
              <a:t>Energy (PJ) Distribution over Dryer Temperatrature Ranges</a:t>
            </a:r>
          </a:p>
        </c:rich>
      </c:tx>
      <c:overlay val="0"/>
    </c:title>
    <c:autoTitleDeleted val="0"/>
    <c:plotArea>
      <c:layout/>
      <c:pieChart>
        <c:varyColors val="1"/>
        <c:ser>
          <c:idx val="0"/>
          <c:order val="0"/>
          <c:dPt>
            <c:idx val="0"/>
            <c:bubble3D val="0"/>
            <c:spPr>
              <a:solidFill>
                <a:schemeClr val="accent1"/>
              </a:solidFill>
            </c:spPr>
            <c:extLst>
              <c:ext xmlns:c16="http://schemas.microsoft.com/office/drawing/2014/chart" uri="{C3380CC4-5D6E-409C-BE32-E72D297353CC}">
                <c16:uniqueId val="{00000001-0FDB-4634-AE44-6486F07990D0}"/>
              </c:ext>
            </c:extLst>
          </c:dPt>
          <c:dPt>
            <c:idx val="1"/>
            <c:bubble3D val="0"/>
            <c:spPr>
              <a:solidFill>
                <a:schemeClr val="accent2"/>
              </a:solidFill>
            </c:spPr>
            <c:extLst>
              <c:ext xmlns:c16="http://schemas.microsoft.com/office/drawing/2014/chart" uri="{C3380CC4-5D6E-409C-BE32-E72D297353CC}">
                <c16:uniqueId val="{00000003-0FDB-4634-AE44-6486F07990D0}"/>
              </c:ext>
            </c:extLst>
          </c:dPt>
          <c:dPt>
            <c:idx val="2"/>
            <c:bubble3D val="0"/>
            <c:spPr>
              <a:solidFill>
                <a:schemeClr val="accent3"/>
              </a:solidFill>
            </c:spPr>
            <c:extLst>
              <c:ext xmlns:c16="http://schemas.microsoft.com/office/drawing/2014/chart" uri="{C3380CC4-5D6E-409C-BE32-E72D297353CC}">
                <c16:uniqueId val="{00000005-0FDB-4634-AE44-6486F07990D0}"/>
              </c:ext>
            </c:extLst>
          </c:dPt>
          <c:dLbls>
            <c:spPr>
              <a:noFill/>
              <a:ln>
                <a:noFill/>
              </a:ln>
              <a:effectLst/>
            </c:spPr>
            <c:showLegendKey val="0"/>
            <c:showVal val="1"/>
            <c:showCatName val="0"/>
            <c:showSerName val="0"/>
            <c:showPercent val="0"/>
            <c:showBubbleSize val="0"/>
            <c:showLeaderLines val="1"/>
            <c:extLst>
              <c:ext xmlns:c15="http://schemas.microsoft.com/office/drawing/2012/chart" uri="{CE6537A1-D6FC-4f65-9D91-7224C49458BB}"/>
            </c:extLst>
          </c:dLbls>
          <c:cat>
            <c:strRef>
              <c:f>Cases!$C$49:$C$51</c:f>
              <c:strCache>
                <c:ptCount val="3"/>
                <c:pt idx="0">
                  <c:v>&lt; 100°C</c:v>
                </c:pt>
                <c:pt idx="1">
                  <c:v>≥ 100 - 149°C</c:v>
                </c:pt>
                <c:pt idx="2">
                  <c:v>≥ 150°C</c:v>
                </c:pt>
              </c:strCache>
            </c:strRef>
          </c:cat>
          <c:val>
            <c:numRef>
              <c:f>Cases!$D$49:$D$51</c:f>
              <c:numCache>
                <c:formatCode>General</c:formatCode>
                <c:ptCount val="3"/>
                <c:pt idx="0">
                  <c:v>33.69919819478379</c:v>
                </c:pt>
                <c:pt idx="1">
                  <c:v>63.525910379191252</c:v>
                </c:pt>
                <c:pt idx="2">
                  <c:v>691.18213720473693</c:v>
                </c:pt>
              </c:numCache>
            </c:numRef>
          </c:val>
          <c:extLst>
            <c:ext xmlns:c16="http://schemas.microsoft.com/office/drawing/2014/chart" uri="{C3380CC4-5D6E-409C-BE32-E72D297353CC}">
              <c16:uniqueId val="{00000006-0FDB-4634-AE44-6486F07990D0}"/>
            </c:ext>
          </c:extLst>
        </c:ser>
        <c:dLbls>
          <c:showLegendKey val="0"/>
          <c:showVal val="0"/>
          <c:showCatName val="0"/>
          <c:showSerName val="0"/>
          <c:showPercent val="0"/>
          <c:showBubbleSize val="0"/>
          <c:showLeaderLines val="1"/>
        </c:dLbls>
        <c:firstSliceAng val="0"/>
      </c:pieChart>
    </c:plotArea>
    <c:legend>
      <c:legendPos val="b"/>
      <c:overlay val="0"/>
      <c:txPr>
        <a:bodyPr/>
        <a:lstStyle/>
        <a:p>
          <a:pPr lvl="0">
            <a:defRPr sz="900" b="0" i="0">
              <a:solidFill>
                <a:srgbClr val="1A1A1A"/>
              </a:solidFill>
              <a:latin typeface="+mn-lt"/>
            </a:defRPr>
          </a:pPr>
          <a:endParaRPr lang="en-US"/>
        </a:p>
      </c:txPr>
    </c:legend>
    <c:plotVisOnly val="1"/>
    <c:dispBlanksAs val="zero"/>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400" b="0" i="0">
                <a:solidFill>
                  <a:srgbClr val="757575"/>
                </a:solidFill>
                <a:latin typeface="+mn-lt"/>
              </a:defRPr>
            </a:pPr>
            <a:r>
              <a:rPr sz="1400" b="0" i="0">
                <a:solidFill>
                  <a:srgbClr val="757575"/>
                </a:solidFill>
                <a:latin typeface="+mn-lt"/>
              </a:rPr>
              <a:t>Energy (PJ) Breakdown across Distillation Units</a:t>
            </a:r>
          </a:p>
        </c:rich>
      </c:tx>
      <c:overlay val="0"/>
    </c:title>
    <c:autoTitleDeleted val="0"/>
    <c:plotArea>
      <c:layout/>
      <c:pieChart>
        <c:varyColors val="1"/>
        <c:ser>
          <c:idx val="0"/>
          <c:order val="0"/>
          <c:dPt>
            <c:idx val="0"/>
            <c:bubble3D val="0"/>
            <c:spPr>
              <a:solidFill>
                <a:schemeClr val="accent1"/>
              </a:solidFill>
            </c:spPr>
            <c:extLst>
              <c:ext xmlns:c16="http://schemas.microsoft.com/office/drawing/2014/chart" uri="{C3380CC4-5D6E-409C-BE32-E72D297353CC}">
                <c16:uniqueId val="{00000001-78F0-46AB-A0CD-ADC4B6930DE1}"/>
              </c:ext>
            </c:extLst>
          </c:dPt>
          <c:dPt>
            <c:idx val="1"/>
            <c:bubble3D val="0"/>
            <c:spPr>
              <a:solidFill>
                <a:schemeClr val="accent2"/>
              </a:solidFill>
            </c:spPr>
            <c:extLst>
              <c:ext xmlns:c16="http://schemas.microsoft.com/office/drawing/2014/chart" uri="{C3380CC4-5D6E-409C-BE32-E72D297353CC}">
                <c16:uniqueId val="{00000003-78F0-46AB-A0CD-ADC4B6930DE1}"/>
              </c:ext>
            </c:extLst>
          </c:dPt>
          <c:dPt>
            <c:idx val="2"/>
            <c:bubble3D val="0"/>
            <c:spPr>
              <a:solidFill>
                <a:schemeClr val="accent3"/>
              </a:solidFill>
            </c:spPr>
            <c:extLst>
              <c:ext xmlns:c16="http://schemas.microsoft.com/office/drawing/2014/chart" uri="{C3380CC4-5D6E-409C-BE32-E72D297353CC}">
                <c16:uniqueId val="{00000005-78F0-46AB-A0CD-ADC4B6930DE1}"/>
              </c:ext>
            </c:extLst>
          </c:dPt>
          <c:dLbls>
            <c:spPr>
              <a:noFill/>
              <a:ln>
                <a:noFill/>
              </a:ln>
              <a:effectLst/>
            </c:spPr>
            <c:showLegendKey val="0"/>
            <c:showVal val="1"/>
            <c:showCatName val="0"/>
            <c:showSerName val="0"/>
            <c:showPercent val="0"/>
            <c:showBubbleSize val="0"/>
            <c:showLeaderLines val="1"/>
            <c:extLst>
              <c:ext xmlns:c15="http://schemas.microsoft.com/office/drawing/2012/chart" uri="{CE6537A1-D6FC-4f65-9D91-7224C49458BB}"/>
            </c:extLst>
          </c:dLbls>
          <c:cat>
            <c:strRef>
              <c:f>Cases!$H$20:$H$22</c:f>
              <c:strCache>
                <c:ptCount val="3"/>
                <c:pt idx="0">
                  <c:v>Cryogenic Distillation</c:v>
                </c:pt>
                <c:pt idx="1">
                  <c:v>Atmospheric Distillation </c:v>
                </c:pt>
                <c:pt idx="2">
                  <c:v>Vacuum Distillation Unit</c:v>
                </c:pt>
              </c:strCache>
            </c:strRef>
          </c:cat>
          <c:val>
            <c:numRef>
              <c:f>Cases!$I$20:$I$22</c:f>
              <c:numCache>
                <c:formatCode>General</c:formatCode>
                <c:ptCount val="3"/>
                <c:pt idx="0">
                  <c:v>317.15309007352937</c:v>
                </c:pt>
                <c:pt idx="1">
                  <c:v>790.9515900757234</c:v>
                </c:pt>
                <c:pt idx="2">
                  <c:v>186.8702691</c:v>
                </c:pt>
              </c:numCache>
            </c:numRef>
          </c:val>
          <c:extLst>
            <c:ext xmlns:c16="http://schemas.microsoft.com/office/drawing/2014/chart" uri="{C3380CC4-5D6E-409C-BE32-E72D297353CC}">
              <c16:uniqueId val="{00000006-78F0-46AB-A0CD-ADC4B6930DE1}"/>
            </c:ext>
          </c:extLst>
        </c:ser>
        <c:dLbls>
          <c:showLegendKey val="0"/>
          <c:showVal val="0"/>
          <c:showCatName val="0"/>
          <c:showSerName val="0"/>
          <c:showPercent val="0"/>
          <c:showBubbleSize val="0"/>
          <c:showLeaderLines val="1"/>
        </c:dLbls>
        <c:firstSliceAng val="0"/>
      </c:pieChart>
    </c:plotArea>
    <c:legend>
      <c:legendPos val="b"/>
      <c:overlay val="0"/>
      <c:txPr>
        <a:bodyPr/>
        <a:lstStyle/>
        <a:p>
          <a:pPr lvl="0">
            <a:defRPr sz="900" b="0" i="0">
              <a:solidFill>
                <a:srgbClr val="1A1A1A"/>
              </a:solidFill>
              <a:latin typeface="+mn-lt"/>
            </a:defRPr>
          </a:pPr>
          <a:endParaRPr lang="en-US"/>
        </a:p>
      </c:txPr>
    </c:legend>
    <c:plotVisOnly val="1"/>
    <c:dispBlanksAs val="zero"/>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400" b="0" i="0">
                <a:solidFill>
                  <a:srgbClr val="757575"/>
                </a:solidFill>
                <a:latin typeface="+mn-lt"/>
              </a:defRPr>
            </a:pPr>
            <a:r>
              <a:rPr sz="1400" b="0" i="0">
                <a:solidFill>
                  <a:srgbClr val="757575"/>
                </a:solidFill>
                <a:latin typeface="+mn-lt"/>
              </a:rPr>
              <a:t>Energy (PJ) Distribution over Distillation Temperature Ranges</a:t>
            </a:r>
          </a:p>
        </c:rich>
      </c:tx>
      <c:overlay val="0"/>
    </c:title>
    <c:autoTitleDeleted val="0"/>
    <c:plotArea>
      <c:layout/>
      <c:pieChart>
        <c:varyColors val="1"/>
        <c:ser>
          <c:idx val="0"/>
          <c:order val="0"/>
          <c:dPt>
            <c:idx val="0"/>
            <c:bubble3D val="0"/>
            <c:spPr>
              <a:solidFill>
                <a:schemeClr val="accent1"/>
              </a:solidFill>
            </c:spPr>
            <c:extLst>
              <c:ext xmlns:c16="http://schemas.microsoft.com/office/drawing/2014/chart" uri="{C3380CC4-5D6E-409C-BE32-E72D297353CC}">
                <c16:uniqueId val="{00000001-1E66-4D38-9696-177D6030BECE}"/>
              </c:ext>
            </c:extLst>
          </c:dPt>
          <c:dPt>
            <c:idx val="1"/>
            <c:bubble3D val="0"/>
            <c:spPr>
              <a:solidFill>
                <a:schemeClr val="accent2"/>
              </a:solidFill>
            </c:spPr>
            <c:extLst>
              <c:ext xmlns:c16="http://schemas.microsoft.com/office/drawing/2014/chart" uri="{C3380CC4-5D6E-409C-BE32-E72D297353CC}">
                <c16:uniqueId val="{00000003-1E66-4D38-9696-177D6030BECE}"/>
              </c:ext>
            </c:extLst>
          </c:dPt>
          <c:dPt>
            <c:idx val="2"/>
            <c:bubble3D val="0"/>
            <c:spPr>
              <a:solidFill>
                <a:schemeClr val="accent3"/>
              </a:solidFill>
            </c:spPr>
            <c:extLst>
              <c:ext xmlns:c16="http://schemas.microsoft.com/office/drawing/2014/chart" uri="{C3380CC4-5D6E-409C-BE32-E72D297353CC}">
                <c16:uniqueId val="{00000005-1E66-4D38-9696-177D6030BECE}"/>
              </c:ext>
            </c:extLst>
          </c:dPt>
          <c:dLbls>
            <c:spPr>
              <a:noFill/>
              <a:ln>
                <a:noFill/>
              </a:ln>
              <a:effectLst/>
            </c:spPr>
            <c:showLegendKey val="0"/>
            <c:showVal val="1"/>
            <c:showCatName val="0"/>
            <c:showSerName val="0"/>
            <c:showPercent val="0"/>
            <c:showBubbleSize val="0"/>
            <c:showLeaderLines val="1"/>
            <c:extLst>
              <c:ext xmlns:c15="http://schemas.microsoft.com/office/drawing/2012/chart" uri="{CE6537A1-D6FC-4f65-9D91-7224C49458BB}"/>
            </c:extLst>
          </c:dLbls>
          <c:cat>
            <c:strRef>
              <c:f>Cases!$H$26:$H$28</c:f>
              <c:strCache>
                <c:ptCount val="3"/>
                <c:pt idx="0">
                  <c:v>&lt; 100°C</c:v>
                </c:pt>
                <c:pt idx="1">
                  <c:v>≥ 100 - 149°C</c:v>
                </c:pt>
                <c:pt idx="2">
                  <c:v>≥ 150°C</c:v>
                </c:pt>
              </c:strCache>
            </c:strRef>
          </c:cat>
          <c:val>
            <c:numRef>
              <c:f>Cases!$I$26:$I$28</c:f>
              <c:numCache>
                <c:formatCode>General</c:formatCode>
                <c:ptCount val="3"/>
                <c:pt idx="0">
                  <c:v>417.7145984622527</c:v>
                </c:pt>
                <c:pt idx="1">
                  <c:v>110.531562087</c:v>
                </c:pt>
                <c:pt idx="2">
                  <c:v>766.7287887</c:v>
                </c:pt>
              </c:numCache>
            </c:numRef>
          </c:val>
          <c:extLst>
            <c:ext xmlns:c16="http://schemas.microsoft.com/office/drawing/2014/chart" uri="{C3380CC4-5D6E-409C-BE32-E72D297353CC}">
              <c16:uniqueId val="{00000006-1E66-4D38-9696-177D6030BECE}"/>
            </c:ext>
          </c:extLst>
        </c:ser>
        <c:dLbls>
          <c:showLegendKey val="0"/>
          <c:showVal val="0"/>
          <c:showCatName val="0"/>
          <c:showSerName val="0"/>
          <c:showPercent val="0"/>
          <c:showBubbleSize val="0"/>
          <c:showLeaderLines val="1"/>
        </c:dLbls>
        <c:firstSliceAng val="0"/>
      </c:pieChart>
    </c:plotArea>
    <c:legend>
      <c:legendPos val="b"/>
      <c:overlay val="0"/>
      <c:txPr>
        <a:bodyPr/>
        <a:lstStyle/>
        <a:p>
          <a:pPr lvl="0">
            <a:defRPr sz="900" b="0" i="0">
              <a:solidFill>
                <a:srgbClr val="1A1A1A"/>
              </a:solidFill>
              <a:latin typeface="+mn-lt"/>
            </a:defRPr>
          </a:pPr>
          <a:endParaRPr lang="en-US"/>
        </a:p>
      </c:txPr>
    </c:legend>
    <c:plotVisOnly val="1"/>
    <c:dispBlanksAs val="zero"/>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5.xml"/><Relationship Id="rId1" Type="http://schemas.openxmlformats.org/officeDocument/2006/relationships/chart" Target="../charts/chart4.xml"/></Relationships>
</file>

<file path=xl/drawings/_rels/drawing3.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 Id="rId4"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oneCellAnchor>
    <xdr:from>
      <xdr:col>10</xdr:col>
      <xdr:colOff>123825</xdr:colOff>
      <xdr:row>10</xdr:row>
      <xdr:rowOff>123825</xdr:rowOff>
    </xdr:from>
    <xdr:ext cx="5229225" cy="5029200"/>
    <xdr:graphicFrame macro="">
      <xdr:nvGraphicFramePr>
        <xdr:cNvPr id="2068052521" name="Chart 1">
          <a:extLst>
            <a:ext uri="{FF2B5EF4-FFF2-40B4-BE49-F238E27FC236}">
              <a16:creationId xmlns:a16="http://schemas.microsoft.com/office/drawing/2014/main" id="{00000000-0008-0000-0100-000029FA437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18</xdr:col>
      <xdr:colOff>581025</xdr:colOff>
      <xdr:row>11</xdr:row>
      <xdr:rowOff>76200</xdr:rowOff>
    </xdr:from>
    <xdr:ext cx="4619625" cy="3886200"/>
    <xdr:graphicFrame macro="">
      <xdr:nvGraphicFramePr>
        <xdr:cNvPr id="787497666" name="Chart 2">
          <a:extLst>
            <a:ext uri="{FF2B5EF4-FFF2-40B4-BE49-F238E27FC236}">
              <a16:creationId xmlns:a16="http://schemas.microsoft.com/office/drawing/2014/main" id="{00000000-0008-0000-0100-0000C242F0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27</xdr:col>
      <xdr:colOff>133350</xdr:colOff>
      <xdr:row>11</xdr:row>
      <xdr:rowOff>104775</xdr:rowOff>
    </xdr:from>
    <xdr:ext cx="5657850" cy="3467100"/>
    <xdr:graphicFrame macro="">
      <xdr:nvGraphicFramePr>
        <xdr:cNvPr id="821089747" name="Chart 3">
          <a:extLst>
            <a:ext uri="{FF2B5EF4-FFF2-40B4-BE49-F238E27FC236}">
              <a16:creationId xmlns:a16="http://schemas.microsoft.com/office/drawing/2014/main" id="{00000000-0008-0000-0100-0000D3D5F03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16</xdr:col>
      <xdr:colOff>409575</xdr:colOff>
      <xdr:row>11</xdr:row>
      <xdr:rowOff>19050</xdr:rowOff>
    </xdr:from>
    <xdr:ext cx="790575" cy="352425"/>
    <xdr:sp macro="" textlink="">
      <xdr:nvSpPr>
        <xdr:cNvPr id="3" name="Shape 3">
          <a:extLst>
            <a:ext uri="{FF2B5EF4-FFF2-40B4-BE49-F238E27FC236}">
              <a16:creationId xmlns:a16="http://schemas.microsoft.com/office/drawing/2014/main" id="{00000000-0008-0000-0100-000003000000}"/>
            </a:ext>
          </a:extLst>
        </xdr:cNvPr>
        <xdr:cNvSpPr txBox="1"/>
      </xdr:nvSpPr>
      <xdr:spPr>
        <a:xfrm>
          <a:off x="4955475" y="3608550"/>
          <a:ext cx="781050" cy="342900"/>
        </a:xfrm>
        <a:prstGeom prst="rect">
          <a:avLst/>
        </a:prstGeom>
        <a:noFill/>
        <a:ln>
          <a:noFill/>
        </a:ln>
      </xdr:spPr>
      <xdr:txBody>
        <a:bodyPr spcFirstLastPara="1" wrap="square" lIns="91425" tIns="45700" rIns="91425" bIns="45700" anchor="t" anchorCtr="0">
          <a:noAutofit/>
        </a:bodyPr>
        <a:lstStyle/>
        <a:p>
          <a:pPr marL="0" lvl="0" indent="0" algn="l" rtl="0">
            <a:spcBef>
              <a:spcPts val="0"/>
            </a:spcBef>
            <a:spcAft>
              <a:spcPts val="0"/>
            </a:spcAft>
            <a:buClr>
              <a:schemeClr val="dk1"/>
            </a:buClr>
            <a:buSzPts val="1200"/>
            <a:buFont typeface="Arial"/>
            <a:buNone/>
          </a:pPr>
          <a:r>
            <a:rPr lang="en-US" sz="1200">
              <a:solidFill>
                <a:schemeClr val="dk1"/>
              </a:solidFill>
              <a:latin typeface="Arial"/>
              <a:ea typeface="Arial"/>
              <a:cs typeface="Arial"/>
              <a:sym typeface="Arial"/>
            </a:rPr>
            <a:t>Drying</a:t>
          </a:r>
          <a:endParaRPr sz="1400"/>
        </a:p>
      </xdr:txBody>
    </xdr:sp>
    <xdr:clientData fLocksWithSheet="0"/>
  </xdr:oneCellAnchor>
</xdr:wsDr>
</file>

<file path=xl/drawings/drawing2.xml><?xml version="1.0" encoding="utf-8"?>
<xdr:wsDr xmlns:xdr="http://schemas.openxmlformats.org/drawingml/2006/spreadsheetDrawing" xmlns:a="http://schemas.openxmlformats.org/drawingml/2006/main">
  <xdr:oneCellAnchor>
    <xdr:from>
      <xdr:col>9</xdr:col>
      <xdr:colOff>723900</xdr:colOff>
      <xdr:row>28</xdr:row>
      <xdr:rowOff>76200</xdr:rowOff>
    </xdr:from>
    <xdr:ext cx="10544175" cy="10353675"/>
    <xdr:graphicFrame macro="">
      <xdr:nvGraphicFramePr>
        <xdr:cNvPr id="1631454827" name="Chart 4">
          <a:extLst>
            <a:ext uri="{FF2B5EF4-FFF2-40B4-BE49-F238E27FC236}">
              <a16:creationId xmlns:a16="http://schemas.microsoft.com/office/drawing/2014/main" id="{00000000-0008-0000-0200-00006B063E6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20</xdr:col>
      <xdr:colOff>438150</xdr:colOff>
      <xdr:row>7</xdr:row>
      <xdr:rowOff>19050</xdr:rowOff>
    </xdr:from>
    <xdr:ext cx="9801225" cy="9705975"/>
    <xdr:graphicFrame macro="">
      <xdr:nvGraphicFramePr>
        <xdr:cNvPr id="1217348147" name="Chart 5">
          <a:extLst>
            <a:ext uri="{FF2B5EF4-FFF2-40B4-BE49-F238E27FC236}">
              <a16:creationId xmlns:a16="http://schemas.microsoft.com/office/drawing/2014/main" id="{00000000-0008-0000-0200-000033428F4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wsDr>
</file>

<file path=xl/drawings/drawing3.xml><?xml version="1.0" encoding="utf-8"?>
<xdr:wsDr xmlns:xdr="http://schemas.openxmlformats.org/drawingml/2006/spreadsheetDrawing" xmlns:a="http://schemas.openxmlformats.org/drawingml/2006/main">
  <xdr:oneCellAnchor>
    <xdr:from>
      <xdr:col>5</xdr:col>
      <xdr:colOff>742950</xdr:colOff>
      <xdr:row>30</xdr:row>
      <xdr:rowOff>152400</xdr:rowOff>
    </xdr:from>
    <xdr:ext cx="4371975" cy="2743200"/>
    <xdr:graphicFrame macro="">
      <xdr:nvGraphicFramePr>
        <xdr:cNvPr id="1882874672" name="Chart 6">
          <a:extLst>
            <a:ext uri="{FF2B5EF4-FFF2-40B4-BE49-F238E27FC236}">
              <a16:creationId xmlns:a16="http://schemas.microsoft.com/office/drawing/2014/main" id="{00000000-0008-0000-0300-000030633A7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5</xdr:col>
      <xdr:colOff>190500</xdr:colOff>
      <xdr:row>48</xdr:row>
      <xdr:rowOff>47625</xdr:rowOff>
    </xdr:from>
    <xdr:ext cx="5172075" cy="2895600"/>
    <xdr:graphicFrame macro="">
      <xdr:nvGraphicFramePr>
        <xdr:cNvPr id="1387817023" name="Chart 7">
          <a:extLst>
            <a:ext uri="{FF2B5EF4-FFF2-40B4-BE49-F238E27FC236}">
              <a16:creationId xmlns:a16="http://schemas.microsoft.com/office/drawing/2014/main" id="{00000000-0008-0000-0300-00003F68B85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9</xdr:col>
      <xdr:colOff>466725</xdr:colOff>
      <xdr:row>31</xdr:row>
      <xdr:rowOff>9525</xdr:rowOff>
    </xdr:from>
    <xdr:ext cx="4343400" cy="2733675"/>
    <xdr:graphicFrame macro="">
      <xdr:nvGraphicFramePr>
        <xdr:cNvPr id="989640532" name="Chart 8">
          <a:extLst>
            <a:ext uri="{FF2B5EF4-FFF2-40B4-BE49-F238E27FC236}">
              <a16:creationId xmlns:a16="http://schemas.microsoft.com/office/drawing/2014/main" id="{00000000-0008-0000-0300-000054B7FC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9</xdr:col>
      <xdr:colOff>438150</xdr:colOff>
      <xdr:row>47</xdr:row>
      <xdr:rowOff>0</xdr:rowOff>
    </xdr:from>
    <xdr:ext cx="4752975" cy="2905125"/>
    <xdr:graphicFrame macro="">
      <xdr:nvGraphicFramePr>
        <xdr:cNvPr id="1955646" name="Chart 9">
          <a:extLst>
            <a:ext uri="{FF2B5EF4-FFF2-40B4-BE49-F238E27FC236}">
              <a16:creationId xmlns:a16="http://schemas.microsoft.com/office/drawing/2014/main" id="{00000000-0008-0000-0300-00003ED71D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Users/mjszuberi/Desktop/Model%20Template%20-%20EtOH%20-%2008162023%20(1).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otes"/>
      <sheetName val="Inputs"/>
      <sheetName val="Sources"/>
      <sheetName val="Conversions &amp; Assumptions"/>
      <sheetName val="Graphs"/>
      <sheetName val="BAU"/>
      <sheetName val="Moderate"/>
      <sheetName val="Advanced"/>
      <sheetName val="Net Zero GHG"/>
      <sheetName val="BAU + Electrification"/>
      <sheetName val="BAU + LCFFES"/>
      <sheetName val="BAU + CCUS"/>
      <sheetName val="BAU + Energy Efficiency"/>
      <sheetName val="Definitions &amp; Abbreviations"/>
      <sheetName val="Calcs for Graph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Z748"/>
  <sheetViews>
    <sheetView tabSelected="1" zoomScale="80" zoomScaleNormal="80" workbookViewId="0">
      <pane xSplit="4" ySplit="3" topLeftCell="M297" activePane="bottomRight" state="frozen"/>
      <selection pane="topRight" activeCell="E1" sqref="E1"/>
      <selection pane="bottomLeft" activeCell="A4" sqref="A4"/>
      <selection pane="bottomRight" activeCell="B314" sqref="B314"/>
    </sheetView>
  </sheetViews>
  <sheetFormatPr defaultColWidth="14.453125" defaultRowHeight="15" customHeight="1" x14ac:dyDescent="0.35"/>
  <cols>
    <col min="1" max="1" width="56.54296875" customWidth="1"/>
    <col min="2" max="2" width="55" customWidth="1"/>
    <col min="3" max="3" width="28.08984375" customWidth="1"/>
    <col min="4" max="4" width="22.453125" customWidth="1"/>
    <col min="5" max="5" width="59.26953125" customWidth="1"/>
    <col min="6" max="6" width="38.453125" customWidth="1"/>
    <col min="7" max="7" width="17.54296875" customWidth="1"/>
    <col min="8" max="8" width="31.453125" customWidth="1"/>
    <col min="9" max="9" width="78.81640625" customWidth="1"/>
    <col min="10" max="10" width="24.08984375" customWidth="1"/>
    <col min="11" max="11" width="28.08984375" style="43" customWidth="1"/>
    <col min="12" max="12" width="23.90625" customWidth="1"/>
    <col min="13" max="13" width="18.54296875" customWidth="1"/>
    <col min="14" max="14" width="28.1796875" customWidth="1"/>
    <col min="15" max="17" width="15.81640625" customWidth="1"/>
    <col min="18" max="18" width="17.453125" customWidth="1"/>
    <col min="19" max="19" width="25.08984375" customWidth="1"/>
    <col min="20" max="20" width="15.81640625" customWidth="1"/>
    <col min="21" max="25" width="15.81640625" style="235" customWidth="1"/>
    <col min="26" max="26" width="18.81640625" customWidth="1"/>
    <col min="27" max="32" width="15.81640625" customWidth="1"/>
    <col min="33" max="35" width="20.81640625" customWidth="1"/>
    <col min="36" max="36" width="23.81640625" customWidth="1"/>
    <col min="37" max="38" width="20.81640625" customWidth="1"/>
    <col min="44" max="44" width="31.81640625" customWidth="1"/>
    <col min="45" max="45" width="49.26953125" customWidth="1"/>
    <col min="46" max="46" width="34.36328125" style="230" customWidth="1"/>
  </cols>
  <sheetData>
    <row r="1" spans="1:52" ht="15" customHeight="1" x14ac:dyDescent="0.35">
      <c r="A1" s="305" t="s">
        <v>0</v>
      </c>
      <c r="B1" s="303"/>
      <c r="C1" s="303"/>
      <c r="D1" s="303"/>
      <c r="E1" s="303"/>
      <c r="F1" s="303"/>
      <c r="G1" s="303"/>
      <c r="H1" s="303"/>
      <c r="I1" s="304"/>
      <c r="J1" s="306" t="s">
        <v>1</v>
      </c>
      <c r="K1" s="307"/>
      <c r="L1" s="303"/>
      <c r="M1" s="303"/>
      <c r="N1" s="303"/>
      <c r="O1" s="303"/>
      <c r="P1" s="303"/>
      <c r="Q1" s="303"/>
      <c r="R1" s="304"/>
      <c r="S1" s="306" t="s">
        <v>2</v>
      </c>
      <c r="T1" s="303"/>
      <c r="U1" s="308"/>
      <c r="V1" s="308"/>
      <c r="W1" s="308"/>
      <c r="X1" s="308"/>
      <c r="Y1" s="308"/>
      <c r="Z1" s="303"/>
      <c r="AA1" s="303"/>
      <c r="AB1" s="303"/>
      <c r="AC1" s="303"/>
      <c r="AD1" s="304"/>
      <c r="AE1" s="306" t="s">
        <v>3</v>
      </c>
      <c r="AF1" s="304"/>
      <c r="AG1" s="302" t="s">
        <v>4</v>
      </c>
      <c r="AH1" s="303"/>
      <c r="AI1" s="303"/>
      <c r="AJ1" s="303"/>
      <c r="AK1" s="303"/>
      <c r="AL1" s="304"/>
      <c r="AM1" s="234"/>
      <c r="AN1" s="234"/>
      <c r="AO1" s="234"/>
      <c r="AP1" s="234"/>
      <c r="AQ1" s="234"/>
      <c r="AR1" s="234"/>
      <c r="AS1" s="234"/>
      <c r="AT1" s="240"/>
    </row>
    <row r="2" spans="1:52" ht="98" x14ac:dyDescent="0.35">
      <c r="A2" s="44" t="s">
        <v>5</v>
      </c>
      <c r="B2" s="44" t="s">
        <v>6</v>
      </c>
      <c r="C2" s="44" t="s">
        <v>7</v>
      </c>
      <c r="D2" s="44" t="s">
        <v>8</v>
      </c>
      <c r="E2" s="44" t="s">
        <v>9</v>
      </c>
      <c r="F2" s="44" t="s">
        <v>10</v>
      </c>
      <c r="G2" s="44" t="s">
        <v>11</v>
      </c>
      <c r="H2" s="44" t="s">
        <v>12</v>
      </c>
      <c r="I2" s="44" t="s">
        <v>13</v>
      </c>
      <c r="J2" s="45" t="s">
        <v>14</v>
      </c>
      <c r="K2" s="301" t="s">
        <v>1668</v>
      </c>
      <c r="L2" s="259" t="s">
        <v>15</v>
      </c>
      <c r="M2" s="259" t="s">
        <v>16</v>
      </c>
      <c r="N2" s="259" t="s">
        <v>17</v>
      </c>
      <c r="O2" s="260" t="s">
        <v>18</v>
      </c>
      <c r="P2" s="259" t="s">
        <v>19</v>
      </c>
      <c r="Q2" s="259" t="s">
        <v>20</v>
      </c>
      <c r="R2" s="261" t="s">
        <v>21</v>
      </c>
      <c r="S2" s="44" t="s">
        <v>22</v>
      </c>
      <c r="T2" s="47" t="s">
        <v>23</v>
      </c>
      <c r="U2" s="47" t="s">
        <v>1671</v>
      </c>
      <c r="V2" s="47" t="s">
        <v>1672</v>
      </c>
      <c r="W2" s="47" t="s">
        <v>1673</v>
      </c>
      <c r="X2" s="47" t="s">
        <v>1674</v>
      </c>
      <c r="Y2" s="49" t="s">
        <v>1675</v>
      </c>
      <c r="Z2" s="260" t="s">
        <v>24</v>
      </c>
      <c r="AA2" s="260" t="s">
        <v>25</v>
      </c>
      <c r="AB2" s="260" t="s">
        <v>26</v>
      </c>
      <c r="AC2" s="260" t="s">
        <v>27</v>
      </c>
      <c r="AD2" s="262" t="s">
        <v>28</v>
      </c>
      <c r="AE2" s="46" t="s">
        <v>29</v>
      </c>
      <c r="AF2" s="49" t="s">
        <v>30</v>
      </c>
      <c r="AG2" s="265" t="s">
        <v>31</v>
      </c>
      <c r="AH2" s="259" t="s">
        <v>32</v>
      </c>
      <c r="AI2" s="259" t="s">
        <v>33</v>
      </c>
      <c r="AJ2" s="259" t="s">
        <v>34</v>
      </c>
      <c r="AK2" s="259" t="s">
        <v>35</v>
      </c>
      <c r="AL2" s="261" t="s">
        <v>36</v>
      </c>
      <c r="AM2" s="46" t="s">
        <v>1651</v>
      </c>
      <c r="AN2" s="46" t="s">
        <v>1652</v>
      </c>
      <c r="AO2" s="46" t="s">
        <v>1653</v>
      </c>
      <c r="AP2" s="46" t="s">
        <v>1654</v>
      </c>
      <c r="AQ2" s="48" t="s">
        <v>1655</v>
      </c>
      <c r="AR2" s="203" t="s">
        <v>1656</v>
      </c>
      <c r="AS2" s="203" t="s">
        <v>1657</v>
      </c>
      <c r="AT2" s="231" t="s">
        <v>1670</v>
      </c>
      <c r="AU2" s="46" t="s">
        <v>1676</v>
      </c>
      <c r="AV2" s="46" t="s">
        <v>1677</v>
      </c>
      <c r="AW2" s="46" t="s">
        <v>1678</v>
      </c>
      <c r="AX2" s="46" t="s">
        <v>1679</v>
      </c>
      <c r="AY2" s="48" t="s">
        <v>1680</v>
      </c>
      <c r="AZ2" s="247" t="s">
        <v>1681</v>
      </c>
    </row>
    <row r="3" spans="1:52" ht="29" x14ac:dyDescent="0.35">
      <c r="A3" s="50"/>
      <c r="B3" s="50"/>
      <c r="C3" s="50"/>
      <c r="D3" s="50"/>
      <c r="E3" s="50"/>
      <c r="F3" s="50"/>
      <c r="G3" s="50"/>
      <c r="H3" s="50"/>
      <c r="I3" s="50"/>
      <c r="J3" s="51" t="s">
        <v>37</v>
      </c>
      <c r="K3" s="52" t="s">
        <v>38</v>
      </c>
      <c r="L3" s="270" t="s">
        <v>1682</v>
      </c>
      <c r="M3" s="270" t="s">
        <v>1682</v>
      </c>
      <c r="N3" s="270" t="s">
        <v>1682</v>
      </c>
      <c r="O3" s="263" t="s">
        <v>39</v>
      </c>
      <c r="P3" s="263" t="s">
        <v>39</v>
      </c>
      <c r="Q3" s="263" t="s">
        <v>39</v>
      </c>
      <c r="R3" s="271" t="s">
        <v>40</v>
      </c>
      <c r="S3" s="50"/>
      <c r="T3" s="53" t="s">
        <v>41</v>
      </c>
      <c r="U3" s="53"/>
      <c r="V3" s="53"/>
      <c r="W3" s="53"/>
      <c r="X3" s="53"/>
      <c r="Y3" s="53"/>
      <c r="Z3" s="263" t="s">
        <v>42</v>
      </c>
      <c r="AA3" s="263" t="s">
        <v>42</v>
      </c>
      <c r="AB3" s="263" t="s">
        <v>42</v>
      </c>
      <c r="AC3" s="263" t="s">
        <v>42</v>
      </c>
      <c r="AD3" s="264" t="s">
        <v>42</v>
      </c>
      <c r="AE3" s="52" t="s">
        <v>38</v>
      </c>
      <c r="AF3" s="54" t="s">
        <v>43</v>
      </c>
      <c r="AG3" s="266" t="s">
        <v>44</v>
      </c>
      <c r="AH3" s="267" t="s">
        <v>45</v>
      </c>
      <c r="AI3" s="267" t="s">
        <v>45</v>
      </c>
      <c r="AJ3" s="267" t="s">
        <v>45</v>
      </c>
      <c r="AK3" s="267" t="s">
        <v>45</v>
      </c>
      <c r="AL3" s="268" t="s">
        <v>45</v>
      </c>
      <c r="AM3" s="55" t="s">
        <v>37</v>
      </c>
      <c r="AN3" s="55" t="s">
        <v>37</v>
      </c>
      <c r="AO3" s="55" t="s">
        <v>37</v>
      </c>
      <c r="AP3" s="55" t="s">
        <v>37</v>
      </c>
      <c r="AQ3" s="201" t="s">
        <v>37</v>
      </c>
      <c r="AR3" s="204"/>
      <c r="AS3" s="204"/>
      <c r="AT3" s="232"/>
    </row>
    <row r="4" spans="1:52" s="246" customFormat="1" ht="15" customHeight="1" x14ac:dyDescent="0.35">
      <c r="A4" s="56" t="s">
        <v>46</v>
      </c>
      <c r="B4" s="57" t="s">
        <v>47</v>
      </c>
      <c r="C4" s="57" t="s">
        <v>48</v>
      </c>
      <c r="D4" s="57" t="s">
        <v>49</v>
      </c>
      <c r="E4" s="57" t="s">
        <v>50</v>
      </c>
      <c r="F4" s="57" t="s">
        <v>51</v>
      </c>
      <c r="G4" s="57" t="s">
        <v>52</v>
      </c>
      <c r="H4" s="57" t="s">
        <v>53</v>
      </c>
      <c r="I4" s="57" t="s">
        <v>54</v>
      </c>
      <c r="J4" s="58">
        <v>0.9</v>
      </c>
      <c r="K4" s="228">
        <f>L4*1</f>
        <v>850</v>
      </c>
      <c r="L4" s="269">
        <v>850</v>
      </c>
      <c r="M4" s="269"/>
      <c r="N4" s="269"/>
      <c r="O4" s="269">
        <v>1</v>
      </c>
      <c r="P4" s="269"/>
      <c r="Q4" s="269"/>
      <c r="R4" s="269" t="s">
        <v>55</v>
      </c>
      <c r="S4" s="59" t="s">
        <v>56</v>
      </c>
      <c r="T4" s="60">
        <v>1.2169117647058822</v>
      </c>
      <c r="U4" s="238">
        <f>ABS(Z4)</f>
        <v>19.062871091911763</v>
      </c>
      <c r="V4" s="238">
        <f t="shared" ref="V4:Y4" si="0">ABS(AA4)</f>
        <v>0</v>
      </c>
      <c r="W4" s="238">
        <f t="shared" si="0"/>
        <v>0</v>
      </c>
      <c r="X4" s="238">
        <f t="shared" si="0"/>
        <v>17.88</v>
      </c>
      <c r="Y4" s="238">
        <f t="shared" si="0"/>
        <v>1.1828710919117644</v>
      </c>
      <c r="Z4" s="246">
        <v>19.062871091911763</v>
      </c>
      <c r="AC4" s="246">
        <v>17.88</v>
      </c>
      <c r="AD4" s="246">
        <v>1.1828710919117644</v>
      </c>
      <c r="AE4" s="59">
        <v>180</v>
      </c>
      <c r="AF4" s="62">
        <v>10.026300000000001</v>
      </c>
      <c r="AG4" s="63">
        <v>34.549999999999997</v>
      </c>
      <c r="AH4" s="64">
        <v>658.62219622555131</v>
      </c>
      <c r="AI4" s="64">
        <v>0</v>
      </c>
      <c r="AJ4" s="64">
        <v>0</v>
      </c>
      <c r="AK4" s="64">
        <v>617.75399999999991</v>
      </c>
      <c r="AL4" s="65">
        <v>40.868196225551458</v>
      </c>
      <c r="AM4" s="202">
        <f>AH4/16529.1</f>
        <v>3.9846222493998544E-2</v>
      </c>
      <c r="AN4" s="202">
        <f t="shared" ref="AN4:AQ4" si="1">AI4/16529.1</f>
        <v>0</v>
      </c>
      <c r="AO4" s="202">
        <f t="shared" si="1"/>
        <v>0</v>
      </c>
      <c r="AP4" s="202">
        <f t="shared" si="1"/>
        <v>3.7373722707225436E-2</v>
      </c>
      <c r="AQ4" s="202">
        <f t="shared" si="1"/>
        <v>2.4724997867731128E-3</v>
      </c>
      <c r="AR4" s="205" t="s">
        <v>46</v>
      </c>
      <c r="AS4" s="223" t="s">
        <v>1658</v>
      </c>
      <c r="AT4" s="246">
        <v>325110</v>
      </c>
      <c r="AU4" s="246">
        <f>ABS(AH4)</f>
        <v>658.62219622555131</v>
      </c>
      <c r="AV4" s="246">
        <f t="shared" ref="AV4:AY4" si="2">ABS(AI4)</f>
        <v>0</v>
      </c>
      <c r="AW4" s="246">
        <f t="shared" si="2"/>
        <v>0</v>
      </c>
      <c r="AX4" s="246">
        <f t="shared" si="2"/>
        <v>617.75399999999991</v>
      </c>
      <c r="AY4" s="246">
        <f t="shared" si="2"/>
        <v>40.868196225551458</v>
      </c>
      <c r="AZ4" s="246">
        <v>0.15776137688644995</v>
      </c>
    </row>
    <row r="5" spans="1:52" ht="15" customHeight="1" x14ac:dyDescent="0.35">
      <c r="A5" s="66" t="s">
        <v>46</v>
      </c>
      <c r="B5" s="67" t="s">
        <v>47</v>
      </c>
      <c r="C5" s="67" t="s">
        <v>57</v>
      </c>
      <c r="D5" s="67" t="s">
        <v>58</v>
      </c>
      <c r="E5" s="67" t="s">
        <v>58</v>
      </c>
      <c r="F5" s="67" t="s">
        <v>51</v>
      </c>
      <c r="G5" s="67" t="s">
        <v>52</v>
      </c>
      <c r="H5" s="67" t="s">
        <v>59</v>
      </c>
      <c r="I5" s="67" t="s">
        <v>60</v>
      </c>
      <c r="J5" s="68">
        <v>0.95</v>
      </c>
      <c r="K5" s="228">
        <f t="shared" ref="K5:K68" si="3">L5*1</f>
        <v>550</v>
      </c>
      <c r="L5" s="269">
        <v>550</v>
      </c>
      <c r="M5" s="269">
        <v>850</v>
      </c>
      <c r="N5" s="269">
        <v>550</v>
      </c>
      <c r="O5" s="269"/>
      <c r="P5" s="269"/>
      <c r="Q5" s="269"/>
      <c r="R5" s="269" t="s">
        <v>61</v>
      </c>
      <c r="S5" s="233" t="s">
        <v>56</v>
      </c>
      <c r="T5" s="70"/>
      <c r="U5" s="238">
        <f t="shared" ref="U5:U68" si="4">ABS(Z5)</f>
        <v>10.016176470588235</v>
      </c>
      <c r="V5" s="238">
        <f t="shared" ref="V5:V68" si="5">ABS(AA5)</f>
        <v>0</v>
      </c>
      <c r="W5" s="238">
        <f t="shared" ref="W5:W68" si="6">ABS(AB5)</f>
        <v>0</v>
      </c>
      <c r="X5" s="238">
        <f t="shared" ref="X5:X68" si="7">ABS(AC5)</f>
        <v>0</v>
      </c>
      <c r="Y5" s="238">
        <f t="shared" ref="Y5:Y68" si="8">ABS(AD5)</f>
        <v>10.016176470588235</v>
      </c>
      <c r="Z5" s="60">
        <v>-10.016176470588235</v>
      </c>
      <c r="AA5" s="60"/>
      <c r="AB5" s="60"/>
      <c r="AC5" s="60"/>
      <c r="AD5" s="61">
        <v>-10.016176470588235</v>
      </c>
      <c r="AE5" s="233">
        <v>280</v>
      </c>
      <c r="AF5" s="72">
        <v>65</v>
      </c>
      <c r="AG5" s="73">
        <v>34.549999999999997</v>
      </c>
      <c r="AH5" s="74">
        <v>-346.0588970588235</v>
      </c>
      <c r="AI5" s="74">
        <v>0</v>
      </c>
      <c r="AJ5" s="74">
        <v>0</v>
      </c>
      <c r="AK5" s="74">
        <v>0</v>
      </c>
      <c r="AL5" s="75">
        <v>-346.0588970588235</v>
      </c>
      <c r="AM5" s="202">
        <f t="shared" ref="AM5:AM68" si="9">AH5/16529.1</f>
        <v>-2.093634239364657E-2</v>
      </c>
      <c r="AN5" s="202">
        <f t="shared" ref="AN5:AN68" si="10">AI5/16529.1</f>
        <v>0</v>
      </c>
      <c r="AO5" s="202">
        <f t="shared" ref="AO5:AO68" si="11">AJ5/16529.1</f>
        <v>0</v>
      </c>
      <c r="AP5" s="202">
        <f t="shared" ref="AP5:AP68" si="12">AK5/16529.1</f>
        <v>0</v>
      </c>
      <c r="AQ5" s="202">
        <f t="shared" ref="AQ5:AQ68" si="13">AL5/16529.1</f>
        <v>-2.093634239364657E-2</v>
      </c>
      <c r="AR5" s="208" t="s">
        <v>46</v>
      </c>
      <c r="AS5" s="223" t="s">
        <v>1658</v>
      </c>
      <c r="AT5" s="234">
        <v>325110</v>
      </c>
      <c r="AU5" s="244">
        <f t="shared" ref="AU5:AU68" si="14">ABS(AH5)</f>
        <v>346.0588970588235</v>
      </c>
      <c r="AV5" s="244">
        <f t="shared" ref="AV5:AV68" si="15">ABS(AI5)</f>
        <v>0</v>
      </c>
      <c r="AW5" s="244">
        <f t="shared" ref="AW5:AW68" si="16">ABS(AJ5)</f>
        <v>0</v>
      </c>
      <c r="AX5" s="244">
        <f t="shared" ref="AX5:AX68" si="17">ABS(AK5)</f>
        <v>0</v>
      </c>
      <c r="AY5" s="244">
        <f t="shared" ref="AY5:AY68" si="18">ABS(AL5)</f>
        <v>346.0588970588235</v>
      </c>
      <c r="AZ5">
        <v>-8.2892329466998052E-2</v>
      </c>
    </row>
    <row r="6" spans="1:52" s="243" customFormat="1" ht="15" customHeight="1" x14ac:dyDescent="0.35">
      <c r="A6" s="66" t="s">
        <v>46</v>
      </c>
      <c r="B6" s="67" t="s">
        <v>47</v>
      </c>
      <c r="C6" s="67" t="s">
        <v>62</v>
      </c>
      <c r="D6" s="67" t="s">
        <v>63</v>
      </c>
      <c r="E6" s="67" t="s">
        <v>63</v>
      </c>
      <c r="F6" s="67" t="s">
        <v>64</v>
      </c>
      <c r="G6" s="67" t="s">
        <v>52</v>
      </c>
      <c r="H6" s="67" t="s">
        <v>65</v>
      </c>
      <c r="I6" s="67" t="s">
        <v>66</v>
      </c>
      <c r="J6" s="68">
        <v>0.3</v>
      </c>
      <c r="K6" s="228">
        <f t="shared" si="3"/>
        <v>280</v>
      </c>
      <c r="L6" s="269">
        <v>280</v>
      </c>
      <c r="M6" s="269"/>
      <c r="N6" s="269"/>
      <c r="O6" s="269">
        <v>65</v>
      </c>
      <c r="P6" s="269"/>
      <c r="Q6" s="269"/>
      <c r="R6" s="269"/>
      <c r="S6" s="242" t="s">
        <v>56</v>
      </c>
      <c r="T6" s="70"/>
      <c r="U6" s="238">
        <f t="shared" si="4"/>
        <v>3.0048529411764702</v>
      </c>
      <c r="V6" s="238">
        <f t="shared" si="5"/>
        <v>0</v>
      </c>
      <c r="W6" s="238">
        <f t="shared" si="6"/>
        <v>3.0048529411764702</v>
      </c>
      <c r="X6" s="238">
        <f t="shared" si="7"/>
        <v>0</v>
      </c>
      <c r="Y6" s="238">
        <f t="shared" si="8"/>
        <v>0</v>
      </c>
      <c r="Z6" s="70">
        <v>-3.0048529411764702</v>
      </c>
      <c r="AA6" s="70"/>
      <c r="AB6" s="70">
        <v>-3.0048529411764702</v>
      </c>
      <c r="AC6" s="70"/>
      <c r="AD6" s="71"/>
      <c r="AE6" s="242"/>
      <c r="AF6" s="72"/>
      <c r="AG6" s="73">
        <v>34.549999999999997</v>
      </c>
      <c r="AH6" s="74">
        <v>-103.81766911764704</v>
      </c>
      <c r="AI6" s="74">
        <v>0</v>
      </c>
      <c r="AJ6" s="74">
        <v>-103.81766911764704</v>
      </c>
      <c r="AK6" s="74">
        <v>0</v>
      </c>
      <c r="AL6" s="75">
        <v>0</v>
      </c>
      <c r="AM6" s="202">
        <f t="shared" si="9"/>
        <v>-6.2809027180939711E-3</v>
      </c>
      <c r="AN6" s="202">
        <f t="shared" si="10"/>
        <v>0</v>
      </c>
      <c r="AO6" s="202">
        <f t="shared" si="11"/>
        <v>-6.2809027180939711E-3</v>
      </c>
      <c r="AP6" s="202">
        <f t="shared" si="12"/>
        <v>0</v>
      </c>
      <c r="AQ6" s="202">
        <f t="shared" si="13"/>
        <v>0</v>
      </c>
      <c r="AR6" s="208" t="s">
        <v>46</v>
      </c>
      <c r="AS6" s="223" t="s">
        <v>1658</v>
      </c>
      <c r="AT6" s="243">
        <v>325110</v>
      </c>
      <c r="AU6" s="244">
        <f t="shared" si="14"/>
        <v>103.81766911764704</v>
      </c>
      <c r="AV6" s="244">
        <f t="shared" si="15"/>
        <v>0</v>
      </c>
      <c r="AW6" s="244">
        <f t="shared" si="16"/>
        <v>103.81766911764704</v>
      </c>
      <c r="AX6" s="244">
        <f t="shared" si="17"/>
        <v>0</v>
      </c>
      <c r="AY6" s="244">
        <f t="shared" si="18"/>
        <v>0</v>
      </c>
      <c r="AZ6" s="243">
        <v>-2.4867698840099414E-2</v>
      </c>
    </row>
    <row r="7" spans="1:52" s="243" customFormat="1" ht="15" customHeight="1" x14ac:dyDescent="0.35">
      <c r="A7" s="66" t="s">
        <v>46</v>
      </c>
      <c r="B7" s="67" t="s">
        <v>47</v>
      </c>
      <c r="C7" s="67" t="s">
        <v>67</v>
      </c>
      <c r="D7" s="67" t="s">
        <v>68</v>
      </c>
      <c r="E7" s="67" t="s">
        <v>68</v>
      </c>
      <c r="F7" s="67" t="s">
        <v>51</v>
      </c>
      <c r="G7" s="67" t="s">
        <v>52</v>
      </c>
      <c r="H7" s="67" t="s">
        <v>69</v>
      </c>
      <c r="I7" s="67" t="s">
        <v>70</v>
      </c>
      <c r="J7" s="68"/>
      <c r="K7" s="228">
        <f>N7</f>
        <v>25</v>
      </c>
      <c r="L7" s="269"/>
      <c r="M7" s="269">
        <v>550</v>
      </c>
      <c r="N7" s="269">
        <v>25</v>
      </c>
      <c r="O7" s="269"/>
      <c r="P7" s="269"/>
      <c r="Q7" s="269"/>
      <c r="R7" s="269"/>
      <c r="S7" s="242" t="s">
        <v>56</v>
      </c>
      <c r="T7" s="70"/>
      <c r="U7" s="238">
        <f t="shared" si="4"/>
        <v>1.18287109191176</v>
      </c>
      <c r="V7" s="238">
        <f t="shared" si="5"/>
        <v>0</v>
      </c>
      <c r="W7" s="238">
        <f t="shared" si="6"/>
        <v>0</v>
      </c>
      <c r="X7" s="238">
        <f t="shared" si="7"/>
        <v>0</v>
      </c>
      <c r="Y7" s="238">
        <f t="shared" si="8"/>
        <v>1.18287109191176</v>
      </c>
      <c r="Z7" s="70">
        <v>-1.18287109191176</v>
      </c>
      <c r="AA7" s="70"/>
      <c r="AB7" s="70"/>
      <c r="AC7" s="70"/>
      <c r="AD7" s="71">
        <v>-1.18287109191176</v>
      </c>
      <c r="AE7" s="242">
        <v>180</v>
      </c>
      <c r="AF7" s="72">
        <v>10.026300000000001</v>
      </c>
      <c r="AG7" s="73">
        <v>34.549999999999997</v>
      </c>
      <c r="AH7" s="74">
        <v>-40.868196225551301</v>
      </c>
      <c r="AI7" s="74">
        <v>0</v>
      </c>
      <c r="AJ7" s="74">
        <v>0</v>
      </c>
      <c r="AK7" s="74">
        <v>0</v>
      </c>
      <c r="AL7" s="75">
        <v>-40.868196225551301</v>
      </c>
      <c r="AM7" s="202">
        <f t="shared" si="9"/>
        <v>-2.4724997867731037E-3</v>
      </c>
      <c r="AN7" s="202">
        <f>AI7/16529.1</f>
        <v>0</v>
      </c>
      <c r="AO7" s="202">
        <f t="shared" si="11"/>
        <v>0</v>
      </c>
      <c r="AP7" s="202">
        <f t="shared" si="12"/>
        <v>0</v>
      </c>
      <c r="AQ7" s="202">
        <f t="shared" si="13"/>
        <v>-2.4724997867731037E-3</v>
      </c>
      <c r="AR7" s="208" t="s">
        <v>46</v>
      </c>
      <c r="AS7" s="223" t="s">
        <v>1658</v>
      </c>
      <c r="AT7" s="243">
        <v>325110</v>
      </c>
      <c r="AU7" s="244">
        <f t="shared" si="14"/>
        <v>40.868196225551301</v>
      </c>
      <c r="AV7" s="244">
        <f t="shared" si="15"/>
        <v>0</v>
      </c>
      <c r="AW7" s="244">
        <f t="shared" si="16"/>
        <v>0</v>
      </c>
      <c r="AX7" s="244">
        <f t="shared" si="17"/>
        <v>0</v>
      </c>
      <c r="AY7" s="244">
        <f t="shared" si="18"/>
        <v>40.868196225551301</v>
      </c>
      <c r="AZ7" s="243">
        <v>-9.7892584616152394E-3</v>
      </c>
    </row>
    <row r="8" spans="1:52" s="243" customFormat="1" ht="15" customHeight="1" x14ac:dyDescent="0.35">
      <c r="A8" s="66" t="s">
        <v>46</v>
      </c>
      <c r="B8" s="67" t="s">
        <v>47</v>
      </c>
      <c r="C8" s="67" t="s">
        <v>71</v>
      </c>
      <c r="D8" s="67" t="s">
        <v>71</v>
      </c>
      <c r="E8" s="67" t="s">
        <v>71</v>
      </c>
      <c r="F8" s="67" t="s">
        <v>51</v>
      </c>
      <c r="G8" s="67" t="s">
        <v>52</v>
      </c>
      <c r="H8" s="67" t="s">
        <v>72</v>
      </c>
      <c r="I8" s="67" t="s">
        <v>73</v>
      </c>
      <c r="J8" s="68">
        <v>0.95</v>
      </c>
      <c r="K8" s="228">
        <f t="shared" si="3"/>
        <v>100</v>
      </c>
      <c r="L8" s="269">
        <v>100</v>
      </c>
      <c r="M8" s="269">
        <v>25</v>
      </c>
      <c r="N8" s="269">
        <v>100</v>
      </c>
      <c r="O8" s="269">
        <v>35</v>
      </c>
      <c r="P8" s="269">
        <v>1</v>
      </c>
      <c r="Q8" s="269">
        <v>35</v>
      </c>
      <c r="R8" s="269"/>
      <c r="S8" s="242" t="s">
        <v>56</v>
      </c>
      <c r="T8" s="70"/>
      <c r="U8" s="238">
        <f t="shared" si="4"/>
        <v>1.1232000000000002</v>
      </c>
      <c r="V8" s="238">
        <f t="shared" si="5"/>
        <v>0</v>
      </c>
      <c r="W8" s="238">
        <f t="shared" si="6"/>
        <v>1.1232000000000002</v>
      </c>
      <c r="X8" s="238">
        <f t="shared" si="7"/>
        <v>0</v>
      </c>
      <c r="Y8" s="238">
        <f t="shared" si="8"/>
        <v>0</v>
      </c>
      <c r="Z8" s="70">
        <v>1.1232000000000002</v>
      </c>
      <c r="AA8" s="70"/>
      <c r="AB8" s="70">
        <v>1.1232000000000002</v>
      </c>
      <c r="AC8" s="70"/>
      <c r="AD8" s="71"/>
      <c r="AE8" s="242"/>
      <c r="AF8" s="72"/>
      <c r="AG8" s="73">
        <v>34.549999999999997</v>
      </c>
      <c r="AH8" s="74">
        <v>38.806560000000005</v>
      </c>
      <c r="AI8" s="74">
        <v>0</v>
      </c>
      <c r="AJ8" s="74">
        <v>38.806560000000005</v>
      </c>
      <c r="AK8" s="74">
        <v>0</v>
      </c>
      <c r="AL8" s="75">
        <v>0</v>
      </c>
      <c r="AM8" s="202">
        <f t="shared" si="9"/>
        <v>2.3477721110042294E-3</v>
      </c>
      <c r="AN8" s="202">
        <f t="shared" si="10"/>
        <v>0</v>
      </c>
      <c r="AO8" s="202">
        <f t="shared" si="11"/>
        <v>2.3477721110042294E-3</v>
      </c>
      <c r="AP8" s="202">
        <f t="shared" si="12"/>
        <v>0</v>
      </c>
      <c r="AQ8" s="202">
        <f t="shared" si="13"/>
        <v>0</v>
      </c>
      <c r="AR8" s="208" t="s">
        <v>46</v>
      </c>
      <c r="AS8" s="223" t="s">
        <v>1658</v>
      </c>
      <c r="AT8" s="243">
        <v>325110</v>
      </c>
      <c r="AU8" s="244">
        <f t="shared" si="14"/>
        <v>38.806560000000005</v>
      </c>
      <c r="AV8" s="244">
        <f t="shared" si="15"/>
        <v>0</v>
      </c>
      <c r="AW8" s="244">
        <f t="shared" si="16"/>
        <v>38.806560000000005</v>
      </c>
      <c r="AX8" s="244">
        <f t="shared" si="17"/>
        <v>0</v>
      </c>
      <c r="AY8" s="244">
        <f t="shared" si="18"/>
        <v>0</v>
      </c>
      <c r="AZ8" s="243">
        <v>9.2954297211842486E-3</v>
      </c>
    </row>
    <row r="9" spans="1:52" s="243" customFormat="1" ht="15" customHeight="1" x14ac:dyDescent="0.35">
      <c r="A9" s="66" t="s">
        <v>46</v>
      </c>
      <c r="B9" s="67" t="s">
        <v>47</v>
      </c>
      <c r="C9" s="67" t="s">
        <v>74</v>
      </c>
      <c r="D9" s="67" t="s">
        <v>75</v>
      </c>
      <c r="E9" s="67" t="s">
        <v>75</v>
      </c>
      <c r="F9" s="67" t="s">
        <v>51</v>
      </c>
      <c r="G9" s="67" t="s">
        <v>52</v>
      </c>
      <c r="H9" s="67" t="s">
        <v>76</v>
      </c>
      <c r="I9" s="67" t="s">
        <v>77</v>
      </c>
      <c r="J9" s="76" t="s">
        <v>78</v>
      </c>
      <c r="K9" s="228">
        <f t="shared" si="3"/>
        <v>25</v>
      </c>
      <c r="L9" s="269">
        <v>25</v>
      </c>
      <c r="M9" s="269"/>
      <c r="N9" s="269"/>
      <c r="O9" s="269"/>
      <c r="P9" s="269"/>
      <c r="Q9" s="269"/>
      <c r="R9" s="269"/>
      <c r="S9" s="242" t="s">
        <v>56</v>
      </c>
      <c r="T9" s="70"/>
      <c r="U9" s="238">
        <f t="shared" si="4"/>
        <v>0</v>
      </c>
      <c r="V9" s="238">
        <f t="shared" si="5"/>
        <v>0</v>
      </c>
      <c r="W9" s="238">
        <f t="shared" si="6"/>
        <v>0</v>
      </c>
      <c r="X9" s="238">
        <f t="shared" si="7"/>
        <v>0</v>
      </c>
      <c r="Y9" s="238">
        <f t="shared" si="8"/>
        <v>0</v>
      </c>
      <c r="Z9" s="70">
        <v>0</v>
      </c>
      <c r="AA9" s="70"/>
      <c r="AB9" s="70"/>
      <c r="AC9" s="70"/>
      <c r="AD9" s="71"/>
      <c r="AE9" s="242"/>
      <c r="AF9" s="72"/>
      <c r="AG9" s="73">
        <v>34.549999999999997</v>
      </c>
      <c r="AH9" s="74">
        <v>0</v>
      </c>
      <c r="AI9" s="74">
        <v>0</v>
      </c>
      <c r="AJ9" s="74">
        <v>0</v>
      </c>
      <c r="AK9" s="74">
        <v>0</v>
      </c>
      <c r="AL9" s="75">
        <v>0</v>
      </c>
      <c r="AM9" s="202">
        <f t="shared" si="9"/>
        <v>0</v>
      </c>
      <c r="AN9" s="202">
        <f t="shared" si="10"/>
        <v>0</v>
      </c>
      <c r="AO9" s="202">
        <f t="shared" si="11"/>
        <v>0</v>
      </c>
      <c r="AP9" s="202">
        <f t="shared" si="12"/>
        <v>0</v>
      </c>
      <c r="AQ9" s="202">
        <f t="shared" si="13"/>
        <v>0</v>
      </c>
      <c r="AR9" s="208" t="s">
        <v>46</v>
      </c>
      <c r="AS9" s="223" t="s">
        <v>1658</v>
      </c>
      <c r="AT9" s="243">
        <v>325110</v>
      </c>
      <c r="AU9" s="244">
        <f t="shared" si="14"/>
        <v>0</v>
      </c>
      <c r="AV9" s="244">
        <f t="shared" si="15"/>
        <v>0</v>
      </c>
      <c r="AW9" s="244">
        <f t="shared" si="16"/>
        <v>0</v>
      </c>
      <c r="AX9" s="244">
        <f t="shared" si="17"/>
        <v>0</v>
      </c>
      <c r="AY9" s="244">
        <f t="shared" si="18"/>
        <v>0</v>
      </c>
      <c r="AZ9" s="243">
        <v>0</v>
      </c>
    </row>
    <row r="10" spans="1:52" s="243" customFormat="1" ht="15" customHeight="1" x14ac:dyDescent="0.35">
      <c r="A10" s="66" t="s">
        <v>46</v>
      </c>
      <c r="B10" s="67" t="s">
        <v>47</v>
      </c>
      <c r="C10" s="67" t="s">
        <v>67</v>
      </c>
      <c r="D10" s="67" t="s">
        <v>79</v>
      </c>
      <c r="E10" s="67" t="s">
        <v>79</v>
      </c>
      <c r="F10" s="67" t="s">
        <v>80</v>
      </c>
      <c r="G10" s="67" t="s">
        <v>52</v>
      </c>
      <c r="H10" s="67" t="s">
        <v>81</v>
      </c>
      <c r="I10" s="67" t="s">
        <v>82</v>
      </c>
      <c r="J10" s="76"/>
      <c r="K10" s="228">
        <f t="shared" si="3"/>
        <v>-150</v>
      </c>
      <c r="L10" s="269">
        <v>-150</v>
      </c>
      <c r="M10" s="269"/>
      <c r="N10" s="269"/>
      <c r="O10" s="269"/>
      <c r="P10" s="269"/>
      <c r="Q10" s="269"/>
      <c r="R10" s="269"/>
      <c r="S10" s="242" t="s">
        <v>56</v>
      </c>
      <c r="T10" s="70"/>
      <c r="U10" s="238">
        <f t="shared" si="4"/>
        <v>1.1232</v>
      </c>
      <c r="V10" s="238">
        <f t="shared" si="5"/>
        <v>0</v>
      </c>
      <c r="W10" s="238">
        <f t="shared" si="6"/>
        <v>1.1232</v>
      </c>
      <c r="X10" s="238">
        <f t="shared" si="7"/>
        <v>0</v>
      </c>
      <c r="Y10" s="238">
        <f t="shared" si="8"/>
        <v>0</v>
      </c>
      <c r="Z10" s="70">
        <v>1.1232</v>
      </c>
      <c r="AA10" s="70"/>
      <c r="AB10" s="70">
        <v>1.1232</v>
      </c>
      <c r="AC10" s="70"/>
      <c r="AD10" s="71"/>
      <c r="AE10" s="242"/>
      <c r="AF10" s="72"/>
      <c r="AG10" s="73">
        <v>34.549999999999997</v>
      </c>
      <c r="AH10" s="74">
        <v>38.806559999999998</v>
      </c>
      <c r="AI10" s="74">
        <v>0</v>
      </c>
      <c r="AJ10" s="74">
        <v>38.806559999999998</v>
      </c>
      <c r="AK10" s="74">
        <v>0</v>
      </c>
      <c r="AL10" s="75">
        <v>0</v>
      </c>
      <c r="AM10" s="202">
        <f t="shared" si="9"/>
        <v>2.347772111004229E-3</v>
      </c>
      <c r="AN10" s="202">
        <f t="shared" si="10"/>
        <v>0</v>
      </c>
      <c r="AO10" s="202">
        <f t="shared" si="11"/>
        <v>2.347772111004229E-3</v>
      </c>
      <c r="AP10" s="202">
        <f t="shared" si="12"/>
        <v>0</v>
      </c>
      <c r="AQ10" s="202">
        <f t="shared" si="13"/>
        <v>0</v>
      </c>
      <c r="AR10" s="208" t="s">
        <v>46</v>
      </c>
      <c r="AS10" s="223" t="s">
        <v>1658</v>
      </c>
      <c r="AT10" s="243">
        <v>325110</v>
      </c>
      <c r="AU10" s="244">
        <f t="shared" si="14"/>
        <v>38.806559999999998</v>
      </c>
      <c r="AV10" s="244">
        <f t="shared" si="15"/>
        <v>0</v>
      </c>
      <c r="AW10" s="244">
        <f t="shared" si="16"/>
        <v>38.806559999999998</v>
      </c>
      <c r="AX10" s="244">
        <f t="shared" si="17"/>
        <v>0</v>
      </c>
      <c r="AY10" s="244">
        <f t="shared" si="18"/>
        <v>0</v>
      </c>
      <c r="AZ10" s="243">
        <v>9.2954297211842469E-3</v>
      </c>
    </row>
    <row r="11" spans="1:52" s="243" customFormat="1" ht="15" customHeight="1" x14ac:dyDescent="0.35">
      <c r="A11" s="66" t="s">
        <v>46</v>
      </c>
      <c r="B11" s="67" t="s">
        <v>47</v>
      </c>
      <c r="C11" s="67" t="s">
        <v>74</v>
      </c>
      <c r="D11" s="67" t="s">
        <v>83</v>
      </c>
      <c r="E11" s="67" t="s">
        <v>84</v>
      </c>
      <c r="F11" s="67" t="s">
        <v>80</v>
      </c>
      <c r="G11" s="67" t="s">
        <v>52</v>
      </c>
      <c r="H11" s="67" t="s">
        <v>85</v>
      </c>
      <c r="I11" s="67" t="s">
        <v>86</v>
      </c>
      <c r="J11" s="76" t="s">
        <v>87</v>
      </c>
      <c r="K11" s="228">
        <v>-150</v>
      </c>
      <c r="L11" s="269"/>
      <c r="M11" s="269"/>
      <c r="N11" s="269"/>
      <c r="O11" s="269"/>
      <c r="P11" s="269"/>
      <c r="Q11" s="269"/>
      <c r="R11" s="269"/>
      <c r="S11" s="242" t="s">
        <v>56</v>
      </c>
      <c r="T11" s="70"/>
      <c r="U11" s="238">
        <f t="shared" si="4"/>
        <v>8.4161764705882351</v>
      </c>
      <c r="V11" s="238">
        <f t="shared" si="5"/>
        <v>0</v>
      </c>
      <c r="W11" s="238">
        <f t="shared" si="6"/>
        <v>0</v>
      </c>
      <c r="X11" s="238">
        <f t="shared" si="7"/>
        <v>0</v>
      </c>
      <c r="Y11" s="238">
        <f t="shared" si="8"/>
        <v>8.4161764705882351</v>
      </c>
      <c r="Z11" s="70">
        <v>8.4161764705882351</v>
      </c>
      <c r="AA11" s="70"/>
      <c r="AB11" s="70"/>
      <c r="AC11" s="70"/>
      <c r="AD11" s="71">
        <v>8.4161764705882351</v>
      </c>
      <c r="AE11" s="242">
        <v>150</v>
      </c>
      <c r="AF11" s="72">
        <v>5</v>
      </c>
      <c r="AG11" s="73">
        <v>34.549999999999997</v>
      </c>
      <c r="AH11" s="74">
        <v>290.77889705882347</v>
      </c>
      <c r="AI11" s="74">
        <v>0</v>
      </c>
      <c r="AJ11" s="74">
        <v>0</v>
      </c>
      <c r="AK11" s="74">
        <v>0</v>
      </c>
      <c r="AL11" s="75">
        <v>290.77889705882347</v>
      </c>
      <c r="AM11" s="202">
        <f t="shared" si="9"/>
        <v>1.7591937677116327E-2</v>
      </c>
      <c r="AN11" s="202">
        <f t="shared" si="10"/>
        <v>0</v>
      </c>
      <c r="AO11" s="202">
        <f t="shared" si="11"/>
        <v>0</v>
      </c>
      <c r="AP11" s="202">
        <f t="shared" si="12"/>
        <v>0</v>
      </c>
      <c r="AQ11" s="202">
        <f t="shared" si="13"/>
        <v>1.7591937677116327E-2</v>
      </c>
      <c r="AR11" s="208" t="s">
        <v>46</v>
      </c>
      <c r="AS11" s="223" t="s">
        <v>1658</v>
      </c>
      <c r="AT11" s="243">
        <v>325110</v>
      </c>
      <c r="AU11" s="244">
        <f t="shared" si="14"/>
        <v>290.77889705882347</v>
      </c>
      <c r="AV11" s="244">
        <f t="shared" si="15"/>
        <v>0</v>
      </c>
      <c r="AW11" s="244">
        <f t="shared" si="16"/>
        <v>0</v>
      </c>
      <c r="AX11" s="244">
        <f t="shared" si="17"/>
        <v>0</v>
      </c>
      <c r="AY11" s="244">
        <f t="shared" si="18"/>
        <v>290.77889705882347</v>
      </c>
      <c r="AZ11" s="243">
        <v>6.9650976587818214E-2</v>
      </c>
    </row>
    <row r="12" spans="1:52" s="243" customFormat="1" ht="15" customHeight="1" x14ac:dyDescent="0.35">
      <c r="A12" s="66" t="s">
        <v>46</v>
      </c>
      <c r="B12" s="67" t="s">
        <v>47</v>
      </c>
      <c r="C12" s="67" t="s">
        <v>88</v>
      </c>
      <c r="D12" s="67" t="s">
        <v>89</v>
      </c>
      <c r="E12" s="67" t="s">
        <v>89</v>
      </c>
      <c r="F12" s="67" t="s">
        <v>80</v>
      </c>
      <c r="G12" s="67" t="s">
        <v>52</v>
      </c>
      <c r="H12" s="67" t="s">
        <v>90</v>
      </c>
      <c r="I12" s="67" t="s">
        <v>91</v>
      </c>
      <c r="J12" s="68">
        <v>0.9</v>
      </c>
      <c r="K12" s="228">
        <v>30</v>
      </c>
      <c r="L12" s="269"/>
      <c r="M12" s="269"/>
      <c r="N12" s="269"/>
      <c r="O12" s="269"/>
      <c r="P12" s="269"/>
      <c r="Q12" s="269"/>
      <c r="R12" s="269"/>
      <c r="S12" s="242" t="s">
        <v>56</v>
      </c>
      <c r="T12" s="70"/>
      <c r="U12" s="238">
        <f t="shared" si="4"/>
        <v>1.26E-2</v>
      </c>
      <c r="V12" s="238">
        <f t="shared" si="5"/>
        <v>0</v>
      </c>
      <c r="W12" s="238">
        <f t="shared" si="6"/>
        <v>1.26E-2</v>
      </c>
      <c r="X12" s="238">
        <f t="shared" si="7"/>
        <v>0</v>
      </c>
      <c r="Y12" s="238">
        <f t="shared" si="8"/>
        <v>0</v>
      </c>
      <c r="Z12" s="70">
        <v>1.26E-2</v>
      </c>
      <c r="AA12" s="70"/>
      <c r="AB12" s="70">
        <v>1.26E-2</v>
      </c>
      <c r="AC12" s="70"/>
      <c r="AD12" s="71"/>
      <c r="AE12" s="242"/>
      <c r="AF12" s="72"/>
      <c r="AG12" s="73">
        <v>34.549999999999997</v>
      </c>
      <c r="AH12" s="74">
        <v>0.43532999999999999</v>
      </c>
      <c r="AI12" s="74">
        <v>0</v>
      </c>
      <c r="AJ12" s="74">
        <v>0.43532999999999999</v>
      </c>
      <c r="AK12" s="74">
        <v>0</v>
      </c>
      <c r="AL12" s="75">
        <v>0</v>
      </c>
      <c r="AM12" s="202">
        <f t="shared" si="9"/>
        <v>2.6337187142675646E-5</v>
      </c>
      <c r="AN12" s="202">
        <f t="shared" si="10"/>
        <v>0</v>
      </c>
      <c r="AO12" s="202">
        <f t="shared" si="11"/>
        <v>2.6337187142675646E-5</v>
      </c>
      <c r="AP12" s="202">
        <f t="shared" si="12"/>
        <v>0</v>
      </c>
      <c r="AQ12" s="202">
        <f t="shared" si="13"/>
        <v>0</v>
      </c>
      <c r="AR12" s="208" t="s">
        <v>46</v>
      </c>
      <c r="AS12" s="223" t="s">
        <v>1658</v>
      </c>
      <c r="AT12" s="243">
        <v>325110</v>
      </c>
      <c r="AU12" s="244">
        <f t="shared" si="14"/>
        <v>0.43532999999999999</v>
      </c>
      <c r="AV12" s="244">
        <f t="shared" si="15"/>
        <v>0</v>
      </c>
      <c r="AW12" s="244">
        <f t="shared" si="16"/>
        <v>0.43532999999999999</v>
      </c>
      <c r="AX12" s="244">
        <f t="shared" si="17"/>
        <v>0</v>
      </c>
      <c r="AY12" s="244">
        <f t="shared" si="18"/>
        <v>0</v>
      </c>
      <c r="AZ12" s="243">
        <v>1.0427565392354124E-4</v>
      </c>
    </row>
    <row r="13" spans="1:52" s="243" customFormat="1" ht="15" customHeight="1" x14ac:dyDescent="0.35">
      <c r="A13" s="77" t="s">
        <v>46</v>
      </c>
      <c r="B13" s="78" t="s">
        <v>47</v>
      </c>
      <c r="C13" s="67" t="s">
        <v>92</v>
      </c>
      <c r="D13" s="78" t="s">
        <v>93</v>
      </c>
      <c r="E13" s="78" t="s">
        <v>93</v>
      </c>
      <c r="F13" s="78" t="s">
        <v>94</v>
      </c>
      <c r="G13" s="78" t="s">
        <v>52</v>
      </c>
      <c r="H13" s="78" t="s">
        <v>95</v>
      </c>
      <c r="I13" s="78" t="s">
        <v>96</v>
      </c>
      <c r="J13" s="79"/>
      <c r="K13" s="228">
        <v>200</v>
      </c>
      <c r="L13" s="269"/>
      <c r="M13" s="269"/>
      <c r="N13" s="269"/>
      <c r="O13" s="269"/>
      <c r="P13" s="269"/>
      <c r="Q13" s="269"/>
      <c r="R13" s="269"/>
      <c r="S13" s="81" t="s">
        <v>56</v>
      </c>
      <c r="T13" s="82"/>
      <c r="U13" s="238">
        <f t="shared" si="4"/>
        <v>1.6</v>
      </c>
      <c r="V13" s="238">
        <f t="shared" si="5"/>
        <v>0</v>
      </c>
      <c r="W13" s="238">
        <f t="shared" si="6"/>
        <v>0</v>
      </c>
      <c r="X13" s="238">
        <f t="shared" si="7"/>
        <v>0</v>
      </c>
      <c r="Y13" s="238">
        <f t="shared" si="8"/>
        <v>1.6</v>
      </c>
      <c r="Z13" s="70">
        <v>1.6</v>
      </c>
      <c r="AA13" s="70"/>
      <c r="AB13" s="70"/>
      <c r="AC13" s="70"/>
      <c r="AD13" s="71">
        <v>1.6</v>
      </c>
      <c r="AE13" s="81">
        <v>260</v>
      </c>
      <c r="AF13" s="84">
        <v>46</v>
      </c>
      <c r="AG13" s="85">
        <v>34.549999999999997</v>
      </c>
      <c r="AH13" s="86">
        <v>55.28</v>
      </c>
      <c r="AI13" s="86">
        <v>0</v>
      </c>
      <c r="AJ13" s="86">
        <v>0</v>
      </c>
      <c r="AK13" s="86">
        <v>0</v>
      </c>
      <c r="AL13" s="87">
        <v>55.28</v>
      </c>
      <c r="AM13" s="202">
        <f t="shared" si="9"/>
        <v>3.344404716530241E-3</v>
      </c>
      <c r="AN13" s="202">
        <f t="shared" si="10"/>
        <v>0</v>
      </c>
      <c r="AO13" s="202">
        <f t="shared" si="11"/>
        <v>0</v>
      </c>
      <c r="AP13" s="202">
        <f t="shared" si="12"/>
        <v>0</v>
      </c>
      <c r="AQ13" s="202">
        <f t="shared" si="13"/>
        <v>3.344404716530241E-3</v>
      </c>
      <c r="AR13" s="212" t="s">
        <v>46</v>
      </c>
      <c r="AS13" s="223" t="s">
        <v>1658</v>
      </c>
      <c r="AT13" s="243">
        <v>325110</v>
      </c>
      <c r="AU13" s="244">
        <f t="shared" si="14"/>
        <v>55.28</v>
      </c>
      <c r="AV13" s="244">
        <f t="shared" si="15"/>
        <v>0</v>
      </c>
      <c r="AW13" s="244">
        <f t="shared" si="16"/>
        <v>0</v>
      </c>
      <c r="AX13" s="244">
        <f t="shared" si="17"/>
        <v>0</v>
      </c>
      <c r="AY13" s="244">
        <f t="shared" si="18"/>
        <v>55.28</v>
      </c>
      <c r="AZ13" s="243">
        <v>1.3241352879179841E-2</v>
      </c>
    </row>
    <row r="14" spans="1:52" ht="15" customHeight="1" x14ac:dyDescent="0.35">
      <c r="A14" s="66" t="s">
        <v>97</v>
      </c>
      <c r="B14" s="67" t="s">
        <v>98</v>
      </c>
      <c r="C14" s="57" t="s">
        <v>99</v>
      </c>
      <c r="D14" s="67" t="s">
        <v>100</v>
      </c>
      <c r="E14" s="67" t="s">
        <v>101</v>
      </c>
      <c r="F14" s="67" t="s">
        <v>102</v>
      </c>
      <c r="G14" s="67" t="s">
        <v>52</v>
      </c>
      <c r="H14" s="67" t="s">
        <v>103</v>
      </c>
      <c r="I14" s="67" t="s">
        <v>104</v>
      </c>
      <c r="J14" s="76"/>
      <c r="K14" s="228">
        <v>100</v>
      </c>
      <c r="L14" s="269"/>
      <c r="M14" s="269"/>
      <c r="N14" s="269"/>
      <c r="O14" s="269"/>
      <c r="P14" s="269"/>
      <c r="Q14" s="269"/>
      <c r="R14" s="269"/>
      <c r="S14" s="233" t="s">
        <v>105</v>
      </c>
      <c r="T14" s="70"/>
      <c r="U14" s="238">
        <f t="shared" si="4"/>
        <v>1.7999999999999999E-2</v>
      </c>
      <c r="V14" s="238">
        <f t="shared" si="5"/>
        <v>0</v>
      </c>
      <c r="W14" s="238">
        <f t="shared" si="6"/>
        <v>1.7999999999999999E-2</v>
      </c>
      <c r="X14" s="238">
        <f t="shared" si="7"/>
        <v>0</v>
      </c>
      <c r="Y14" s="238">
        <f t="shared" si="8"/>
        <v>0</v>
      </c>
      <c r="Z14" s="82">
        <v>1.7999999999999999E-2</v>
      </c>
      <c r="AA14" s="82"/>
      <c r="AB14" s="82">
        <v>1.7999999999999999E-2</v>
      </c>
      <c r="AC14" s="82"/>
      <c r="AD14" s="83"/>
      <c r="AE14" s="233"/>
      <c r="AF14" s="72"/>
      <c r="AG14" s="73">
        <v>1.492</v>
      </c>
      <c r="AH14" s="74">
        <v>2.6855999999999998E-2</v>
      </c>
      <c r="AI14" s="74">
        <v>0</v>
      </c>
      <c r="AJ14" s="74">
        <v>2.6855999999999998E-2</v>
      </c>
      <c r="AK14" s="74">
        <v>0</v>
      </c>
      <c r="AL14" s="75">
        <v>0</v>
      </c>
      <c r="AM14" s="202">
        <f t="shared" si="9"/>
        <v>1.6247708586674411E-6</v>
      </c>
      <c r="AN14" s="202">
        <f t="shared" si="10"/>
        <v>0</v>
      </c>
      <c r="AO14" s="202">
        <f t="shared" si="11"/>
        <v>1.6247708586674411E-6</v>
      </c>
      <c r="AP14" s="202">
        <f t="shared" si="12"/>
        <v>0</v>
      </c>
      <c r="AQ14" s="202">
        <f t="shared" si="13"/>
        <v>0</v>
      </c>
      <c r="AR14" s="208" t="s">
        <v>97</v>
      </c>
      <c r="AS14" s="216" t="s">
        <v>1659</v>
      </c>
      <c r="AT14" s="234">
        <v>327310</v>
      </c>
      <c r="AU14" s="244">
        <f t="shared" si="14"/>
        <v>2.6855999999999998E-2</v>
      </c>
      <c r="AV14" s="244">
        <f t="shared" si="15"/>
        <v>0</v>
      </c>
      <c r="AW14" s="244">
        <f t="shared" si="16"/>
        <v>2.6855999999999998E-2</v>
      </c>
      <c r="AX14" s="244">
        <f t="shared" si="17"/>
        <v>0</v>
      </c>
      <c r="AY14" s="244">
        <f t="shared" si="18"/>
        <v>0</v>
      </c>
      <c r="AZ14">
        <v>2.1935800049007596E-5</v>
      </c>
    </row>
    <row r="15" spans="1:52" ht="15" customHeight="1" x14ac:dyDescent="0.35">
      <c r="A15" s="66" t="s">
        <v>97</v>
      </c>
      <c r="B15" s="67" t="s">
        <v>98</v>
      </c>
      <c r="C15" s="67" t="s">
        <v>99</v>
      </c>
      <c r="D15" s="67" t="s">
        <v>100</v>
      </c>
      <c r="E15" s="67" t="s">
        <v>106</v>
      </c>
      <c r="F15" s="67" t="s">
        <v>107</v>
      </c>
      <c r="G15" s="67" t="s">
        <v>52</v>
      </c>
      <c r="H15" s="67" t="s">
        <v>103</v>
      </c>
      <c r="I15" s="67" t="s">
        <v>104</v>
      </c>
      <c r="J15" s="76"/>
      <c r="K15" s="228">
        <v>100</v>
      </c>
      <c r="L15" s="269"/>
      <c r="M15" s="269"/>
      <c r="N15" s="269"/>
      <c r="O15" s="269"/>
      <c r="P15" s="269"/>
      <c r="Q15" s="269"/>
      <c r="R15" s="269"/>
      <c r="S15" s="233" t="s">
        <v>105</v>
      </c>
      <c r="T15" s="70">
        <v>1.7</v>
      </c>
      <c r="U15" s="238">
        <f t="shared" si="4"/>
        <v>5.04E-2</v>
      </c>
      <c r="V15" s="238">
        <f t="shared" si="5"/>
        <v>0</v>
      </c>
      <c r="W15" s="238">
        <f t="shared" si="6"/>
        <v>5.04E-2</v>
      </c>
      <c r="X15" s="238">
        <f t="shared" si="7"/>
        <v>0</v>
      </c>
      <c r="Y15" s="238">
        <f t="shared" si="8"/>
        <v>0</v>
      </c>
      <c r="Z15" s="70">
        <v>5.04E-2</v>
      </c>
      <c r="AA15" s="70"/>
      <c r="AB15" s="70">
        <v>5.04E-2</v>
      </c>
      <c r="AC15" s="70"/>
      <c r="AD15" s="71"/>
      <c r="AE15" s="233"/>
      <c r="AF15" s="72"/>
      <c r="AG15" s="73">
        <v>1.492</v>
      </c>
      <c r="AH15" s="74">
        <v>7.5196799999999994E-2</v>
      </c>
      <c r="AI15" s="74">
        <v>0</v>
      </c>
      <c r="AJ15" s="74">
        <v>7.5196799999999994E-2</v>
      </c>
      <c r="AK15" s="74">
        <v>0</v>
      </c>
      <c r="AL15" s="75">
        <v>0</v>
      </c>
      <c r="AM15" s="202">
        <f t="shared" si="9"/>
        <v>4.549358404268835E-6</v>
      </c>
      <c r="AN15" s="202">
        <f t="shared" si="10"/>
        <v>0</v>
      </c>
      <c r="AO15" s="202">
        <f t="shared" si="11"/>
        <v>4.549358404268835E-6</v>
      </c>
      <c r="AP15" s="202">
        <f t="shared" si="12"/>
        <v>0</v>
      </c>
      <c r="AQ15" s="202">
        <f t="shared" si="13"/>
        <v>0</v>
      </c>
      <c r="AR15" s="208" t="s">
        <v>97</v>
      </c>
      <c r="AS15" s="216" t="s">
        <v>1659</v>
      </c>
      <c r="AT15" s="234">
        <v>327310</v>
      </c>
      <c r="AU15" s="244">
        <f t="shared" si="14"/>
        <v>7.5196799999999994E-2</v>
      </c>
      <c r="AV15" s="244">
        <f t="shared" si="15"/>
        <v>0</v>
      </c>
      <c r="AW15" s="244">
        <f t="shared" si="16"/>
        <v>7.5196799999999994E-2</v>
      </c>
      <c r="AX15" s="244">
        <f t="shared" si="17"/>
        <v>0</v>
      </c>
      <c r="AY15" s="244">
        <f t="shared" si="18"/>
        <v>0</v>
      </c>
      <c r="AZ15">
        <v>6.142024013722127E-5</v>
      </c>
    </row>
    <row r="16" spans="1:52" ht="15" customHeight="1" x14ac:dyDescent="0.35">
      <c r="A16" s="66" t="s">
        <v>97</v>
      </c>
      <c r="B16" s="67" t="s">
        <v>98</v>
      </c>
      <c r="C16" s="67" t="s">
        <v>108</v>
      </c>
      <c r="D16" s="67" t="s">
        <v>109</v>
      </c>
      <c r="E16" s="67" t="s">
        <v>109</v>
      </c>
      <c r="F16" s="67" t="s">
        <v>107</v>
      </c>
      <c r="G16" s="67" t="s">
        <v>52</v>
      </c>
      <c r="H16" s="67" t="s">
        <v>110</v>
      </c>
      <c r="I16" s="67" t="s">
        <v>111</v>
      </c>
      <c r="J16" s="76"/>
      <c r="K16" s="228">
        <v>40</v>
      </c>
      <c r="L16" s="269"/>
      <c r="M16" s="269"/>
      <c r="N16" s="269"/>
      <c r="O16" s="269">
        <v>1.7</v>
      </c>
      <c r="P16" s="269"/>
      <c r="Q16" s="269"/>
      <c r="R16" s="269" t="s">
        <v>112</v>
      </c>
      <c r="S16" s="233" t="s">
        <v>105</v>
      </c>
      <c r="T16" s="70"/>
      <c r="U16" s="238">
        <f t="shared" si="4"/>
        <v>1.26E-2</v>
      </c>
      <c r="V16" s="238">
        <f t="shared" si="5"/>
        <v>0</v>
      </c>
      <c r="W16" s="238">
        <f t="shared" si="6"/>
        <v>1.26E-2</v>
      </c>
      <c r="X16" s="238">
        <f t="shared" si="7"/>
        <v>0</v>
      </c>
      <c r="Y16" s="238">
        <f t="shared" si="8"/>
        <v>0</v>
      </c>
      <c r="Z16" s="70">
        <v>1.26E-2</v>
      </c>
      <c r="AA16" s="70"/>
      <c r="AB16" s="70">
        <v>1.26E-2</v>
      </c>
      <c r="AC16" s="70"/>
      <c r="AD16" s="71"/>
      <c r="AE16" s="233"/>
      <c r="AF16" s="72"/>
      <c r="AG16" s="73">
        <v>1.492</v>
      </c>
      <c r="AH16" s="74">
        <v>1.8799199999999999E-2</v>
      </c>
      <c r="AI16" s="74">
        <v>0</v>
      </c>
      <c r="AJ16" s="74">
        <v>1.8799199999999999E-2</v>
      </c>
      <c r="AK16" s="74">
        <v>0</v>
      </c>
      <c r="AL16" s="75">
        <v>0</v>
      </c>
      <c r="AM16" s="202">
        <f t="shared" si="9"/>
        <v>1.1373396010672088E-6</v>
      </c>
      <c r="AN16" s="202">
        <f t="shared" si="10"/>
        <v>0</v>
      </c>
      <c r="AO16" s="202">
        <f t="shared" si="11"/>
        <v>1.1373396010672088E-6</v>
      </c>
      <c r="AP16" s="202">
        <f t="shared" si="12"/>
        <v>0</v>
      </c>
      <c r="AQ16" s="202">
        <f t="shared" si="13"/>
        <v>0</v>
      </c>
      <c r="AR16" s="208" t="s">
        <v>97</v>
      </c>
      <c r="AS16" s="216" t="s">
        <v>1659</v>
      </c>
      <c r="AT16" s="234">
        <v>327310</v>
      </c>
      <c r="AU16" s="244">
        <f t="shared" si="14"/>
        <v>1.8799199999999999E-2</v>
      </c>
      <c r="AV16" s="244">
        <f t="shared" si="15"/>
        <v>0</v>
      </c>
      <c r="AW16" s="244">
        <f t="shared" si="16"/>
        <v>1.8799199999999999E-2</v>
      </c>
      <c r="AX16" s="244">
        <f t="shared" si="17"/>
        <v>0</v>
      </c>
      <c r="AY16" s="244">
        <f t="shared" si="18"/>
        <v>0</v>
      </c>
      <c r="AZ16">
        <v>1.5355060034305318E-5</v>
      </c>
    </row>
    <row r="17" spans="1:52" ht="15" customHeight="1" x14ac:dyDescent="0.35">
      <c r="A17" s="66" t="s">
        <v>97</v>
      </c>
      <c r="B17" s="67" t="s">
        <v>98</v>
      </c>
      <c r="C17" s="67" t="s">
        <v>48</v>
      </c>
      <c r="D17" s="67" t="s">
        <v>113</v>
      </c>
      <c r="E17" s="67" t="s">
        <v>113</v>
      </c>
      <c r="F17" s="67" t="s">
        <v>114</v>
      </c>
      <c r="G17" s="67" t="s">
        <v>52</v>
      </c>
      <c r="H17" s="67" t="s">
        <v>115</v>
      </c>
      <c r="I17" s="67" t="s">
        <v>116</v>
      </c>
      <c r="J17" s="68">
        <v>0.5</v>
      </c>
      <c r="K17" s="228">
        <f t="shared" si="3"/>
        <v>1450</v>
      </c>
      <c r="L17" s="269">
        <v>1450</v>
      </c>
      <c r="M17" s="269"/>
      <c r="N17" s="269"/>
      <c r="O17" s="269"/>
      <c r="P17" s="269"/>
      <c r="Q17" s="269"/>
      <c r="R17" s="269" t="s">
        <v>117</v>
      </c>
      <c r="S17" s="233" t="s">
        <v>105</v>
      </c>
      <c r="T17" s="70"/>
      <c r="U17" s="238">
        <f t="shared" si="4"/>
        <v>6.3340000000000005</v>
      </c>
      <c r="V17" s="238">
        <f t="shared" si="5"/>
        <v>0</v>
      </c>
      <c r="W17" s="238">
        <f t="shared" si="6"/>
        <v>5.3999999999999999E-2</v>
      </c>
      <c r="X17" s="238">
        <f t="shared" si="7"/>
        <v>6.28</v>
      </c>
      <c r="Y17" s="238">
        <f t="shared" si="8"/>
        <v>0</v>
      </c>
      <c r="Z17" s="70">
        <v>6.3340000000000005</v>
      </c>
      <c r="AA17" s="70"/>
      <c r="AB17" s="70">
        <v>5.3999999999999999E-2</v>
      </c>
      <c r="AC17" s="70">
        <v>6.28</v>
      </c>
      <c r="AD17" s="71"/>
      <c r="AE17" s="233"/>
      <c r="AF17" s="72"/>
      <c r="AG17" s="73">
        <v>1.492</v>
      </c>
      <c r="AH17" s="74">
        <v>9.4503280000000007</v>
      </c>
      <c r="AI17" s="74">
        <v>0</v>
      </c>
      <c r="AJ17" s="74">
        <v>8.0568000000000001E-2</v>
      </c>
      <c r="AK17" s="74">
        <v>9.3697600000000012</v>
      </c>
      <c r="AL17" s="75">
        <v>0</v>
      </c>
      <c r="AM17" s="202">
        <f t="shared" si="9"/>
        <v>5.7173881215553187E-4</v>
      </c>
      <c r="AN17" s="202">
        <f t="shared" si="10"/>
        <v>0</v>
      </c>
      <c r="AO17" s="202">
        <f t="shared" si="11"/>
        <v>4.8743125760023234E-6</v>
      </c>
      <c r="AP17" s="202">
        <f t="shared" si="12"/>
        <v>5.6686449957952959E-4</v>
      </c>
      <c r="AQ17" s="202">
        <f t="shared" si="13"/>
        <v>0</v>
      </c>
      <c r="AR17" s="208" t="s">
        <v>97</v>
      </c>
      <c r="AS17" s="216" t="s">
        <v>1659</v>
      </c>
      <c r="AT17" s="234">
        <v>327310</v>
      </c>
      <c r="AU17" s="244">
        <f t="shared" si="14"/>
        <v>9.4503280000000007</v>
      </c>
      <c r="AV17" s="244">
        <f t="shared" si="15"/>
        <v>0</v>
      </c>
      <c r="AW17" s="244">
        <f t="shared" si="16"/>
        <v>8.0568000000000001E-2</v>
      </c>
      <c r="AX17" s="244">
        <f t="shared" si="17"/>
        <v>9.3697600000000012</v>
      </c>
      <c r="AY17" s="244">
        <f t="shared" si="18"/>
        <v>0</v>
      </c>
      <c r="AZ17">
        <v>7.7189643061341181E-3</v>
      </c>
    </row>
    <row r="18" spans="1:52" ht="15" customHeight="1" x14ac:dyDescent="0.35">
      <c r="A18" s="66" t="s">
        <v>97</v>
      </c>
      <c r="B18" s="67" t="s">
        <v>98</v>
      </c>
      <c r="C18" s="67" t="s">
        <v>67</v>
      </c>
      <c r="D18" s="67" t="s">
        <v>67</v>
      </c>
      <c r="E18" s="67" t="s">
        <v>118</v>
      </c>
      <c r="F18" s="67" t="s">
        <v>114</v>
      </c>
      <c r="G18" s="67" t="s">
        <v>52</v>
      </c>
      <c r="H18" s="67" t="s">
        <v>119</v>
      </c>
      <c r="I18" s="67" t="s">
        <v>120</v>
      </c>
      <c r="J18" s="68">
        <v>0.8</v>
      </c>
      <c r="K18" s="228">
        <f t="shared" si="3"/>
        <v>100</v>
      </c>
      <c r="L18" s="269">
        <v>100</v>
      </c>
      <c r="M18" s="269">
        <v>1450</v>
      </c>
      <c r="N18" s="269">
        <v>100</v>
      </c>
      <c r="O18" s="269"/>
      <c r="P18" s="269"/>
      <c r="Q18" s="269"/>
      <c r="R18" s="269" t="s">
        <v>121</v>
      </c>
      <c r="S18" s="233" t="s">
        <v>105</v>
      </c>
      <c r="T18" s="70"/>
      <c r="U18" s="238">
        <f t="shared" si="4"/>
        <v>2.52E-2</v>
      </c>
      <c r="V18" s="238">
        <f t="shared" si="5"/>
        <v>0</v>
      </c>
      <c r="W18" s="238">
        <f t="shared" si="6"/>
        <v>2.52E-2</v>
      </c>
      <c r="X18" s="238">
        <f t="shared" si="7"/>
        <v>0</v>
      </c>
      <c r="Y18" s="238">
        <f t="shared" si="8"/>
        <v>0</v>
      </c>
      <c r="Z18" s="70">
        <v>2.52E-2</v>
      </c>
      <c r="AA18" s="70"/>
      <c r="AB18" s="70">
        <v>2.52E-2</v>
      </c>
      <c r="AC18" s="70"/>
      <c r="AD18" s="71"/>
      <c r="AE18" s="233"/>
      <c r="AF18" s="72"/>
      <c r="AG18" s="73">
        <v>1.492</v>
      </c>
      <c r="AH18" s="74">
        <v>3.7598399999999997E-2</v>
      </c>
      <c r="AI18" s="74">
        <v>0</v>
      </c>
      <c r="AJ18" s="74">
        <v>3.7598399999999997E-2</v>
      </c>
      <c r="AK18" s="74">
        <v>0</v>
      </c>
      <c r="AL18" s="75">
        <v>0</v>
      </c>
      <c r="AM18" s="202">
        <f t="shared" si="9"/>
        <v>2.2746792021344175E-6</v>
      </c>
      <c r="AN18" s="202">
        <f t="shared" si="10"/>
        <v>0</v>
      </c>
      <c r="AO18" s="202">
        <f t="shared" si="11"/>
        <v>2.2746792021344175E-6</v>
      </c>
      <c r="AP18" s="202">
        <f t="shared" si="12"/>
        <v>0</v>
      </c>
      <c r="AQ18" s="202">
        <f t="shared" si="13"/>
        <v>0</v>
      </c>
      <c r="AR18" s="208" t="s">
        <v>97</v>
      </c>
      <c r="AS18" s="216" t="s">
        <v>1659</v>
      </c>
      <c r="AT18" s="234">
        <v>327310</v>
      </c>
      <c r="AU18" s="244">
        <f t="shared" si="14"/>
        <v>3.7598399999999997E-2</v>
      </c>
      <c r="AV18" s="244">
        <f t="shared" si="15"/>
        <v>0</v>
      </c>
      <c r="AW18" s="244">
        <f t="shared" si="16"/>
        <v>3.7598399999999997E-2</v>
      </c>
      <c r="AX18" s="244">
        <f t="shared" si="17"/>
        <v>0</v>
      </c>
      <c r="AY18" s="244">
        <f t="shared" si="18"/>
        <v>0</v>
      </c>
      <c r="AZ18">
        <v>3.0710120068610635E-5</v>
      </c>
    </row>
    <row r="19" spans="1:52" ht="15" customHeight="1" x14ac:dyDescent="0.35">
      <c r="A19" s="66" t="s">
        <v>97</v>
      </c>
      <c r="B19" s="67" t="s">
        <v>98</v>
      </c>
      <c r="C19" s="67" t="s">
        <v>99</v>
      </c>
      <c r="D19" s="67" t="s">
        <v>100</v>
      </c>
      <c r="E19" s="67" t="s">
        <v>122</v>
      </c>
      <c r="F19" s="67" t="s">
        <v>123</v>
      </c>
      <c r="G19" s="67" t="s">
        <v>52</v>
      </c>
      <c r="H19" s="67" t="s">
        <v>103</v>
      </c>
      <c r="I19" s="67" t="s">
        <v>104</v>
      </c>
      <c r="J19" s="76"/>
      <c r="K19" s="228">
        <v>100</v>
      </c>
      <c r="L19" s="269"/>
      <c r="M19" s="269"/>
      <c r="N19" s="269"/>
      <c r="O19" s="269"/>
      <c r="P19" s="269"/>
      <c r="Q19" s="269"/>
      <c r="R19" s="269"/>
      <c r="S19" s="233" t="s">
        <v>105</v>
      </c>
      <c r="T19" s="70"/>
      <c r="U19" s="238">
        <f t="shared" si="4"/>
        <v>0.23760000000000001</v>
      </c>
      <c r="V19" s="238">
        <f t="shared" si="5"/>
        <v>0</v>
      </c>
      <c r="W19" s="238">
        <f t="shared" si="6"/>
        <v>0.23760000000000001</v>
      </c>
      <c r="X19" s="238">
        <f t="shared" si="7"/>
        <v>0</v>
      </c>
      <c r="Y19" s="238">
        <f t="shared" si="8"/>
        <v>0</v>
      </c>
      <c r="Z19" s="70">
        <v>0.23760000000000001</v>
      </c>
      <c r="AA19" s="70"/>
      <c r="AB19" s="70">
        <v>0.23760000000000001</v>
      </c>
      <c r="AC19" s="70"/>
      <c r="AD19" s="71"/>
      <c r="AE19" s="233"/>
      <c r="AF19" s="72"/>
      <c r="AG19" s="73">
        <v>1.492</v>
      </c>
      <c r="AH19" s="74">
        <v>0.35449920000000001</v>
      </c>
      <c r="AI19" s="74">
        <v>0</v>
      </c>
      <c r="AJ19" s="74">
        <v>0.35449920000000001</v>
      </c>
      <c r="AK19" s="74">
        <v>0</v>
      </c>
      <c r="AL19" s="75">
        <v>0</v>
      </c>
      <c r="AM19" s="202">
        <f t="shared" si="9"/>
        <v>2.1446975334410225E-5</v>
      </c>
      <c r="AN19" s="202">
        <f t="shared" si="10"/>
        <v>0</v>
      </c>
      <c r="AO19" s="202">
        <f t="shared" si="11"/>
        <v>2.1446975334410225E-5</v>
      </c>
      <c r="AP19" s="202">
        <f t="shared" si="12"/>
        <v>0</v>
      </c>
      <c r="AQ19" s="202">
        <f t="shared" si="13"/>
        <v>0</v>
      </c>
      <c r="AR19" s="208" t="s">
        <v>97</v>
      </c>
      <c r="AS19" s="216" t="s">
        <v>1659</v>
      </c>
      <c r="AT19" s="234">
        <v>327310</v>
      </c>
      <c r="AU19" s="244">
        <f t="shared" si="14"/>
        <v>0.35449920000000001</v>
      </c>
      <c r="AV19" s="244">
        <f t="shared" si="15"/>
        <v>0</v>
      </c>
      <c r="AW19" s="244">
        <f t="shared" si="16"/>
        <v>0.35449920000000001</v>
      </c>
      <c r="AX19" s="244">
        <f t="shared" si="17"/>
        <v>0</v>
      </c>
      <c r="AY19" s="244">
        <f t="shared" si="18"/>
        <v>0</v>
      </c>
      <c r="AZ19">
        <v>2.8955256064690027E-4</v>
      </c>
    </row>
    <row r="20" spans="1:52" ht="15" customHeight="1" x14ac:dyDescent="0.35">
      <c r="A20" s="77" t="s">
        <v>97</v>
      </c>
      <c r="B20" s="78" t="s">
        <v>98</v>
      </c>
      <c r="C20" s="67" t="s">
        <v>124</v>
      </c>
      <c r="D20" s="78" t="s">
        <v>124</v>
      </c>
      <c r="E20" s="78" t="s">
        <v>124</v>
      </c>
      <c r="F20" s="78" t="s">
        <v>123</v>
      </c>
      <c r="G20" s="78" t="s">
        <v>52</v>
      </c>
      <c r="H20" s="78" t="s">
        <v>125</v>
      </c>
      <c r="I20" s="78" t="s">
        <v>125</v>
      </c>
      <c r="J20" s="79"/>
      <c r="K20" s="228">
        <v>30</v>
      </c>
      <c r="L20" s="269"/>
      <c r="M20" s="269"/>
      <c r="N20" s="269"/>
      <c r="O20" s="269"/>
      <c r="P20" s="269"/>
      <c r="Q20" s="269"/>
      <c r="R20" s="269"/>
      <c r="S20" s="81" t="s">
        <v>105</v>
      </c>
      <c r="T20" s="82"/>
      <c r="U20" s="238">
        <f t="shared" si="4"/>
        <v>5.4000000000000003E-3</v>
      </c>
      <c r="V20" s="238">
        <f t="shared" si="5"/>
        <v>0</v>
      </c>
      <c r="W20" s="238">
        <f t="shared" si="6"/>
        <v>5.4000000000000003E-3</v>
      </c>
      <c r="X20" s="238">
        <f t="shared" si="7"/>
        <v>0</v>
      </c>
      <c r="Y20" s="238">
        <f t="shared" si="8"/>
        <v>0</v>
      </c>
      <c r="Z20" s="70">
        <v>5.4000000000000003E-3</v>
      </c>
      <c r="AA20" s="70"/>
      <c r="AB20" s="70">
        <v>5.4000000000000003E-3</v>
      </c>
      <c r="AC20" s="70"/>
      <c r="AD20" s="71"/>
      <c r="AE20" s="81"/>
      <c r="AF20" s="84"/>
      <c r="AG20" s="85">
        <v>1.492</v>
      </c>
      <c r="AH20" s="86">
        <v>8.0568000000000011E-3</v>
      </c>
      <c r="AI20" s="86">
        <v>0</v>
      </c>
      <c r="AJ20" s="86">
        <v>8.0568000000000011E-3</v>
      </c>
      <c r="AK20" s="86">
        <v>0</v>
      </c>
      <c r="AL20" s="87">
        <v>0</v>
      </c>
      <c r="AM20" s="202">
        <f t="shared" si="9"/>
        <v>4.874312576002324E-7</v>
      </c>
      <c r="AN20" s="202">
        <f t="shared" si="10"/>
        <v>0</v>
      </c>
      <c r="AO20" s="202">
        <f t="shared" si="11"/>
        <v>4.874312576002324E-7</v>
      </c>
      <c r="AP20" s="202">
        <f t="shared" si="12"/>
        <v>0</v>
      </c>
      <c r="AQ20" s="202">
        <f t="shared" si="13"/>
        <v>0</v>
      </c>
      <c r="AR20" s="212" t="s">
        <v>97</v>
      </c>
      <c r="AS20" s="216" t="s">
        <v>1659</v>
      </c>
      <c r="AT20" s="234">
        <v>327310</v>
      </c>
      <c r="AU20" s="244">
        <f t="shared" si="14"/>
        <v>8.0568000000000011E-3</v>
      </c>
      <c r="AV20" s="244">
        <f t="shared" si="15"/>
        <v>0</v>
      </c>
      <c r="AW20" s="244">
        <f t="shared" si="16"/>
        <v>8.0568000000000011E-3</v>
      </c>
      <c r="AX20" s="244">
        <f t="shared" si="17"/>
        <v>0</v>
      </c>
      <c r="AY20" s="244">
        <f t="shared" si="18"/>
        <v>0</v>
      </c>
      <c r="AZ20">
        <v>6.5807400147022801E-6</v>
      </c>
    </row>
    <row r="21" spans="1:52" ht="15" customHeight="1" x14ac:dyDescent="0.35">
      <c r="A21" s="66" t="s">
        <v>97</v>
      </c>
      <c r="B21" s="67" t="s">
        <v>126</v>
      </c>
      <c r="C21" s="57" t="s">
        <v>99</v>
      </c>
      <c r="D21" s="67" t="s">
        <v>100</v>
      </c>
      <c r="E21" s="67" t="s">
        <v>101</v>
      </c>
      <c r="F21" s="67" t="s">
        <v>102</v>
      </c>
      <c r="G21" s="67" t="s">
        <v>52</v>
      </c>
      <c r="H21" s="67" t="s">
        <v>103</v>
      </c>
      <c r="I21" s="67" t="s">
        <v>104</v>
      </c>
      <c r="J21" s="76"/>
      <c r="K21" s="228">
        <v>100</v>
      </c>
      <c r="L21" s="269"/>
      <c r="M21" s="269"/>
      <c r="N21" s="269"/>
      <c r="O21" s="269"/>
      <c r="P21" s="269"/>
      <c r="Q21" s="269"/>
      <c r="R21" s="269"/>
      <c r="S21" s="233" t="s">
        <v>105</v>
      </c>
      <c r="T21" s="70"/>
      <c r="U21" s="238">
        <f t="shared" si="4"/>
        <v>1.7999999999999999E-2</v>
      </c>
      <c r="V21" s="238">
        <f t="shared" si="5"/>
        <v>0</v>
      </c>
      <c r="W21" s="238">
        <f t="shared" si="6"/>
        <v>1.7999999999999999E-2</v>
      </c>
      <c r="X21" s="238">
        <f t="shared" si="7"/>
        <v>0</v>
      </c>
      <c r="Y21" s="238">
        <f t="shared" si="8"/>
        <v>0</v>
      </c>
      <c r="Z21" s="82">
        <v>1.7999999999999999E-2</v>
      </c>
      <c r="AA21" s="82"/>
      <c r="AB21" s="82">
        <v>1.7999999999999999E-2</v>
      </c>
      <c r="AC21" s="82"/>
      <c r="AD21" s="83"/>
      <c r="AE21" s="233"/>
      <c r="AF21" s="72"/>
      <c r="AG21" s="73">
        <v>4.2795103780000003</v>
      </c>
      <c r="AH21" s="74">
        <v>7.7031186804000007E-2</v>
      </c>
      <c r="AI21" s="74">
        <v>0</v>
      </c>
      <c r="AJ21" s="74">
        <v>7.7031186804000007E-2</v>
      </c>
      <c r="AK21" s="74">
        <v>0</v>
      </c>
      <c r="AL21" s="75">
        <v>0</v>
      </c>
      <c r="AM21" s="202">
        <f t="shared" si="9"/>
        <v>4.6603376350799509E-6</v>
      </c>
      <c r="AN21" s="202">
        <f t="shared" si="10"/>
        <v>0</v>
      </c>
      <c r="AO21" s="202">
        <f t="shared" si="11"/>
        <v>4.6603376350799509E-6</v>
      </c>
      <c r="AP21" s="202">
        <f t="shared" si="12"/>
        <v>0</v>
      </c>
      <c r="AQ21" s="202">
        <f t="shared" si="13"/>
        <v>0</v>
      </c>
      <c r="AR21" s="208" t="s">
        <v>97</v>
      </c>
      <c r="AS21" s="216" t="s">
        <v>1659</v>
      </c>
      <c r="AT21" s="234">
        <v>327310</v>
      </c>
      <c r="AU21" s="244">
        <f t="shared" si="14"/>
        <v>7.7031186804000007E-2</v>
      </c>
      <c r="AV21" s="244">
        <f t="shared" si="15"/>
        <v>0</v>
      </c>
      <c r="AW21" s="244">
        <f t="shared" si="16"/>
        <v>7.7031186804000007E-2</v>
      </c>
      <c r="AX21" s="244">
        <f t="shared" si="17"/>
        <v>0</v>
      </c>
      <c r="AY21" s="244">
        <f t="shared" si="18"/>
        <v>0</v>
      </c>
      <c r="AZ21">
        <v>6.2918554932614559E-5</v>
      </c>
    </row>
    <row r="22" spans="1:52" ht="15" customHeight="1" x14ac:dyDescent="0.35">
      <c r="A22" s="66" t="s">
        <v>97</v>
      </c>
      <c r="B22" s="67" t="s">
        <v>126</v>
      </c>
      <c r="C22" s="67" t="s">
        <v>99</v>
      </c>
      <c r="D22" s="67" t="s">
        <v>100</v>
      </c>
      <c r="E22" s="67" t="s">
        <v>106</v>
      </c>
      <c r="F22" s="67" t="s">
        <v>107</v>
      </c>
      <c r="G22" s="67" t="s">
        <v>52</v>
      </c>
      <c r="H22" s="67" t="s">
        <v>103</v>
      </c>
      <c r="I22" s="67" t="s">
        <v>104</v>
      </c>
      <c r="J22" s="76"/>
      <c r="K22" s="228">
        <v>100</v>
      </c>
      <c r="L22" s="269"/>
      <c r="M22" s="269"/>
      <c r="N22" s="269"/>
      <c r="O22" s="269"/>
      <c r="P22" s="269"/>
      <c r="Q22" s="269"/>
      <c r="R22" s="269"/>
      <c r="S22" s="233" t="s">
        <v>105</v>
      </c>
      <c r="T22" s="70">
        <v>1.6</v>
      </c>
      <c r="U22" s="238">
        <f t="shared" si="4"/>
        <v>5.04E-2</v>
      </c>
      <c r="V22" s="238">
        <f t="shared" si="5"/>
        <v>0</v>
      </c>
      <c r="W22" s="238">
        <f t="shared" si="6"/>
        <v>5.04E-2</v>
      </c>
      <c r="X22" s="238">
        <f t="shared" si="7"/>
        <v>0</v>
      </c>
      <c r="Y22" s="238">
        <f t="shared" si="8"/>
        <v>0</v>
      </c>
      <c r="Z22" s="70">
        <v>5.04E-2</v>
      </c>
      <c r="AA22" s="70"/>
      <c r="AB22" s="70">
        <v>5.04E-2</v>
      </c>
      <c r="AC22" s="70"/>
      <c r="AD22" s="71"/>
      <c r="AE22" s="233"/>
      <c r="AF22" s="72"/>
      <c r="AG22" s="73">
        <v>4.2795103780000003</v>
      </c>
      <c r="AH22" s="74">
        <v>0.21568732305120003</v>
      </c>
      <c r="AI22" s="74">
        <v>0</v>
      </c>
      <c r="AJ22" s="74">
        <v>0.21568732305120003</v>
      </c>
      <c r="AK22" s="74">
        <v>0</v>
      </c>
      <c r="AL22" s="75">
        <v>0</v>
      </c>
      <c r="AM22" s="202">
        <f t="shared" si="9"/>
        <v>1.3048945378223863E-5</v>
      </c>
      <c r="AN22" s="202">
        <f t="shared" si="10"/>
        <v>0</v>
      </c>
      <c r="AO22" s="202">
        <f t="shared" si="11"/>
        <v>1.3048945378223863E-5</v>
      </c>
      <c r="AP22" s="202">
        <f t="shared" si="12"/>
        <v>0</v>
      </c>
      <c r="AQ22" s="202">
        <f t="shared" si="13"/>
        <v>0</v>
      </c>
      <c r="AR22" s="208" t="s">
        <v>97</v>
      </c>
      <c r="AS22" s="216" t="s">
        <v>1659</v>
      </c>
      <c r="AT22" s="234">
        <v>327310</v>
      </c>
      <c r="AU22" s="244">
        <f t="shared" si="14"/>
        <v>0.21568732305120003</v>
      </c>
      <c r="AV22" s="244">
        <f t="shared" si="15"/>
        <v>0</v>
      </c>
      <c r="AW22" s="244">
        <f t="shared" si="16"/>
        <v>0.21568732305120003</v>
      </c>
      <c r="AX22" s="244">
        <f t="shared" si="17"/>
        <v>0</v>
      </c>
      <c r="AY22" s="244">
        <f t="shared" si="18"/>
        <v>0</v>
      </c>
      <c r="AZ22">
        <v>1.7617195381132078E-4</v>
      </c>
    </row>
    <row r="23" spans="1:52" ht="15" customHeight="1" x14ac:dyDescent="0.35">
      <c r="A23" s="66" t="s">
        <v>97</v>
      </c>
      <c r="B23" s="67" t="s">
        <v>126</v>
      </c>
      <c r="C23" s="67" t="s">
        <v>108</v>
      </c>
      <c r="D23" s="67" t="s">
        <v>109</v>
      </c>
      <c r="E23" s="67" t="s">
        <v>109</v>
      </c>
      <c r="F23" s="67" t="s">
        <v>107</v>
      </c>
      <c r="G23" s="67" t="s">
        <v>52</v>
      </c>
      <c r="H23" s="67" t="s">
        <v>110</v>
      </c>
      <c r="I23" s="67" t="s">
        <v>127</v>
      </c>
      <c r="J23" s="76"/>
      <c r="K23" s="228">
        <v>40</v>
      </c>
      <c r="L23" s="269"/>
      <c r="M23" s="269"/>
      <c r="N23" s="269"/>
      <c r="O23" s="269">
        <v>1.7</v>
      </c>
      <c r="P23" s="269"/>
      <c r="Q23" s="269"/>
      <c r="R23" s="269" t="s">
        <v>112</v>
      </c>
      <c r="S23" s="233" t="s">
        <v>105</v>
      </c>
      <c r="T23" s="70"/>
      <c r="U23" s="238">
        <f t="shared" si="4"/>
        <v>1.26E-2</v>
      </c>
      <c r="V23" s="238">
        <f t="shared" si="5"/>
        <v>0</v>
      </c>
      <c r="W23" s="238">
        <f t="shared" si="6"/>
        <v>1.26E-2</v>
      </c>
      <c r="X23" s="238">
        <f t="shared" si="7"/>
        <v>0</v>
      </c>
      <c r="Y23" s="238">
        <f t="shared" si="8"/>
        <v>0</v>
      </c>
      <c r="Z23" s="70">
        <v>1.26E-2</v>
      </c>
      <c r="AA23" s="70"/>
      <c r="AB23" s="70">
        <v>1.26E-2</v>
      </c>
      <c r="AC23" s="70"/>
      <c r="AD23" s="71"/>
      <c r="AE23" s="233"/>
      <c r="AF23" s="72"/>
      <c r="AG23" s="73">
        <v>4.2795103780000003</v>
      </c>
      <c r="AH23" s="74">
        <v>5.3921830762800008E-2</v>
      </c>
      <c r="AI23" s="74">
        <v>0</v>
      </c>
      <c r="AJ23" s="74">
        <v>5.3921830762800008E-2</v>
      </c>
      <c r="AK23" s="74">
        <v>0</v>
      </c>
      <c r="AL23" s="75">
        <v>0</v>
      </c>
      <c r="AM23" s="202">
        <f t="shared" si="9"/>
        <v>3.2622363445559657E-6</v>
      </c>
      <c r="AN23" s="202">
        <f t="shared" si="10"/>
        <v>0</v>
      </c>
      <c r="AO23" s="202">
        <f t="shared" si="11"/>
        <v>3.2622363445559657E-6</v>
      </c>
      <c r="AP23" s="202">
        <f t="shared" si="12"/>
        <v>0</v>
      </c>
      <c r="AQ23" s="202">
        <f t="shared" si="13"/>
        <v>0</v>
      </c>
      <c r="AR23" s="208" t="s">
        <v>97</v>
      </c>
      <c r="AS23" s="216" t="s">
        <v>1659</v>
      </c>
      <c r="AT23" s="234">
        <v>327310</v>
      </c>
      <c r="AU23" s="244">
        <f t="shared" si="14"/>
        <v>5.3921830762800008E-2</v>
      </c>
      <c r="AV23" s="244">
        <f t="shared" si="15"/>
        <v>0</v>
      </c>
      <c r="AW23" s="244">
        <f t="shared" si="16"/>
        <v>5.3921830762800008E-2</v>
      </c>
      <c r="AX23" s="244">
        <f t="shared" si="17"/>
        <v>0</v>
      </c>
      <c r="AY23" s="244">
        <f t="shared" si="18"/>
        <v>0</v>
      </c>
      <c r="AZ23">
        <v>4.4042988452830196E-5</v>
      </c>
    </row>
    <row r="24" spans="1:52" ht="15" customHeight="1" x14ac:dyDescent="0.35">
      <c r="A24" s="66" t="s">
        <v>97</v>
      </c>
      <c r="B24" s="67" t="s">
        <v>126</v>
      </c>
      <c r="C24" s="67" t="s">
        <v>48</v>
      </c>
      <c r="D24" s="67" t="s">
        <v>113</v>
      </c>
      <c r="E24" s="67" t="s">
        <v>113</v>
      </c>
      <c r="F24" s="67" t="s">
        <v>114</v>
      </c>
      <c r="G24" s="67" t="s">
        <v>52</v>
      </c>
      <c r="H24" s="67" t="s">
        <v>115</v>
      </c>
      <c r="I24" s="67" t="s">
        <v>116</v>
      </c>
      <c r="J24" s="68">
        <v>0.63</v>
      </c>
      <c r="K24" s="228">
        <f t="shared" si="3"/>
        <v>1450</v>
      </c>
      <c r="L24" s="269">
        <v>1450</v>
      </c>
      <c r="M24" s="269"/>
      <c r="N24" s="269"/>
      <c r="O24" s="269"/>
      <c r="P24" s="269"/>
      <c r="Q24" s="269"/>
      <c r="R24" s="269" t="s">
        <v>128</v>
      </c>
      <c r="S24" s="233" t="s">
        <v>105</v>
      </c>
      <c r="T24" s="70"/>
      <c r="U24" s="238">
        <f t="shared" si="4"/>
        <v>5.1612</v>
      </c>
      <c r="V24" s="238">
        <f t="shared" si="5"/>
        <v>0</v>
      </c>
      <c r="W24" s="238">
        <f t="shared" si="6"/>
        <v>6.1199999999999997E-2</v>
      </c>
      <c r="X24" s="238">
        <f t="shared" si="7"/>
        <v>5.0999999999999996</v>
      </c>
      <c r="Y24" s="238">
        <f t="shared" si="8"/>
        <v>0</v>
      </c>
      <c r="Z24" s="70">
        <v>5.1612</v>
      </c>
      <c r="AA24" s="70"/>
      <c r="AB24" s="70">
        <v>6.1199999999999997E-2</v>
      </c>
      <c r="AC24" s="70">
        <v>5.0999999999999996</v>
      </c>
      <c r="AD24" s="71"/>
      <c r="AE24" s="88"/>
      <c r="AF24" s="72"/>
      <c r="AG24" s="73">
        <v>4.2795103780000003</v>
      </c>
      <c r="AH24" s="74">
        <v>22.087408962933601</v>
      </c>
      <c r="AI24" s="74">
        <v>0</v>
      </c>
      <c r="AJ24" s="74">
        <v>0.2619060351336</v>
      </c>
      <c r="AK24" s="74">
        <v>21.825502927799999</v>
      </c>
      <c r="AL24" s="75">
        <v>0</v>
      </c>
      <c r="AM24" s="202">
        <f t="shared" si="9"/>
        <v>1.3362741445652579E-3</v>
      </c>
      <c r="AN24" s="202">
        <f t="shared" si="10"/>
        <v>0</v>
      </c>
      <c r="AO24" s="202">
        <f t="shared" si="11"/>
        <v>1.584514795927183E-5</v>
      </c>
      <c r="AP24" s="202">
        <f t="shared" si="12"/>
        <v>1.3204289966059859E-3</v>
      </c>
      <c r="AQ24" s="202">
        <f t="shared" si="13"/>
        <v>0</v>
      </c>
      <c r="AR24" s="208" t="s">
        <v>97</v>
      </c>
      <c r="AS24" s="216" t="s">
        <v>1659</v>
      </c>
      <c r="AT24" s="234">
        <v>327310</v>
      </c>
      <c r="AU24" s="244">
        <f t="shared" si="14"/>
        <v>22.087408962933601</v>
      </c>
      <c r="AV24" s="244">
        <f t="shared" si="15"/>
        <v>0</v>
      </c>
      <c r="AW24" s="244">
        <f t="shared" si="16"/>
        <v>0.2619060351336</v>
      </c>
      <c r="AX24" s="244">
        <f t="shared" si="17"/>
        <v>21.825502927799999</v>
      </c>
      <c r="AY24" s="244">
        <f t="shared" si="18"/>
        <v>0</v>
      </c>
      <c r="AZ24">
        <v>1.8040846984345014E-2</v>
      </c>
    </row>
    <row r="25" spans="1:52" ht="15" customHeight="1" x14ac:dyDescent="0.35">
      <c r="A25" s="66" t="s">
        <v>97</v>
      </c>
      <c r="B25" s="67" t="s">
        <v>126</v>
      </c>
      <c r="C25" s="67" t="s">
        <v>67</v>
      </c>
      <c r="D25" s="67" t="s">
        <v>67</v>
      </c>
      <c r="E25" s="67" t="s">
        <v>118</v>
      </c>
      <c r="F25" s="67" t="s">
        <v>114</v>
      </c>
      <c r="G25" s="67" t="s">
        <v>52</v>
      </c>
      <c r="H25" s="67" t="s">
        <v>119</v>
      </c>
      <c r="I25" s="67" t="s">
        <v>120</v>
      </c>
      <c r="J25" s="68">
        <v>0.8</v>
      </c>
      <c r="K25" s="228">
        <f t="shared" si="3"/>
        <v>1450</v>
      </c>
      <c r="L25" s="269">
        <v>1450</v>
      </c>
      <c r="M25" s="269">
        <v>1450</v>
      </c>
      <c r="N25" s="269">
        <v>100</v>
      </c>
      <c r="O25" s="269"/>
      <c r="P25" s="269"/>
      <c r="Q25" s="269"/>
      <c r="R25" s="269" t="s">
        <v>121</v>
      </c>
      <c r="S25" s="233" t="s">
        <v>105</v>
      </c>
      <c r="T25" s="70"/>
      <c r="U25" s="238">
        <f t="shared" si="4"/>
        <v>2.52E-2</v>
      </c>
      <c r="V25" s="238">
        <f t="shared" si="5"/>
        <v>0</v>
      </c>
      <c r="W25" s="238">
        <f t="shared" si="6"/>
        <v>2.52E-2</v>
      </c>
      <c r="X25" s="238">
        <f t="shared" si="7"/>
        <v>0</v>
      </c>
      <c r="Y25" s="238">
        <f t="shared" si="8"/>
        <v>0</v>
      </c>
      <c r="Z25" s="70">
        <v>2.52E-2</v>
      </c>
      <c r="AA25" s="70"/>
      <c r="AB25" s="70">
        <v>2.52E-2</v>
      </c>
      <c r="AC25" s="70"/>
      <c r="AD25" s="71"/>
      <c r="AE25" s="88"/>
      <c r="AF25" s="72"/>
      <c r="AG25" s="73">
        <v>4.2795103780000003</v>
      </c>
      <c r="AH25" s="74">
        <v>0.10784366152560002</v>
      </c>
      <c r="AI25" s="74">
        <v>0</v>
      </c>
      <c r="AJ25" s="74">
        <v>0.10784366152560002</v>
      </c>
      <c r="AK25" s="74">
        <v>0</v>
      </c>
      <c r="AL25" s="75">
        <v>0</v>
      </c>
      <c r="AM25" s="202">
        <f t="shared" si="9"/>
        <v>6.5244726891119315E-6</v>
      </c>
      <c r="AN25" s="202">
        <f t="shared" si="10"/>
        <v>0</v>
      </c>
      <c r="AO25" s="202">
        <f t="shared" si="11"/>
        <v>6.5244726891119315E-6</v>
      </c>
      <c r="AP25" s="202">
        <f t="shared" si="12"/>
        <v>0</v>
      </c>
      <c r="AQ25" s="202">
        <f t="shared" si="13"/>
        <v>0</v>
      </c>
      <c r="AR25" s="208" t="s">
        <v>97</v>
      </c>
      <c r="AS25" s="216" t="s">
        <v>1659</v>
      </c>
      <c r="AT25" s="234">
        <v>327310</v>
      </c>
      <c r="AU25" s="244">
        <f t="shared" si="14"/>
        <v>0.10784366152560002</v>
      </c>
      <c r="AV25" s="244">
        <f t="shared" si="15"/>
        <v>0</v>
      </c>
      <c r="AW25" s="244">
        <f t="shared" si="16"/>
        <v>0.10784366152560002</v>
      </c>
      <c r="AX25" s="244">
        <f t="shared" si="17"/>
        <v>0</v>
      </c>
      <c r="AY25" s="244">
        <f t="shared" si="18"/>
        <v>0</v>
      </c>
      <c r="AZ25">
        <v>8.8085976905660391E-5</v>
      </c>
    </row>
    <row r="26" spans="1:52" ht="15" customHeight="1" x14ac:dyDescent="0.35">
      <c r="A26" s="66" t="s">
        <v>97</v>
      </c>
      <c r="B26" s="67" t="s">
        <v>126</v>
      </c>
      <c r="C26" s="67" t="s">
        <v>99</v>
      </c>
      <c r="D26" s="67" t="s">
        <v>100</v>
      </c>
      <c r="E26" s="67" t="s">
        <v>122</v>
      </c>
      <c r="F26" s="67" t="s">
        <v>123</v>
      </c>
      <c r="G26" s="67" t="s">
        <v>52</v>
      </c>
      <c r="H26" s="67" t="s">
        <v>103</v>
      </c>
      <c r="I26" s="67" t="s">
        <v>104</v>
      </c>
      <c r="J26" s="76"/>
      <c r="K26" s="228">
        <v>100</v>
      </c>
      <c r="L26" s="269"/>
      <c r="M26" s="269"/>
      <c r="N26" s="269"/>
      <c r="O26" s="269"/>
      <c r="P26" s="269"/>
      <c r="Q26" s="269"/>
      <c r="R26" s="269"/>
      <c r="S26" s="233" t="s">
        <v>105</v>
      </c>
      <c r="T26" s="70"/>
      <c r="U26" s="238">
        <f t="shared" si="4"/>
        <v>0.20519999999999999</v>
      </c>
      <c r="V26" s="238">
        <f t="shared" si="5"/>
        <v>0</v>
      </c>
      <c r="W26" s="238">
        <f t="shared" si="6"/>
        <v>0.20519999999999999</v>
      </c>
      <c r="X26" s="238">
        <f t="shared" si="7"/>
        <v>0</v>
      </c>
      <c r="Y26" s="238">
        <f t="shared" si="8"/>
        <v>0</v>
      </c>
      <c r="Z26" s="70">
        <v>0.20519999999999999</v>
      </c>
      <c r="AA26" s="70"/>
      <c r="AB26" s="70">
        <v>0.20519999999999999</v>
      </c>
      <c r="AC26" s="70"/>
      <c r="AD26" s="71"/>
      <c r="AE26" s="88"/>
      <c r="AF26" s="72"/>
      <c r="AG26" s="73">
        <v>4.2795103780000003</v>
      </c>
      <c r="AH26" s="74">
        <v>0.87815552956560006</v>
      </c>
      <c r="AI26" s="74">
        <v>0</v>
      </c>
      <c r="AJ26" s="74">
        <v>0.87815552956560006</v>
      </c>
      <c r="AK26" s="74">
        <v>0</v>
      </c>
      <c r="AL26" s="75">
        <v>0</v>
      </c>
      <c r="AM26" s="202">
        <f t="shared" si="9"/>
        <v>5.3127849039911437E-5</v>
      </c>
      <c r="AN26" s="202">
        <f t="shared" si="10"/>
        <v>0</v>
      </c>
      <c r="AO26" s="202">
        <f t="shared" si="11"/>
        <v>5.3127849039911437E-5</v>
      </c>
      <c r="AP26" s="202">
        <f t="shared" si="12"/>
        <v>0</v>
      </c>
      <c r="AQ26" s="202">
        <f t="shared" si="13"/>
        <v>0</v>
      </c>
      <c r="AR26" s="208" t="s">
        <v>97</v>
      </c>
      <c r="AS26" s="216" t="s">
        <v>1659</v>
      </c>
      <c r="AT26" s="234">
        <v>327310</v>
      </c>
      <c r="AU26" s="244">
        <f t="shared" si="14"/>
        <v>0.87815552956560006</v>
      </c>
      <c r="AV26" s="244">
        <f t="shared" si="15"/>
        <v>0</v>
      </c>
      <c r="AW26" s="244">
        <f t="shared" si="16"/>
        <v>0.87815552956560006</v>
      </c>
      <c r="AX26" s="244">
        <f t="shared" si="17"/>
        <v>0</v>
      </c>
      <c r="AY26" s="244">
        <f t="shared" si="18"/>
        <v>0</v>
      </c>
      <c r="AZ26">
        <v>7.1727152623180597E-4</v>
      </c>
    </row>
    <row r="27" spans="1:52" ht="15" customHeight="1" x14ac:dyDescent="0.35">
      <c r="A27" s="77" t="s">
        <v>97</v>
      </c>
      <c r="B27" s="78" t="s">
        <v>126</v>
      </c>
      <c r="C27" s="78" t="s">
        <v>124</v>
      </c>
      <c r="D27" s="78" t="s">
        <v>124</v>
      </c>
      <c r="E27" s="78" t="s">
        <v>124</v>
      </c>
      <c r="F27" s="78" t="s">
        <v>123</v>
      </c>
      <c r="G27" s="78" t="s">
        <v>52</v>
      </c>
      <c r="H27" s="78" t="s">
        <v>125</v>
      </c>
      <c r="I27" s="78" t="s">
        <v>125</v>
      </c>
      <c r="J27" s="79"/>
      <c r="K27" s="228">
        <v>30</v>
      </c>
      <c r="L27" s="269"/>
      <c r="M27" s="269"/>
      <c r="N27" s="269"/>
      <c r="O27" s="269"/>
      <c r="P27" s="269"/>
      <c r="Q27" s="269"/>
      <c r="R27" s="269"/>
      <c r="S27" s="81" t="s">
        <v>105</v>
      </c>
      <c r="T27" s="82"/>
      <c r="U27" s="238">
        <f t="shared" si="4"/>
        <v>5.4000000000000003E-3</v>
      </c>
      <c r="V27" s="238">
        <f t="shared" si="5"/>
        <v>0</v>
      </c>
      <c r="W27" s="238">
        <f t="shared" si="6"/>
        <v>5.4000000000000003E-3</v>
      </c>
      <c r="X27" s="238">
        <f t="shared" si="7"/>
        <v>0</v>
      </c>
      <c r="Y27" s="238">
        <f t="shared" si="8"/>
        <v>0</v>
      </c>
      <c r="Z27" s="70">
        <v>5.4000000000000003E-3</v>
      </c>
      <c r="AA27" s="70"/>
      <c r="AB27" s="70">
        <v>5.4000000000000003E-3</v>
      </c>
      <c r="AC27" s="70"/>
      <c r="AD27" s="71"/>
      <c r="AE27" s="89"/>
      <c r="AF27" s="84"/>
      <c r="AG27" s="85">
        <v>4.2795103780000003</v>
      </c>
      <c r="AH27" s="86">
        <v>2.3109356041200003E-2</v>
      </c>
      <c r="AI27" s="86">
        <v>0</v>
      </c>
      <c r="AJ27" s="86">
        <v>2.3109356041200003E-2</v>
      </c>
      <c r="AK27" s="86">
        <v>0</v>
      </c>
      <c r="AL27" s="87">
        <v>0</v>
      </c>
      <c r="AM27" s="202">
        <f t="shared" si="9"/>
        <v>1.3981012905239852E-6</v>
      </c>
      <c r="AN27" s="202">
        <f t="shared" si="10"/>
        <v>0</v>
      </c>
      <c r="AO27" s="202">
        <f t="shared" si="11"/>
        <v>1.3981012905239852E-6</v>
      </c>
      <c r="AP27" s="202">
        <f t="shared" si="12"/>
        <v>0</v>
      </c>
      <c r="AQ27" s="202">
        <f t="shared" si="13"/>
        <v>0</v>
      </c>
      <c r="AR27" s="212" t="s">
        <v>97</v>
      </c>
      <c r="AS27" s="216" t="s">
        <v>1659</v>
      </c>
      <c r="AT27" s="234">
        <v>327310</v>
      </c>
      <c r="AU27" s="244">
        <f t="shared" si="14"/>
        <v>2.3109356041200003E-2</v>
      </c>
      <c r="AV27" s="244">
        <f t="shared" si="15"/>
        <v>0</v>
      </c>
      <c r="AW27" s="244">
        <f t="shared" si="16"/>
        <v>2.3109356041200003E-2</v>
      </c>
      <c r="AX27" s="244">
        <f t="shared" si="17"/>
        <v>0</v>
      </c>
      <c r="AY27" s="244">
        <f t="shared" si="18"/>
        <v>0</v>
      </c>
      <c r="AZ27">
        <v>1.8875566479784371E-5</v>
      </c>
    </row>
    <row r="28" spans="1:52" ht="15" customHeight="1" x14ac:dyDescent="0.35">
      <c r="A28" s="66" t="s">
        <v>97</v>
      </c>
      <c r="B28" s="67" t="s">
        <v>129</v>
      </c>
      <c r="C28" s="67" t="s">
        <v>99</v>
      </c>
      <c r="D28" s="67" t="s">
        <v>100</v>
      </c>
      <c r="E28" s="67" t="s">
        <v>101</v>
      </c>
      <c r="F28" s="67" t="s">
        <v>102</v>
      </c>
      <c r="G28" s="67" t="s">
        <v>52</v>
      </c>
      <c r="H28" s="67" t="s">
        <v>103</v>
      </c>
      <c r="I28" s="67" t="s">
        <v>104</v>
      </c>
      <c r="J28" s="76"/>
      <c r="K28" s="228">
        <v>100</v>
      </c>
      <c r="L28" s="269"/>
      <c r="M28" s="269"/>
      <c r="N28" s="269"/>
      <c r="O28" s="269"/>
      <c r="P28" s="269"/>
      <c r="Q28" s="269"/>
      <c r="R28" s="269"/>
      <c r="S28" s="233" t="s">
        <v>105</v>
      </c>
      <c r="T28" s="70"/>
      <c r="U28" s="238">
        <f t="shared" si="4"/>
        <v>1.7999999999999999E-2</v>
      </c>
      <c r="V28" s="238">
        <f t="shared" si="5"/>
        <v>0</v>
      </c>
      <c r="W28" s="238">
        <f t="shared" si="6"/>
        <v>1.7999999999999999E-2</v>
      </c>
      <c r="X28" s="238">
        <f t="shared" si="7"/>
        <v>0</v>
      </c>
      <c r="Y28" s="238">
        <f t="shared" si="8"/>
        <v>0</v>
      </c>
      <c r="Z28" s="82">
        <v>1.7999999999999999E-2</v>
      </c>
      <c r="AA28" s="82"/>
      <c r="AB28" s="82">
        <v>1.7999999999999999E-2</v>
      </c>
      <c r="AC28" s="82"/>
      <c r="AD28" s="83"/>
      <c r="AE28" s="88"/>
      <c r="AF28" s="72"/>
      <c r="AG28" s="73">
        <v>9.5827531457523225</v>
      </c>
      <c r="AH28" s="74">
        <v>0.17248955662354179</v>
      </c>
      <c r="AI28" s="74">
        <v>0</v>
      </c>
      <c r="AJ28" s="74">
        <v>0.17248955662354179</v>
      </c>
      <c r="AK28" s="74">
        <v>0</v>
      </c>
      <c r="AL28" s="75">
        <v>0</v>
      </c>
      <c r="AM28" s="202">
        <f t="shared" si="9"/>
        <v>1.0435508081114024E-5</v>
      </c>
      <c r="AN28" s="202">
        <f t="shared" si="10"/>
        <v>0</v>
      </c>
      <c r="AO28" s="202">
        <f t="shared" si="11"/>
        <v>1.0435508081114024E-5</v>
      </c>
      <c r="AP28" s="202">
        <f t="shared" si="12"/>
        <v>0</v>
      </c>
      <c r="AQ28" s="202">
        <f t="shared" si="13"/>
        <v>0</v>
      </c>
      <c r="AR28" s="208" t="s">
        <v>97</v>
      </c>
      <c r="AS28" s="216" t="s">
        <v>1659</v>
      </c>
      <c r="AT28" s="234">
        <v>327310</v>
      </c>
      <c r="AU28" s="244">
        <f t="shared" si="14"/>
        <v>0.17248955662354179</v>
      </c>
      <c r="AV28" s="244">
        <f t="shared" si="15"/>
        <v>0</v>
      </c>
      <c r="AW28" s="244">
        <f t="shared" si="16"/>
        <v>0.17248955662354179</v>
      </c>
      <c r="AX28" s="244">
        <f t="shared" si="17"/>
        <v>0</v>
      </c>
      <c r="AY28" s="244">
        <f t="shared" si="18"/>
        <v>0</v>
      </c>
      <c r="AZ28">
        <v>1.4088830893044336E-4</v>
      </c>
    </row>
    <row r="29" spans="1:52" ht="15" customHeight="1" x14ac:dyDescent="0.35">
      <c r="A29" s="66" t="s">
        <v>97</v>
      </c>
      <c r="B29" s="67" t="s">
        <v>129</v>
      </c>
      <c r="C29" s="67" t="s">
        <v>99</v>
      </c>
      <c r="D29" s="67" t="s">
        <v>100</v>
      </c>
      <c r="E29" s="67" t="s">
        <v>106</v>
      </c>
      <c r="F29" s="67" t="s">
        <v>107</v>
      </c>
      <c r="G29" s="67" t="s">
        <v>52</v>
      </c>
      <c r="H29" s="67" t="s">
        <v>103</v>
      </c>
      <c r="I29" s="67" t="s">
        <v>104</v>
      </c>
      <c r="J29" s="76"/>
      <c r="K29" s="228">
        <v>100</v>
      </c>
      <c r="L29" s="269"/>
      <c r="M29" s="269"/>
      <c r="N29" s="269"/>
      <c r="O29" s="269"/>
      <c r="P29" s="269"/>
      <c r="Q29" s="269"/>
      <c r="R29" s="269"/>
      <c r="S29" s="233" t="s">
        <v>105</v>
      </c>
      <c r="T29" s="70">
        <v>1.6</v>
      </c>
      <c r="U29" s="238">
        <f t="shared" si="4"/>
        <v>5.04E-2</v>
      </c>
      <c r="V29" s="238">
        <f t="shared" si="5"/>
        <v>0</v>
      </c>
      <c r="W29" s="238">
        <f t="shared" si="6"/>
        <v>5.04E-2</v>
      </c>
      <c r="X29" s="238">
        <f t="shared" si="7"/>
        <v>0</v>
      </c>
      <c r="Y29" s="238">
        <f t="shared" si="8"/>
        <v>0</v>
      </c>
      <c r="Z29" s="70">
        <v>5.04E-2</v>
      </c>
      <c r="AA29" s="70"/>
      <c r="AB29" s="70">
        <v>5.04E-2</v>
      </c>
      <c r="AC29" s="70"/>
      <c r="AD29" s="71"/>
      <c r="AE29" s="233"/>
      <c r="AF29" s="72"/>
      <c r="AG29" s="73">
        <v>9.5827531459999999</v>
      </c>
      <c r="AH29" s="74">
        <v>0.48297075855839999</v>
      </c>
      <c r="AI29" s="74">
        <v>0</v>
      </c>
      <c r="AJ29" s="74">
        <v>0.48297075855839999</v>
      </c>
      <c r="AK29" s="74">
        <v>0</v>
      </c>
      <c r="AL29" s="75">
        <v>0</v>
      </c>
      <c r="AM29" s="202">
        <f t="shared" si="9"/>
        <v>2.9219422627874479E-5</v>
      </c>
      <c r="AN29" s="202">
        <f t="shared" si="10"/>
        <v>0</v>
      </c>
      <c r="AO29" s="202">
        <f t="shared" si="11"/>
        <v>2.9219422627874479E-5</v>
      </c>
      <c r="AP29" s="202">
        <f t="shared" si="12"/>
        <v>0</v>
      </c>
      <c r="AQ29" s="202">
        <f t="shared" si="13"/>
        <v>0</v>
      </c>
      <c r="AR29" s="208" t="s">
        <v>97</v>
      </c>
      <c r="AS29" s="216" t="s">
        <v>1659</v>
      </c>
      <c r="AT29" s="234">
        <v>327310</v>
      </c>
      <c r="AU29" s="244">
        <f t="shared" si="14"/>
        <v>0.48297075855839999</v>
      </c>
      <c r="AV29" s="244">
        <f t="shared" si="15"/>
        <v>0</v>
      </c>
      <c r="AW29" s="244">
        <f t="shared" si="16"/>
        <v>0.48297075855839999</v>
      </c>
      <c r="AX29" s="244">
        <f t="shared" si="17"/>
        <v>0</v>
      </c>
      <c r="AY29" s="244">
        <f t="shared" si="18"/>
        <v>0</v>
      </c>
      <c r="AZ29">
        <v>3.9448726501543739E-4</v>
      </c>
    </row>
    <row r="30" spans="1:52" ht="15" customHeight="1" x14ac:dyDescent="0.35">
      <c r="A30" s="66" t="s">
        <v>97</v>
      </c>
      <c r="B30" s="67" t="s">
        <v>129</v>
      </c>
      <c r="C30" s="67" t="s">
        <v>108</v>
      </c>
      <c r="D30" s="67" t="s">
        <v>109</v>
      </c>
      <c r="E30" s="67" t="s">
        <v>109</v>
      </c>
      <c r="F30" s="67" t="s">
        <v>107</v>
      </c>
      <c r="G30" s="67" t="s">
        <v>52</v>
      </c>
      <c r="H30" s="67" t="s">
        <v>110</v>
      </c>
      <c r="I30" s="67" t="s">
        <v>127</v>
      </c>
      <c r="J30" s="76"/>
      <c r="K30" s="228">
        <v>40</v>
      </c>
      <c r="L30" s="269"/>
      <c r="M30" s="269"/>
      <c r="N30" s="269"/>
      <c r="O30" s="269">
        <v>1.7</v>
      </c>
      <c r="P30" s="269"/>
      <c r="Q30" s="269"/>
      <c r="R30" s="269" t="s">
        <v>112</v>
      </c>
      <c r="S30" s="233" t="s">
        <v>105</v>
      </c>
      <c r="T30" s="70"/>
      <c r="U30" s="238">
        <f t="shared" si="4"/>
        <v>1.26E-2</v>
      </c>
      <c r="V30" s="238">
        <f t="shared" si="5"/>
        <v>0</v>
      </c>
      <c r="W30" s="238">
        <f t="shared" si="6"/>
        <v>1.26E-2</v>
      </c>
      <c r="X30" s="238">
        <f t="shared" si="7"/>
        <v>0</v>
      </c>
      <c r="Y30" s="238">
        <f t="shared" si="8"/>
        <v>0</v>
      </c>
      <c r="Z30" s="70">
        <v>1.26E-2</v>
      </c>
      <c r="AA30" s="70"/>
      <c r="AB30" s="70">
        <v>1.26E-2</v>
      </c>
      <c r="AC30" s="70"/>
      <c r="AD30" s="71"/>
      <c r="AE30" s="233"/>
      <c r="AF30" s="72"/>
      <c r="AG30" s="73">
        <v>9.5827531459999999</v>
      </c>
      <c r="AH30" s="74">
        <v>0.1207426896396</v>
      </c>
      <c r="AI30" s="74">
        <v>0</v>
      </c>
      <c r="AJ30" s="74">
        <v>0.1207426896396</v>
      </c>
      <c r="AK30" s="74">
        <v>0</v>
      </c>
      <c r="AL30" s="75">
        <v>0</v>
      </c>
      <c r="AM30" s="202">
        <f t="shared" si="9"/>
        <v>7.3048556569686197E-6</v>
      </c>
      <c r="AN30" s="202">
        <f t="shared" si="10"/>
        <v>0</v>
      </c>
      <c r="AO30" s="202">
        <f t="shared" si="11"/>
        <v>7.3048556569686197E-6</v>
      </c>
      <c r="AP30" s="202">
        <f t="shared" si="12"/>
        <v>0</v>
      </c>
      <c r="AQ30" s="202">
        <f t="shared" si="13"/>
        <v>0</v>
      </c>
      <c r="AR30" s="208" t="s">
        <v>97</v>
      </c>
      <c r="AS30" s="216" t="s">
        <v>1659</v>
      </c>
      <c r="AT30" s="234">
        <v>327310</v>
      </c>
      <c r="AU30" s="244">
        <f t="shared" si="14"/>
        <v>0.1207426896396</v>
      </c>
      <c r="AV30" s="244">
        <f t="shared" si="15"/>
        <v>0</v>
      </c>
      <c r="AW30" s="244">
        <f t="shared" si="16"/>
        <v>0.1207426896396</v>
      </c>
      <c r="AX30" s="244">
        <f t="shared" si="17"/>
        <v>0</v>
      </c>
      <c r="AY30" s="244">
        <f t="shared" si="18"/>
        <v>0</v>
      </c>
      <c r="AZ30">
        <v>9.8621816253859347E-5</v>
      </c>
    </row>
    <row r="31" spans="1:52" ht="15" customHeight="1" x14ac:dyDescent="0.35">
      <c r="A31" s="66" t="s">
        <v>97</v>
      </c>
      <c r="B31" s="67" t="s">
        <v>129</v>
      </c>
      <c r="C31" s="67" t="s">
        <v>48</v>
      </c>
      <c r="D31" s="67" t="s">
        <v>113</v>
      </c>
      <c r="E31" s="67" t="s">
        <v>113</v>
      </c>
      <c r="F31" s="67" t="s">
        <v>114</v>
      </c>
      <c r="G31" s="67" t="s">
        <v>52</v>
      </c>
      <c r="H31" s="67" t="s">
        <v>115</v>
      </c>
      <c r="I31" s="67" t="s">
        <v>116</v>
      </c>
      <c r="J31" s="68">
        <v>0.67</v>
      </c>
      <c r="K31" s="228">
        <f t="shared" si="3"/>
        <v>1450</v>
      </c>
      <c r="L31" s="269">
        <v>1450</v>
      </c>
      <c r="M31" s="269"/>
      <c r="N31" s="269"/>
      <c r="O31" s="269"/>
      <c r="P31" s="269"/>
      <c r="Q31" s="269"/>
      <c r="R31" s="269" t="s">
        <v>128</v>
      </c>
      <c r="S31" s="233" t="s">
        <v>105</v>
      </c>
      <c r="T31" s="70"/>
      <c r="U31" s="238">
        <f t="shared" si="4"/>
        <v>4.1467999999999998</v>
      </c>
      <c r="V31" s="238">
        <f t="shared" si="5"/>
        <v>0</v>
      </c>
      <c r="W31" s="238">
        <f t="shared" si="6"/>
        <v>4.6799999999999994E-2</v>
      </c>
      <c r="X31" s="238">
        <f t="shared" si="7"/>
        <v>4.0999999999999996</v>
      </c>
      <c r="Y31" s="238">
        <f t="shared" si="8"/>
        <v>0</v>
      </c>
      <c r="Z31" s="70">
        <v>4.1467999999999998</v>
      </c>
      <c r="AA31" s="70"/>
      <c r="AB31" s="70">
        <v>4.6799999999999994E-2</v>
      </c>
      <c r="AC31" s="70">
        <v>4.0999999999999996</v>
      </c>
      <c r="AD31" s="71"/>
      <c r="AE31" s="233"/>
      <c r="AF31" s="72"/>
      <c r="AG31" s="73">
        <v>9.5827531459999999</v>
      </c>
      <c r="AH31" s="74">
        <v>39.737760745832801</v>
      </c>
      <c r="AI31" s="74">
        <v>0</v>
      </c>
      <c r="AJ31" s="74">
        <v>0.44847284723279995</v>
      </c>
      <c r="AK31" s="74">
        <v>39.289287898599994</v>
      </c>
      <c r="AL31" s="75">
        <v>0</v>
      </c>
      <c r="AM31" s="202">
        <f t="shared" si="9"/>
        <v>2.4041091617712281E-3</v>
      </c>
      <c r="AN31" s="202">
        <f t="shared" si="10"/>
        <v>0</v>
      </c>
      <c r="AO31" s="202">
        <f t="shared" si="11"/>
        <v>2.7132321011597726E-5</v>
      </c>
      <c r="AP31" s="202">
        <f t="shared" si="12"/>
        <v>2.3769768407596297E-3</v>
      </c>
      <c r="AQ31" s="202">
        <f t="shared" si="13"/>
        <v>0</v>
      </c>
      <c r="AR31" s="208" t="s">
        <v>97</v>
      </c>
      <c r="AS31" s="216" t="s">
        <v>1659</v>
      </c>
      <c r="AT31" s="234">
        <v>327310</v>
      </c>
      <c r="AU31" s="244">
        <f t="shared" si="14"/>
        <v>39.737760745832801</v>
      </c>
      <c r="AV31" s="244">
        <f t="shared" si="15"/>
        <v>0</v>
      </c>
      <c r="AW31" s="244">
        <f t="shared" si="16"/>
        <v>0.44847284723279995</v>
      </c>
      <c r="AX31" s="244">
        <f t="shared" si="17"/>
        <v>39.289287898599994</v>
      </c>
      <c r="AY31" s="244">
        <f t="shared" si="18"/>
        <v>0</v>
      </c>
      <c r="AZ31">
        <v>3.2457535527103488E-2</v>
      </c>
    </row>
    <row r="32" spans="1:52" ht="15" customHeight="1" x14ac:dyDescent="0.35">
      <c r="A32" s="66" t="s">
        <v>97</v>
      </c>
      <c r="B32" s="67" t="s">
        <v>129</v>
      </c>
      <c r="C32" s="67" t="s">
        <v>67</v>
      </c>
      <c r="D32" s="67" t="s">
        <v>67</v>
      </c>
      <c r="E32" s="67" t="s">
        <v>118</v>
      </c>
      <c r="F32" s="67" t="s">
        <v>114</v>
      </c>
      <c r="G32" s="67" t="s">
        <v>52</v>
      </c>
      <c r="H32" s="67" t="s">
        <v>119</v>
      </c>
      <c r="I32" s="67" t="s">
        <v>120</v>
      </c>
      <c r="J32" s="68">
        <v>0.8</v>
      </c>
      <c r="K32" s="228">
        <f t="shared" si="3"/>
        <v>100</v>
      </c>
      <c r="L32" s="269">
        <v>100</v>
      </c>
      <c r="M32" s="269">
        <v>1450</v>
      </c>
      <c r="N32" s="269">
        <v>100</v>
      </c>
      <c r="O32" s="269"/>
      <c r="P32" s="269"/>
      <c r="Q32" s="269"/>
      <c r="R32" s="269" t="s">
        <v>121</v>
      </c>
      <c r="S32" s="233" t="s">
        <v>105</v>
      </c>
      <c r="T32" s="70"/>
      <c r="U32" s="238">
        <f t="shared" si="4"/>
        <v>2.52E-2</v>
      </c>
      <c r="V32" s="238">
        <f t="shared" si="5"/>
        <v>0</v>
      </c>
      <c r="W32" s="238">
        <f t="shared" si="6"/>
        <v>2.52E-2</v>
      </c>
      <c r="X32" s="238">
        <f t="shared" si="7"/>
        <v>0</v>
      </c>
      <c r="Y32" s="238">
        <f t="shared" si="8"/>
        <v>0</v>
      </c>
      <c r="Z32" s="70">
        <v>2.52E-2</v>
      </c>
      <c r="AA32" s="70"/>
      <c r="AB32" s="70">
        <v>2.52E-2</v>
      </c>
      <c r="AC32" s="70"/>
      <c r="AD32" s="71"/>
      <c r="AE32" s="233"/>
      <c r="AF32" s="72"/>
      <c r="AG32" s="73">
        <v>9.5827531459999999</v>
      </c>
      <c r="AH32" s="74">
        <v>0.2414853792792</v>
      </c>
      <c r="AI32" s="74">
        <v>0</v>
      </c>
      <c r="AJ32" s="74">
        <v>0.2414853792792</v>
      </c>
      <c r="AK32" s="74">
        <v>0</v>
      </c>
      <c r="AL32" s="75">
        <v>0</v>
      </c>
      <c r="AM32" s="202">
        <f t="shared" si="9"/>
        <v>1.4609711313937239E-5</v>
      </c>
      <c r="AN32" s="202">
        <f t="shared" si="10"/>
        <v>0</v>
      </c>
      <c r="AO32" s="202">
        <f t="shared" si="11"/>
        <v>1.4609711313937239E-5</v>
      </c>
      <c r="AP32" s="202">
        <f t="shared" si="12"/>
        <v>0</v>
      </c>
      <c r="AQ32" s="202">
        <f t="shared" si="13"/>
        <v>0</v>
      </c>
      <c r="AR32" s="208" t="s">
        <v>97</v>
      </c>
      <c r="AS32" s="216" t="s">
        <v>1659</v>
      </c>
      <c r="AT32" s="234">
        <v>327310</v>
      </c>
      <c r="AU32" s="244">
        <f t="shared" si="14"/>
        <v>0.2414853792792</v>
      </c>
      <c r="AV32" s="244">
        <f t="shared" si="15"/>
        <v>0</v>
      </c>
      <c r="AW32" s="244">
        <f t="shared" si="16"/>
        <v>0.2414853792792</v>
      </c>
      <c r="AX32" s="244">
        <f t="shared" si="17"/>
        <v>0</v>
      </c>
      <c r="AY32" s="244">
        <f t="shared" si="18"/>
        <v>0</v>
      </c>
      <c r="AZ32">
        <v>1.9724363250771869E-4</v>
      </c>
    </row>
    <row r="33" spans="1:52" ht="15" customHeight="1" x14ac:dyDescent="0.35">
      <c r="A33" s="66" t="s">
        <v>97</v>
      </c>
      <c r="B33" s="67" t="s">
        <v>129</v>
      </c>
      <c r="C33" s="67" t="s">
        <v>99</v>
      </c>
      <c r="D33" s="67" t="s">
        <v>100</v>
      </c>
      <c r="E33" s="67" t="s">
        <v>122</v>
      </c>
      <c r="F33" s="67" t="s">
        <v>123</v>
      </c>
      <c r="G33" s="67" t="s">
        <v>52</v>
      </c>
      <c r="H33" s="67" t="s">
        <v>103</v>
      </c>
      <c r="I33" s="67" t="s">
        <v>104</v>
      </c>
      <c r="J33" s="76"/>
      <c r="K33" s="228">
        <v>100</v>
      </c>
      <c r="L33" s="269"/>
      <c r="M33" s="269"/>
      <c r="N33" s="269"/>
      <c r="O33" s="269"/>
      <c r="P33" s="269"/>
      <c r="Q33" s="269"/>
      <c r="R33" s="269"/>
      <c r="S33" s="233" t="s">
        <v>105</v>
      </c>
      <c r="T33" s="70"/>
      <c r="U33" s="238">
        <f t="shared" si="4"/>
        <v>0.20519999999999999</v>
      </c>
      <c r="V33" s="238">
        <f t="shared" si="5"/>
        <v>0</v>
      </c>
      <c r="W33" s="238">
        <f t="shared" si="6"/>
        <v>0.20519999999999999</v>
      </c>
      <c r="X33" s="238">
        <f t="shared" si="7"/>
        <v>0</v>
      </c>
      <c r="Y33" s="238">
        <f t="shared" si="8"/>
        <v>0</v>
      </c>
      <c r="Z33" s="70">
        <v>0.20519999999999999</v>
      </c>
      <c r="AA33" s="70"/>
      <c r="AB33" s="70">
        <v>0.20519999999999999</v>
      </c>
      <c r="AC33" s="70"/>
      <c r="AD33" s="71"/>
      <c r="AE33" s="233"/>
      <c r="AF33" s="72"/>
      <c r="AG33" s="73">
        <v>9.5827531459999999</v>
      </c>
      <c r="AH33" s="74">
        <v>1.9663809455591998</v>
      </c>
      <c r="AI33" s="74">
        <v>0</v>
      </c>
      <c r="AJ33" s="74">
        <v>1.9663809455591998</v>
      </c>
      <c r="AK33" s="74">
        <v>0</v>
      </c>
      <c r="AL33" s="75">
        <v>0</v>
      </c>
      <c r="AM33" s="202">
        <f t="shared" si="9"/>
        <v>1.1896479212777465E-4</v>
      </c>
      <c r="AN33" s="202">
        <f t="shared" si="10"/>
        <v>0</v>
      </c>
      <c r="AO33" s="202">
        <f t="shared" si="11"/>
        <v>1.1896479212777465E-4</v>
      </c>
      <c r="AP33" s="202">
        <f t="shared" si="12"/>
        <v>0</v>
      </c>
      <c r="AQ33" s="202">
        <f t="shared" si="13"/>
        <v>0</v>
      </c>
      <c r="AR33" s="208" t="s">
        <v>97</v>
      </c>
      <c r="AS33" s="216" t="s">
        <v>1659</v>
      </c>
      <c r="AT33" s="234">
        <v>327310</v>
      </c>
      <c r="AU33" s="244">
        <f t="shared" si="14"/>
        <v>1.9663809455591998</v>
      </c>
      <c r="AV33" s="244">
        <f t="shared" si="15"/>
        <v>0</v>
      </c>
      <c r="AW33" s="244">
        <f t="shared" si="16"/>
        <v>1.9663809455591998</v>
      </c>
      <c r="AX33" s="244">
        <f t="shared" si="17"/>
        <v>0</v>
      </c>
      <c r="AY33" s="244">
        <f t="shared" si="18"/>
        <v>0</v>
      </c>
      <c r="AZ33">
        <v>1.6061267218485664E-3</v>
      </c>
    </row>
    <row r="34" spans="1:52" ht="15" customHeight="1" x14ac:dyDescent="0.35">
      <c r="A34" s="77" t="s">
        <v>97</v>
      </c>
      <c r="B34" s="78" t="s">
        <v>129</v>
      </c>
      <c r="C34" s="78" t="s">
        <v>124</v>
      </c>
      <c r="D34" s="78" t="s">
        <v>124</v>
      </c>
      <c r="E34" s="78" t="s">
        <v>124</v>
      </c>
      <c r="F34" s="78" t="s">
        <v>123</v>
      </c>
      <c r="G34" s="78" t="s">
        <v>52</v>
      </c>
      <c r="H34" s="78" t="s">
        <v>125</v>
      </c>
      <c r="I34" s="78" t="s">
        <v>125</v>
      </c>
      <c r="J34" s="79"/>
      <c r="K34" s="228">
        <v>30</v>
      </c>
      <c r="L34" s="269"/>
      <c r="M34" s="269"/>
      <c r="N34" s="269"/>
      <c r="O34" s="269"/>
      <c r="P34" s="269"/>
      <c r="Q34" s="269"/>
      <c r="R34" s="269"/>
      <c r="S34" s="81" t="s">
        <v>105</v>
      </c>
      <c r="T34" s="82"/>
      <c r="U34" s="238">
        <f t="shared" si="4"/>
        <v>5.4000000000000003E-3</v>
      </c>
      <c r="V34" s="238">
        <f t="shared" si="5"/>
        <v>0</v>
      </c>
      <c r="W34" s="238">
        <f t="shared" si="6"/>
        <v>5.4000000000000003E-3</v>
      </c>
      <c r="X34" s="238">
        <f t="shared" si="7"/>
        <v>0</v>
      </c>
      <c r="Y34" s="238">
        <f t="shared" si="8"/>
        <v>0</v>
      </c>
      <c r="Z34" s="70">
        <v>5.4000000000000003E-3</v>
      </c>
      <c r="AA34" s="70"/>
      <c r="AB34" s="70">
        <v>5.4000000000000003E-3</v>
      </c>
      <c r="AC34" s="70"/>
      <c r="AD34" s="71"/>
      <c r="AE34" s="81"/>
      <c r="AF34" s="84"/>
      <c r="AG34" s="85">
        <v>9.5827531459999999</v>
      </c>
      <c r="AH34" s="86">
        <v>5.1746866988400003E-2</v>
      </c>
      <c r="AI34" s="86">
        <v>0</v>
      </c>
      <c r="AJ34" s="86">
        <v>5.1746866988400003E-2</v>
      </c>
      <c r="AK34" s="86">
        <v>0</v>
      </c>
      <c r="AL34" s="87">
        <v>0</v>
      </c>
      <c r="AM34" s="202">
        <f t="shared" si="9"/>
        <v>3.130652424415123E-6</v>
      </c>
      <c r="AN34" s="202">
        <f t="shared" si="10"/>
        <v>0</v>
      </c>
      <c r="AO34" s="202">
        <f t="shared" si="11"/>
        <v>3.130652424415123E-6</v>
      </c>
      <c r="AP34" s="202">
        <f t="shared" si="12"/>
        <v>0</v>
      </c>
      <c r="AQ34" s="202">
        <f t="shared" si="13"/>
        <v>0</v>
      </c>
      <c r="AR34" s="212" t="s">
        <v>97</v>
      </c>
      <c r="AS34" s="216" t="s">
        <v>1659</v>
      </c>
      <c r="AT34" s="234">
        <v>327310</v>
      </c>
      <c r="AU34" s="244">
        <f t="shared" si="14"/>
        <v>5.1746866988400003E-2</v>
      </c>
      <c r="AV34" s="244">
        <f t="shared" si="15"/>
        <v>0</v>
      </c>
      <c r="AW34" s="244">
        <f t="shared" si="16"/>
        <v>5.1746866988400003E-2</v>
      </c>
      <c r="AX34" s="244">
        <f t="shared" si="17"/>
        <v>0</v>
      </c>
      <c r="AY34" s="244">
        <f t="shared" si="18"/>
        <v>0</v>
      </c>
      <c r="AZ34">
        <v>4.2266492680225438E-5</v>
      </c>
    </row>
    <row r="35" spans="1:52" ht="15" customHeight="1" x14ac:dyDescent="0.35">
      <c r="A35" s="66" t="s">
        <v>97</v>
      </c>
      <c r="B35" s="67" t="s">
        <v>130</v>
      </c>
      <c r="C35" s="67" t="s">
        <v>99</v>
      </c>
      <c r="D35" s="67" t="s">
        <v>100</v>
      </c>
      <c r="E35" s="67" t="s">
        <v>101</v>
      </c>
      <c r="F35" s="67" t="s">
        <v>102</v>
      </c>
      <c r="G35" s="67" t="s">
        <v>52</v>
      </c>
      <c r="H35" s="67" t="s">
        <v>103</v>
      </c>
      <c r="I35" s="67" t="s">
        <v>104</v>
      </c>
      <c r="J35" s="76"/>
      <c r="K35" s="228">
        <v>100</v>
      </c>
      <c r="L35" s="269"/>
      <c r="M35" s="269"/>
      <c r="N35" s="269"/>
      <c r="O35" s="269"/>
      <c r="P35" s="269"/>
      <c r="Q35" s="269"/>
      <c r="R35" s="269"/>
      <c r="S35" s="233" t="s">
        <v>105</v>
      </c>
      <c r="T35" s="70"/>
      <c r="U35" s="238">
        <f t="shared" si="4"/>
        <v>1.7999999999999999E-2</v>
      </c>
      <c r="V35" s="238">
        <f t="shared" si="5"/>
        <v>0</v>
      </c>
      <c r="W35" s="238">
        <f t="shared" si="6"/>
        <v>1.7999999999999999E-2</v>
      </c>
      <c r="X35" s="238">
        <f t="shared" si="7"/>
        <v>0</v>
      </c>
      <c r="Y35" s="238">
        <f t="shared" si="8"/>
        <v>0</v>
      </c>
      <c r="Z35" s="82">
        <v>1.7999999999999999E-2</v>
      </c>
      <c r="AA35" s="82"/>
      <c r="AB35" s="82">
        <v>1.7999999999999999E-2</v>
      </c>
      <c r="AC35" s="82"/>
      <c r="AD35" s="83"/>
      <c r="AE35" s="233"/>
      <c r="AF35" s="72"/>
      <c r="AG35" s="73">
        <v>64.135736480000006</v>
      </c>
      <c r="AH35" s="74">
        <v>1.15444325664</v>
      </c>
      <c r="AI35" s="74">
        <v>0</v>
      </c>
      <c r="AJ35" s="74">
        <v>1.15444325664</v>
      </c>
      <c r="AK35" s="74">
        <v>0</v>
      </c>
      <c r="AL35" s="75">
        <v>0</v>
      </c>
      <c r="AM35" s="202">
        <f t="shared" si="9"/>
        <v>6.9843080182224089E-5</v>
      </c>
      <c r="AN35" s="202">
        <f t="shared" si="10"/>
        <v>0</v>
      </c>
      <c r="AO35" s="202">
        <f t="shared" si="11"/>
        <v>6.9843080182224089E-5</v>
      </c>
      <c r="AP35" s="202">
        <f t="shared" si="12"/>
        <v>0</v>
      </c>
      <c r="AQ35" s="202">
        <f t="shared" si="13"/>
        <v>0</v>
      </c>
      <c r="AR35" s="208" t="s">
        <v>97</v>
      </c>
      <c r="AS35" s="216" t="s">
        <v>1659</v>
      </c>
      <c r="AT35" s="234">
        <v>327310</v>
      </c>
      <c r="AU35" s="244">
        <f t="shared" si="14"/>
        <v>1.15444325664</v>
      </c>
      <c r="AV35" s="244">
        <f t="shared" si="15"/>
        <v>0</v>
      </c>
      <c r="AW35" s="244">
        <f t="shared" si="16"/>
        <v>1.15444325664</v>
      </c>
      <c r="AX35" s="244">
        <f t="shared" si="17"/>
        <v>0</v>
      </c>
      <c r="AY35" s="244">
        <f t="shared" si="18"/>
        <v>0</v>
      </c>
      <c r="AZ35">
        <v>9.429414821857388E-4</v>
      </c>
    </row>
    <row r="36" spans="1:52" ht="15" customHeight="1" x14ac:dyDescent="0.35">
      <c r="A36" s="66" t="s">
        <v>97</v>
      </c>
      <c r="B36" s="67" t="s">
        <v>130</v>
      </c>
      <c r="C36" s="67" t="s">
        <v>99</v>
      </c>
      <c r="D36" s="67" t="s">
        <v>100</v>
      </c>
      <c r="E36" s="67" t="s">
        <v>106</v>
      </c>
      <c r="F36" s="67" t="s">
        <v>107</v>
      </c>
      <c r="G36" s="67" t="s">
        <v>52</v>
      </c>
      <c r="H36" s="67" t="s">
        <v>103</v>
      </c>
      <c r="I36" s="67" t="s">
        <v>104</v>
      </c>
      <c r="J36" s="76"/>
      <c r="K36" s="228">
        <v>100</v>
      </c>
      <c r="L36" s="269"/>
      <c r="M36" s="269"/>
      <c r="N36" s="269"/>
      <c r="O36" s="269"/>
      <c r="P36" s="269"/>
      <c r="Q36" s="269"/>
      <c r="R36" s="269"/>
      <c r="S36" s="233" t="s">
        <v>105</v>
      </c>
      <c r="T36" s="70">
        <v>1.6</v>
      </c>
      <c r="U36" s="238">
        <f t="shared" si="4"/>
        <v>5.04E-2</v>
      </c>
      <c r="V36" s="238">
        <f t="shared" si="5"/>
        <v>0</v>
      </c>
      <c r="W36" s="238">
        <f t="shared" si="6"/>
        <v>5.04E-2</v>
      </c>
      <c r="X36" s="238">
        <f t="shared" si="7"/>
        <v>0</v>
      </c>
      <c r="Y36" s="238">
        <f t="shared" si="8"/>
        <v>0</v>
      </c>
      <c r="Z36" s="70">
        <v>5.04E-2</v>
      </c>
      <c r="AA36" s="70"/>
      <c r="AB36" s="70">
        <v>5.04E-2</v>
      </c>
      <c r="AC36" s="70"/>
      <c r="AD36" s="71"/>
      <c r="AE36" s="233"/>
      <c r="AF36" s="72"/>
      <c r="AG36" s="73">
        <v>64.135736480000006</v>
      </c>
      <c r="AH36" s="74">
        <v>3.2324411185920003</v>
      </c>
      <c r="AI36" s="74">
        <v>0</v>
      </c>
      <c r="AJ36" s="74">
        <v>3.2324411185920003</v>
      </c>
      <c r="AK36" s="74">
        <v>0</v>
      </c>
      <c r="AL36" s="75">
        <v>0</v>
      </c>
      <c r="AM36" s="202">
        <f t="shared" si="9"/>
        <v>1.9556062451022744E-4</v>
      </c>
      <c r="AN36" s="202">
        <f t="shared" si="10"/>
        <v>0</v>
      </c>
      <c r="AO36" s="202">
        <f t="shared" si="11"/>
        <v>1.9556062451022744E-4</v>
      </c>
      <c r="AP36" s="202">
        <f t="shared" si="12"/>
        <v>0</v>
      </c>
      <c r="AQ36" s="202">
        <f t="shared" si="13"/>
        <v>0</v>
      </c>
      <c r="AR36" s="208" t="s">
        <v>97</v>
      </c>
      <c r="AS36" s="216" t="s">
        <v>1659</v>
      </c>
      <c r="AT36" s="234">
        <v>327310</v>
      </c>
      <c r="AU36" s="244">
        <f t="shared" si="14"/>
        <v>3.2324411185920003</v>
      </c>
      <c r="AV36" s="244">
        <f t="shared" si="15"/>
        <v>0</v>
      </c>
      <c r="AW36" s="244">
        <f t="shared" si="16"/>
        <v>3.2324411185920003</v>
      </c>
      <c r="AX36" s="244">
        <f t="shared" si="17"/>
        <v>0</v>
      </c>
      <c r="AY36" s="244">
        <f t="shared" si="18"/>
        <v>0</v>
      </c>
      <c r="AZ36">
        <v>2.640236150120069E-3</v>
      </c>
    </row>
    <row r="37" spans="1:52" ht="15" customHeight="1" x14ac:dyDescent="0.35">
      <c r="A37" s="66" t="s">
        <v>97</v>
      </c>
      <c r="B37" s="67" t="s">
        <v>130</v>
      </c>
      <c r="C37" s="67" t="s">
        <v>108</v>
      </c>
      <c r="D37" s="67" t="s">
        <v>109</v>
      </c>
      <c r="E37" s="67" t="s">
        <v>109</v>
      </c>
      <c r="F37" s="67" t="s">
        <v>107</v>
      </c>
      <c r="G37" s="67" t="s">
        <v>52</v>
      </c>
      <c r="H37" s="67" t="s">
        <v>110</v>
      </c>
      <c r="I37" s="67" t="s">
        <v>127</v>
      </c>
      <c r="J37" s="76"/>
      <c r="K37" s="228">
        <v>40</v>
      </c>
      <c r="L37" s="269"/>
      <c r="M37" s="269"/>
      <c r="N37" s="269"/>
      <c r="O37" s="269">
        <v>1.7</v>
      </c>
      <c r="P37" s="269"/>
      <c r="Q37" s="269"/>
      <c r="R37" s="269" t="s">
        <v>112</v>
      </c>
      <c r="S37" s="233" t="s">
        <v>105</v>
      </c>
      <c r="T37" s="70"/>
      <c r="U37" s="238">
        <f t="shared" si="4"/>
        <v>1.26E-2</v>
      </c>
      <c r="V37" s="238">
        <f t="shared" si="5"/>
        <v>0</v>
      </c>
      <c r="W37" s="238">
        <f t="shared" si="6"/>
        <v>1.26E-2</v>
      </c>
      <c r="X37" s="238">
        <f t="shared" si="7"/>
        <v>0</v>
      </c>
      <c r="Y37" s="238">
        <f t="shared" si="8"/>
        <v>0</v>
      </c>
      <c r="Z37" s="70">
        <v>1.26E-2</v>
      </c>
      <c r="AA37" s="70"/>
      <c r="AB37" s="70">
        <v>1.26E-2</v>
      </c>
      <c r="AC37" s="70"/>
      <c r="AD37" s="71"/>
      <c r="AE37" s="233"/>
      <c r="AF37" s="72"/>
      <c r="AG37" s="73">
        <v>64.135736480000006</v>
      </c>
      <c r="AH37" s="74">
        <v>0.80811027964800008</v>
      </c>
      <c r="AI37" s="74">
        <v>0</v>
      </c>
      <c r="AJ37" s="74">
        <v>0.80811027964800008</v>
      </c>
      <c r="AK37" s="74">
        <v>0</v>
      </c>
      <c r="AL37" s="75">
        <v>0</v>
      </c>
      <c r="AM37" s="202">
        <f t="shared" si="9"/>
        <v>4.8890156127556861E-5</v>
      </c>
      <c r="AN37" s="202">
        <f t="shared" si="10"/>
        <v>0</v>
      </c>
      <c r="AO37" s="202">
        <f t="shared" si="11"/>
        <v>4.8890156127556861E-5</v>
      </c>
      <c r="AP37" s="202">
        <f t="shared" si="12"/>
        <v>0</v>
      </c>
      <c r="AQ37" s="202">
        <f t="shared" si="13"/>
        <v>0</v>
      </c>
      <c r="AR37" s="208" t="s">
        <v>97</v>
      </c>
      <c r="AS37" s="216" t="s">
        <v>1659</v>
      </c>
      <c r="AT37" s="234">
        <v>327310</v>
      </c>
      <c r="AU37" s="244">
        <f t="shared" si="14"/>
        <v>0.80811027964800008</v>
      </c>
      <c r="AV37" s="244">
        <f t="shared" si="15"/>
        <v>0</v>
      </c>
      <c r="AW37" s="244">
        <f t="shared" si="16"/>
        <v>0.80811027964800008</v>
      </c>
      <c r="AX37" s="244">
        <f t="shared" si="17"/>
        <v>0</v>
      </c>
      <c r="AY37" s="244">
        <f t="shared" si="18"/>
        <v>0</v>
      </c>
      <c r="AZ37">
        <v>6.6005903753001724E-4</v>
      </c>
    </row>
    <row r="38" spans="1:52" ht="15" customHeight="1" x14ac:dyDescent="0.35">
      <c r="A38" s="66" t="s">
        <v>97</v>
      </c>
      <c r="B38" s="67" t="s">
        <v>130</v>
      </c>
      <c r="C38" s="67" t="s">
        <v>48</v>
      </c>
      <c r="D38" s="67" t="s">
        <v>113</v>
      </c>
      <c r="E38" s="67" t="s">
        <v>113</v>
      </c>
      <c r="F38" s="67" t="s">
        <v>114</v>
      </c>
      <c r="G38" s="67" t="s">
        <v>52</v>
      </c>
      <c r="H38" s="67" t="s">
        <v>115</v>
      </c>
      <c r="I38" s="67" t="s">
        <v>116</v>
      </c>
      <c r="J38" s="68">
        <v>0.7</v>
      </c>
      <c r="K38" s="228">
        <f t="shared" si="3"/>
        <v>1450</v>
      </c>
      <c r="L38" s="269">
        <v>1450</v>
      </c>
      <c r="M38" s="269"/>
      <c r="N38" s="269"/>
      <c r="O38" s="269"/>
      <c r="P38" s="269"/>
      <c r="Q38" s="269"/>
      <c r="R38" s="269" t="s">
        <v>128</v>
      </c>
      <c r="S38" s="233" t="s">
        <v>105</v>
      </c>
      <c r="T38" s="70"/>
      <c r="U38" s="238">
        <f t="shared" si="4"/>
        <v>3.8968000000000003</v>
      </c>
      <c r="V38" s="238">
        <f t="shared" si="5"/>
        <v>0</v>
      </c>
      <c r="W38" s="238">
        <f t="shared" si="6"/>
        <v>4.6799999999999994E-2</v>
      </c>
      <c r="X38" s="238">
        <f t="shared" si="7"/>
        <v>3.85</v>
      </c>
      <c r="Y38" s="238">
        <f t="shared" si="8"/>
        <v>0</v>
      </c>
      <c r="Z38" s="70">
        <v>3.8968000000000003</v>
      </c>
      <c r="AA38" s="70"/>
      <c r="AB38" s="70">
        <v>4.6799999999999994E-2</v>
      </c>
      <c r="AC38" s="70">
        <v>3.85</v>
      </c>
      <c r="AD38" s="71"/>
      <c r="AE38" s="233"/>
      <c r="AF38" s="72"/>
      <c r="AG38" s="73">
        <v>64.135736480000006</v>
      </c>
      <c r="AH38" s="74">
        <v>249.92413791526403</v>
      </c>
      <c r="AI38" s="74">
        <v>0</v>
      </c>
      <c r="AJ38" s="74">
        <v>3.0015524672639997</v>
      </c>
      <c r="AK38" s="74">
        <v>246.92258544800004</v>
      </c>
      <c r="AL38" s="75">
        <v>0</v>
      </c>
      <c r="AM38" s="202">
        <f t="shared" si="9"/>
        <v>1.5120250825227268E-2</v>
      </c>
      <c r="AN38" s="202">
        <f t="shared" si="10"/>
        <v>0</v>
      </c>
      <c r="AO38" s="202">
        <f t="shared" si="11"/>
        <v>1.8159200847378261E-4</v>
      </c>
      <c r="AP38" s="202">
        <f t="shared" si="12"/>
        <v>1.4938658816753487E-2</v>
      </c>
      <c r="AQ38" s="202">
        <f t="shared" si="13"/>
        <v>0</v>
      </c>
      <c r="AR38" s="208" t="s">
        <v>97</v>
      </c>
      <c r="AS38" s="216" t="s">
        <v>1659</v>
      </c>
      <c r="AT38" s="234">
        <v>327310</v>
      </c>
      <c r="AU38" s="244">
        <f t="shared" si="14"/>
        <v>249.92413791526403</v>
      </c>
      <c r="AV38" s="244">
        <f t="shared" si="15"/>
        <v>0</v>
      </c>
      <c r="AW38" s="244">
        <f t="shared" si="16"/>
        <v>3.0015524672639997</v>
      </c>
      <c r="AX38" s="244">
        <f t="shared" si="17"/>
        <v>246.92258544800004</v>
      </c>
      <c r="AY38" s="244">
        <f t="shared" si="18"/>
        <v>0</v>
      </c>
      <c r="AZ38">
        <v>0.20413635376563263</v>
      </c>
    </row>
    <row r="39" spans="1:52" ht="15" customHeight="1" x14ac:dyDescent="0.35">
      <c r="A39" s="66" t="s">
        <v>97</v>
      </c>
      <c r="B39" s="67" t="s">
        <v>130</v>
      </c>
      <c r="C39" s="67" t="s">
        <v>67</v>
      </c>
      <c r="D39" s="67" t="s">
        <v>67</v>
      </c>
      <c r="E39" s="67" t="s">
        <v>118</v>
      </c>
      <c r="F39" s="67" t="s">
        <v>114</v>
      </c>
      <c r="G39" s="67" t="s">
        <v>52</v>
      </c>
      <c r="H39" s="67" t="s">
        <v>119</v>
      </c>
      <c r="I39" s="67" t="s">
        <v>120</v>
      </c>
      <c r="J39" s="68">
        <v>0.8</v>
      </c>
      <c r="K39" s="228">
        <f t="shared" si="3"/>
        <v>100</v>
      </c>
      <c r="L39" s="269">
        <v>100</v>
      </c>
      <c r="M39" s="269">
        <v>1450</v>
      </c>
      <c r="N39" s="269">
        <v>100</v>
      </c>
      <c r="O39" s="269"/>
      <c r="P39" s="269"/>
      <c r="Q39" s="269"/>
      <c r="R39" s="269" t="s">
        <v>121</v>
      </c>
      <c r="S39" s="233" t="s">
        <v>105</v>
      </c>
      <c r="T39" s="70"/>
      <c r="U39" s="238">
        <f t="shared" si="4"/>
        <v>2.52E-2</v>
      </c>
      <c r="V39" s="238">
        <f t="shared" si="5"/>
        <v>0</v>
      </c>
      <c r="W39" s="238">
        <f t="shared" si="6"/>
        <v>2.52E-2</v>
      </c>
      <c r="X39" s="238">
        <f t="shared" si="7"/>
        <v>0</v>
      </c>
      <c r="Y39" s="238">
        <f t="shared" si="8"/>
        <v>0</v>
      </c>
      <c r="Z39" s="70">
        <v>2.52E-2</v>
      </c>
      <c r="AA39" s="70"/>
      <c r="AB39" s="70">
        <v>2.52E-2</v>
      </c>
      <c r="AC39" s="70"/>
      <c r="AD39" s="71"/>
      <c r="AE39" s="233"/>
      <c r="AF39" s="72"/>
      <c r="AG39" s="73">
        <v>64.135736480000006</v>
      </c>
      <c r="AH39" s="74">
        <v>1.6162205592960002</v>
      </c>
      <c r="AI39" s="74">
        <v>0</v>
      </c>
      <c r="AJ39" s="74">
        <v>1.6162205592960002</v>
      </c>
      <c r="AK39" s="74">
        <v>0</v>
      </c>
      <c r="AL39" s="75">
        <v>0</v>
      </c>
      <c r="AM39" s="202">
        <f t="shared" si="9"/>
        <v>9.7780312255113722E-5</v>
      </c>
      <c r="AN39" s="202">
        <f t="shared" si="10"/>
        <v>0</v>
      </c>
      <c r="AO39" s="202">
        <f t="shared" si="11"/>
        <v>9.7780312255113722E-5</v>
      </c>
      <c r="AP39" s="202">
        <f t="shared" si="12"/>
        <v>0</v>
      </c>
      <c r="AQ39" s="202">
        <f t="shared" si="13"/>
        <v>0</v>
      </c>
      <c r="AR39" s="208" t="s">
        <v>97</v>
      </c>
      <c r="AS39" s="216" t="s">
        <v>1659</v>
      </c>
      <c r="AT39" s="234">
        <v>327310</v>
      </c>
      <c r="AU39" s="244">
        <f t="shared" si="14"/>
        <v>1.6162205592960002</v>
      </c>
      <c r="AV39" s="244">
        <f t="shared" si="15"/>
        <v>0</v>
      </c>
      <c r="AW39" s="244">
        <f t="shared" si="16"/>
        <v>1.6162205592960002</v>
      </c>
      <c r="AX39" s="244">
        <f t="shared" si="17"/>
        <v>0</v>
      </c>
      <c r="AY39" s="244">
        <f t="shared" si="18"/>
        <v>0</v>
      </c>
      <c r="AZ39">
        <v>1.3201180750600345E-3</v>
      </c>
    </row>
    <row r="40" spans="1:52" ht="15" customHeight="1" x14ac:dyDescent="0.35">
      <c r="A40" s="66" t="s">
        <v>97</v>
      </c>
      <c r="B40" s="67" t="s">
        <v>130</v>
      </c>
      <c r="C40" s="67" t="s">
        <v>99</v>
      </c>
      <c r="D40" s="67" t="s">
        <v>100</v>
      </c>
      <c r="E40" s="67" t="s">
        <v>122</v>
      </c>
      <c r="F40" s="67" t="s">
        <v>123</v>
      </c>
      <c r="G40" s="67" t="s">
        <v>52</v>
      </c>
      <c r="H40" s="67" t="s">
        <v>103</v>
      </c>
      <c r="I40" s="67" t="s">
        <v>104</v>
      </c>
      <c r="J40" s="76"/>
      <c r="K40" s="228">
        <v>100</v>
      </c>
      <c r="L40" s="269"/>
      <c r="M40" s="269"/>
      <c r="N40" s="269"/>
      <c r="O40" s="269"/>
      <c r="P40" s="269"/>
      <c r="Q40" s="269"/>
      <c r="R40" s="269"/>
      <c r="S40" s="233" t="s">
        <v>105</v>
      </c>
      <c r="T40" s="70"/>
      <c r="U40" s="238">
        <f t="shared" si="4"/>
        <v>0.20519999999999999</v>
      </c>
      <c r="V40" s="238">
        <f t="shared" si="5"/>
        <v>0</v>
      </c>
      <c r="W40" s="238">
        <f t="shared" si="6"/>
        <v>0.20519999999999999</v>
      </c>
      <c r="X40" s="238">
        <f t="shared" si="7"/>
        <v>0</v>
      </c>
      <c r="Y40" s="238">
        <f t="shared" si="8"/>
        <v>0</v>
      </c>
      <c r="Z40" s="70">
        <v>0.20519999999999999</v>
      </c>
      <c r="AA40" s="70"/>
      <c r="AB40" s="70">
        <v>0.20519999999999999</v>
      </c>
      <c r="AC40" s="70"/>
      <c r="AD40" s="71"/>
      <c r="AE40" s="233"/>
      <c r="AF40" s="72"/>
      <c r="AG40" s="73">
        <v>64.135736480000006</v>
      </c>
      <c r="AH40" s="74">
        <v>13.160653125696001</v>
      </c>
      <c r="AI40" s="74">
        <v>0</v>
      </c>
      <c r="AJ40" s="74">
        <v>13.160653125696001</v>
      </c>
      <c r="AK40" s="74">
        <v>0</v>
      </c>
      <c r="AL40" s="75">
        <v>0</v>
      </c>
      <c r="AM40" s="202">
        <f t="shared" si="9"/>
        <v>7.9621111407735467E-4</v>
      </c>
      <c r="AN40" s="202">
        <f t="shared" si="10"/>
        <v>0</v>
      </c>
      <c r="AO40" s="202">
        <f t="shared" si="11"/>
        <v>7.9621111407735467E-4</v>
      </c>
      <c r="AP40" s="202">
        <f t="shared" si="12"/>
        <v>0</v>
      </c>
      <c r="AQ40" s="202">
        <f t="shared" si="13"/>
        <v>0</v>
      </c>
      <c r="AR40" s="208" t="s">
        <v>97</v>
      </c>
      <c r="AS40" s="216" t="s">
        <v>1659</v>
      </c>
      <c r="AT40" s="234">
        <v>327310</v>
      </c>
      <c r="AU40" s="244">
        <f t="shared" si="14"/>
        <v>13.160653125696001</v>
      </c>
      <c r="AV40" s="244">
        <f t="shared" si="15"/>
        <v>0</v>
      </c>
      <c r="AW40" s="244">
        <f t="shared" si="16"/>
        <v>13.160653125696001</v>
      </c>
      <c r="AX40" s="244">
        <f t="shared" si="17"/>
        <v>0</v>
      </c>
      <c r="AY40" s="244">
        <f t="shared" si="18"/>
        <v>0</v>
      </c>
      <c r="AZ40">
        <v>1.0749532896917423E-2</v>
      </c>
    </row>
    <row r="41" spans="1:52" ht="15" customHeight="1" x14ac:dyDescent="0.35">
      <c r="A41" s="77" t="s">
        <v>97</v>
      </c>
      <c r="B41" s="78" t="s">
        <v>130</v>
      </c>
      <c r="C41" s="78" t="s">
        <v>124</v>
      </c>
      <c r="D41" s="78" t="s">
        <v>124</v>
      </c>
      <c r="E41" s="78" t="s">
        <v>124</v>
      </c>
      <c r="F41" s="78" t="s">
        <v>123</v>
      </c>
      <c r="G41" s="78" t="s">
        <v>52</v>
      </c>
      <c r="H41" s="78" t="s">
        <v>125</v>
      </c>
      <c r="I41" s="78" t="s">
        <v>125</v>
      </c>
      <c r="J41" s="79"/>
      <c r="K41" s="228">
        <v>30</v>
      </c>
      <c r="L41" s="269"/>
      <c r="M41" s="269"/>
      <c r="N41" s="269"/>
      <c r="O41" s="269"/>
      <c r="P41" s="269"/>
      <c r="Q41" s="269"/>
      <c r="R41" s="269"/>
      <c r="S41" s="233" t="s">
        <v>105</v>
      </c>
      <c r="T41" s="82"/>
      <c r="U41" s="238">
        <f t="shared" si="4"/>
        <v>5.4000000000000003E-3</v>
      </c>
      <c r="V41" s="238">
        <f t="shared" si="5"/>
        <v>0</v>
      </c>
      <c r="W41" s="238">
        <f t="shared" si="6"/>
        <v>5.4000000000000003E-3</v>
      </c>
      <c r="X41" s="238">
        <f t="shared" si="7"/>
        <v>0</v>
      </c>
      <c r="Y41" s="238">
        <f t="shared" si="8"/>
        <v>0</v>
      </c>
      <c r="Z41" s="70">
        <v>5.4000000000000003E-3</v>
      </c>
      <c r="AA41" s="70"/>
      <c r="AB41" s="70">
        <v>5.4000000000000003E-3</v>
      </c>
      <c r="AC41" s="70"/>
      <c r="AD41" s="71"/>
      <c r="AE41" s="81"/>
      <c r="AF41" s="84"/>
      <c r="AG41" s="85">
        <v>64.135736480000006</v>
      </c>
      <c r="AH41" s="86">
        <v>0.34633297699200005</v>
      </c>
      <c r="AI41" s="86">
        <v>0</v>
      </c>
      <c r="AJ41" s="86">
        <v>0.34633297699200005</v>
      </c>
      <c r="AK41" s="86">
        <v>0</v>
      </c>
      <c r="AL41" s="87">
        <v>0</v>
      </c>
      <c r="AM41" s="202">
        <f t="shared" si="9"/>
        <v>2.0952924054667228E-5</v>
      </c>
      <c r="AN41" s="202">
        <f t="shared" si="10"/>
        <v>0</v>
      </c>
      <c r="AO41" s="202">
        <f t="shared" si="11"/>
        <v>2.0952924054667228E-5</v>
      </c>
      <c r="AP41" s="202">
        <f t="shared" si="12"/>
        <v>0</v>
      </c>
      <c r="AQ41" s="202">
        <f t="shared" si="13"/>
        <v>0</v>
      </c>
      <c r="AR41" s="212" t="s">
        <v>97</v>
      </c>
      <c r="AS41" s="216" t="s">
        <v>1659</v>
      </c>
      <c r="AT41" s="234">
        <v>327310</v>
      </c>
      <c r="AU41" s="244">
        <f t="shared" si="14"/>
        <v>0.34633297699200005</v>
      </c>
      <c r="AV41" s="244">
        <f t="shared" si="15"/>
        <v>0</v>
      </c>
      <c r="AW41" s="244">
        <f t="shared" si="16"/>
        <v>0.34633297699200005</v>
      </c>
      <c r="AX41" s="244">
        <f t="shared" si="17"/>
        <v>0</v>
      </c>
      <c r="AY41" s="244">
        <f t="shared" si="18"/>
        <v>0</v>
      </c>
      <c r="AZ41">
        <v>2.8288244465572167E-4</v>
      </c>
    </row>
    <row r="42" spans="1:52" ht="15" customHeight="1" x14ac:dyDescent="0.35">
      <c r="A42" s="66" t="s">
        <v>131</v>
      </c>
      <c r="B42" s="67" t="s">
        <v>132</v>
      </c>
      <c r="C42" s="67" t="s">
        <v>92</v>
      </c>
      <c r="D42" s="67" t="s">
        <v>133</v>
      </c>
      <c r="E42" s="67" t="s">
        <v>133</v>
      </c>
      <c r="F42" s="73" t="s">
        <v>134</v>
      </c>
      <c r="G42" s="67" t="s">
        <v>135</v>
      </c>
      <c r="H42" s="73" t="s">
        <v>136</v>
      </c>
      <c r="I42" s="73" t="s">
        <v>137</v>
      </c>
      <c r="J42" s="68">
        <v>0.75</v>
      </c>
      <c r="K42" s="228">
        <f t="shared" si="3"/>
        <v>49.5</v>
      </c>
      <c r="L42" s="269">
        <v>49.5</v>
      </c>
      <c r="M42" s="269">
        <v>22</v>
      </c>
      <c r="N42" s="269">
        <v>50</v>
      </c>
      <c r="O42" s="269"/>
      <c r="P42" s="269"/>
      <c r="Q42" s="269"/>
      <c r="R42" s="269" t="s">
        <v>138</v>
      </c>
      <c r="S42" s="90" t="s">
        <v>139</v>
      </c>
      <c r="T42" s="91">
        <f>56/2205</f>
        <v>2.5396825396825397E-2</v>
      </c>
      <c r="U42" s="238">
        <f t="shared" si="4"/>
        <v>4.6570348400000001E-3</v>
      </c>
      <c r="V42" s="238">
        <f t="shared" si="5"/>
        <v>0</v>
      </c>
      <c r="W42" s="238">
        <f t="shared" si="6"/>
        <v>2.2578284000000001E-4</v>
      </c>
      <c r="X42" s="238">
        <f t="shared" si="7"/>
        <v>0</v>
      </c>
      <c r="Y42" s="238">
        <f t="shared" si="8"/>
        <v>4.4312520000000001E-3</v>
      </c>
      <c r="Z42" s="82">
        <v>4.6570348400000001E-3</v>
      </c>
      <c r="AA42" s="82"/>
      <c r="AB42" s="82">
        <v>2.2578284000000001E-4</v>
      </c>
      <c r="AC42" s="82"/>
      <c r="AD42" s="83">
        <v>4.4312520000000001E-3</v>
      </c>
      <c r="AE42" s="233">
        <v>107</v>
      </c>
      <c r="AF42" s="72">
        <v>1.3</v>
      </c>
      <c r="AG42" s="67">
        <v>501</v>
      </c>
      <c r="AH42" s="93">
        <v>2.33317445484</v>
      </c>
      <c r="AI42" s="93">
        <v>0</v>
      </c>
      <c r="AJ42" s="93">
        <v>0.11311720284</v>
      </c>
      <c r="AK42" s="93">
        <v>0</v>
      </c>
      <c r="AL42" s="94">
        <v>2.2200572520000001</v>
      </c>
      <c r="AM42" s="202">
        <f t="shared" si="9"/>
        <v>1.4115556532660583E-4</v>
      </c>
      <c r="AN42" s="202">
        <f t="shared" si="10"/>
        <v>0</v>
      </c>
      <c r="AO42" s="202">
        <f t="shared" si="11"/>
        <v>6.8435185726990586E-6</v>
      </c>
      <c r="AP42" s="202">
        <f t="shared" si="12"/>
        <v>0</v>
      </c>
      <c r="AQ42" s="202">
        <f t="shared" si="13"/>
        <v>1.3431204675390677E-4</v>
      </c>
      <c r="AR42" s="208" t="s">
        <v>131</v>
      </c>
      <c r="AS42" s="226" t="s">
        <v>1660</v>
      </c>
      <c r="AT42" s="234">
        <v>311221</v>
      </c>
      <c r="AU42" s="244">
        <f t="shared" si="14"/>
        <v>2.33317445484</v>
      </c>
      <c r="AV42" s="244">
        <f t="shared" si="15"/>
        <v>0</v>
      </c>
      <c r="AW42" s="244">
        <f t="shared" si="16"/>
        <v>0.11311720284</v>
      </c>
      <c r="AX42" s="244">
        <f t="shared" si="17"/>
        <v>0</v>
      </c>
      <c r="AY42" s="244">
        <f t="shared" si="18"/>
        <v>2.2200572520000001</v>
      </c>
      <c r="AZ42">
        <v>1.7992476998958935E-3</v>
      </c>
    </row>
    <row r="43" spans="1:52" ht="15" customHeight="1" x14ac:dyDescent="0.35">
      <c r="A43" s="66" t="s">
        <v>131</v>
      </c>
      <c r="B43" s="67" t="s">
        <v>132</v>
      </c>
      <c r="C43" s="67" t="s">
        <v>74</v>
      </c>
      <c r="D43" s="67" t="s">
        <v>140</v>
      </c>
      <c r="E43" s="67" t="s">
        <v>141</v>
      </c>
      <c r="F43" s="73" t="s">
        <v>142</v>
      </c>
      <c r="G43" s="67" t="s">
        <v>52</v>
      </c>
      <c r="H43" s="67" t="s">
        <v>143</v>
      </c>
      <c r="I43" s="73" t="s">
        <v>144</v>
      </c>
      <c r="J43" s="68">
        <v>0.75</v>
      </c>
      <c r="K43" s="228">
        <f t="shared" si="3"/>
        <v>75</v>
      </c>
      <c r="L43" s="269">
        <v>75</v>
      </c>
      <c r="M43" s="269">
        <v>50</v>
      </c>
      <c r="N43" s="269">
        <v>75</v>
      </c>
      <c r="O43" s="269">
        <v>0.34750000000000003</v>
      </c>
      <c r="P43" s="269">
        <v>1</v>
      </c>
      <c r="Q43" s="269">
        <v>1</v>
      </c>
      <c r="R43" s="269"/>
      <c r="S43" s="95" t="s">
        <v>139</v>
      </c>
      <c r="T43" s="91"/>
      <c r="U43" s="238">
        <f t="shared" si="4"/>
        <v>2.8003754206666669E-2</v>
      </c>
      <c r="V43" s="238">
        <f t="shared" si="5"/>
        <v>0</v>
      </c>
      <c r="W43" s="238">
        <f t="shared" si="6"/>
        <v>5.5390650000000001E-4</v>
      </c>
      <c r="X43" s="238">
        <f t="shared" si="7"/>
        <v>0</v>
      </c>
      <c r="Y43" s="238">
        <f t="shared" si="8"/>
        <v>2.7449847706666669E-2</v>
      </c>
      <c r="Z43" s="91">
        <v>2.8003754206666669E-2</v>
      </c>
      <c r="AA43" s="91"/>
      <c r="AB43" s="91">
        <v>5.5390650000000001E-4</v>
      </c>
      <c r="AC43" s="91"/>
      <c r="AD43" s="92">
        <v>2.7449847706666669E-2</v>
      </c>
      <c r="AE43" s="233">
        <v>121</v>
      </c>
      <c r="AF43" s="72">
        <v>2</v>
      </c>
      <c r="AG43" s="67">
        <v>501</v>
      </c>
      <c r="AH43" s="93">
        <v>14.02988085754</v>
      </c>
      <c r="AI43" s="93">
        <v>0</v>
      </c>
      <c r="AJ43" s="93">
        <v>0.27750715650000002</v>
      </c>
      <c r="AK43" s="93">
        <v>0</v>
      </c>
      <c r="AL43" s="94">
        <v>13.752373701040002</v>
      </c>
      <c r="AM43" s="202">
        <f t="shared" si="9"/>
        <v>8.4879883705343915E-4</v>
      </c>
      <c r="AN43" s="202">
        <f t="shared" si="10"/>
        <v>0</v>
      </c>
      <c r="AO43" s="202">
        <f t="shared" si="11"/>
        <v>1.6789005844238347E-5</v>
      </c>
      <c r="AP43" s="202">
        <f t="shared" si="12"/>
        <v>0</v>
      </c>
      <c r="AQ43" s="202">
        <f t="shared" si="13"/>
        <v>8.3200983120920095E-4</v>
      </c>
      <c r="AR43" s="208" t="s">
        <v>131</v>
      </c>
      <c r="AS43" s="226" t="s">
        <v>1660</v>
      </c>
      <c r="AT43" s="234">
        <v>311221</v>
      </c>
      <c r="AU43" s="244">
        <f t="shared" si="14"/>
        <v>14.02988085754</v>
      </c>
      <c r="AV43" s="244">
        <f t="shared" si="15"/>
        <v>0</v>
      </c>
      <c r="AW43" s="244">
        <f t="shared" si="16"/>
        <v>0.27750715650000002</v>
      </c>
      <c r="AX43" s="244">
        <f t="shared" si="17"/>
        <v>0</v>
      </c>
      <c r="AY43" s="244">
        <f t="shared" si="18"/>
        <v>13.752373701040002</v>
      </c>
      <c r="AZ43">
        <v>1.0819264204773473E-2</v>
      </c>
    </row>
    <row r="44" spans="1:52" ht="15" customHeight="1" x14ac:dyDescent="0.35">
      <c r="A44" s="66" t="s">
        <v>131</v>
      </c>
      <c r="B44" s="67" t="s">
        <v>132</v>
      </c>
      <c r="C44" s="67" t="s">
        <v>99</v>
      </c>
      <c r="D44" s="67" t="s">
        <v>100</v>
      </c>
      <c r="E44" s="67" t="s">
        <v>145</v>
      </c>
      <c r="F44" s="73" t="s">
        <v>146</v>
      </c>
      <c r="G44" s="67" t="s">
        <v>52</v>
      </c>
      <c r="H44" s="67" t="s">
        <v>147</v>
      </c>
      <c r="I44" s="73" t="s">
        <v>148</v>
      </c>
      <c r="J44" s="68"/>
      <c r="K44" s="228">
        <v>30</v>
      </c>
      <c r="L44" s="269"/>
      <c r="M44" s="269"/>
      <c r="N44" s="269"/>
      <c r="O44" s="269"/>
      <c r="P44" s="269"/>
      <c r="Q44" s="269"/>
      <c r="R44" s="269"/>
      <c r="S44" s="95" t="s">
        <v>139</v>
      </c>
      <c r="T44" s="91"/>
      <c r="U44" s="238">
        <f t="shared" si="4"/>
        <v>1.08565674E-3</v>
      </c>
      <c r="V44" s="238">
        <f t="shared" si="5"/>
        <v>0</v>
      </c>
      <c r="W44" s="238">
        <f t="shared" si="6"/>
        <v>1.08565674E-3</v>
      </c>
      <c r="X44" s="238">
        <f t="shared" si="7"/>
        <v>0</v>
      </c>
      <c r="Y44" s="238">
        <f t="shared" si="8"/>
        <v>0</v>
      </c>
      <c r="Z44" s="91">
        <v>1.08565674E-3</v>
      </c>
      <c r="AA44" s="91"/>
      <c r="AB44" s="91">
        <v>1.08565674E-3</v>
      </c>
      <c r="AC44" s="91"/>
      <c r="AD44" s="92"/>
      <c r="AE44" s="233"/>
      <c r="AF44" s="72"/>
      <c r="AG44" s="67">
        <v>501</v>
      </c>
      <c r="AH44" s="93">
        <v>0.54391402674</v>
      </c>
      <c r="AI44" s="93">
        <v>0</v>
      </c>
      <c r="AJ44" s="93">
        <v>0.54391402674</v>
      </c>
      <c r="AK44" s="93">
        <v>0</v>
      </c>
      <c r="AL44" s="94">
        <v>0</v>
      </c>
      <c r="AM44" s="202">
        <f t="shared" si="9"/>
        <v>3.2906451454707154E-5</v>
      </c>
      <c r="AN44" s="202">
        <f t="shared" si="10"/>
        <v>0</v>
      </c>
      <c r="AO44" s="202">
        <f t="shared" si="11"/>
        <v>3.2906451454707154E-5</v>
      </c>
      <c r="AP44" s="202">
        <f t="shared" si="12"/>
        <v>0</v>
      </c>
      <c r="AQ44" s="202">
        <f t="shared" si="13"/>
        <v>0</v>
      </c>
      <c r="AR44" s="208" t="s">
        <v>131</v>
      </c>
      <c r="AS44" s="226" t="s">
        <v>1660</v>
      </c>
      <c r="AT44" s="234">
        <v>311221</v>
      </c>
      <c r="AU44" s="244">
        <f t="shared" si="14"/>
        <v>0.54391402674</v>
      </c>
      <c r="AV44" s="244">
        <f t="shared" si="15"/>
        <v>0</v>
      </c>
      <c r="AW44" s="244">
        <f t="shared" si="16"/>
        <v>0.54391402674</v>
      </c>
      <c r="AX44" s="244">
        <f t="shared" si="17"/>
        <v>0</v>
      </c>
      <c r="AY44" s="244">
        <f t="shared" si="18"/>
        <v>0</v>
      </c>
      <c r="AZ44">
        <v>4.1944401522267207E-4</v>
      </c>
    </row>
    <row r="45" spans="1:52" ht="15" customHeight="1" x14ac:dyDescent="0.35">
      <c r="A45" s="66" t="s">
        <v>131</v>
      </c>
      <c r="B45" s="67" t="s">
        <v>132</v>
      </c>
      <c r="C45" s="67" t="s">
        <v>149</v>
      </c>
      <c r="D45" s="67" t="s">
        <v>150</v>
      </c>
      <c r="E45" s="67" t="s">
        <v>151</v>
      </c>
      <c r="F45" s="73" t="s">
        <v>152</v>
      </c>
      <c r="G45" s="67" t="s">
        <v>52</v>
      </c>
      <c r="H45" s="73" t="s">
        <v>136</v>
      </c>
      <c r="I45" s="73" t="s">
        <v>153</v>
      </c>
      <c r="J45" s="68"/>
      <c r="K45" s="228">
        <v>30</v>
      </c>
      <c r="L45" s="269"/>
      <c r="M45" s="269"/>
      <c r="N45" s="269"/>
      <c r="O45" s="269"/>
      <c r="P45" s="269"/>
      <c r="Q45" s="269"/>
      <c r="R45" s="269"/>
      <c r="S45" s="95" t="s">
        <v>139</v>
      </c>
      <c r="T45" s="91"/>
      <c r="U45" s="238">
        <f t="shared" si="4"/>
        <v>2.5321440000000001E-5</v>
      </c>
      <c r="V45" s="238">
        <f t="shared" si="5"/>
        <v>0</v>
      </c>
      <c r="W45" s="238">
        <f t="shared" si="6"/>
        <v>2.5321440000000001E-5</v>
      </c>
      <c r="X45" s="238">
        <f t="shared" si="7"/>
        <v>0</v>
      </c>
      <c r="Y45" s="238">
        <f t="shared" si="8"/>
        <v>0</v>
      </c>
      <c r="Z45" s="91">
        <v>2.5321440000000001E-5</v>
      </c>
      <c r="AA45" s="91"/>
      <c r="AB45" s="91">
        <v>2.5321440000000001E-5</v>
      </c>
      <c r="AC45" s="91"/>
      <c r="AD45" s="92"/>
      <c r="AE45" s="233"/>
      <c r="AF45" s="72"/>
      <c r="AG45" s="67">
        <v>501</v>
      </c>
      <c r="AH45" s="93">
        <v>1.268604144E-2</v>
      </c>
      <c r="AI45" s="93">
        <v>0</v>
      </c>
      <c r="AJ45" s="93">
        <v>1.268604144E-2</v>
      </c>
      <c r="AK45" s="93">
        <v>0</v>
      </c>
      <c r="AL45" s="94">
        <v>0</v>
      </c>
      <c r="AM45" s="202">
        <f t="shared" si="9"/>
        <v>7.6749741002232439E-7</v>
      </c>
      <c r="AN45" s="202">
        <f t="shared" si="10"/>
        <v>0</v>
      </c>
      <c r="AO45" s="202">
        <f t="shared" si="11"/>
        <v>7.6749741002232439E-7</v>
      </c>
      <c r="AP45" s="202">
        <f t="shared" si="12"/>
        <v>0</v>
      </c>
      <c r="AQ45" s="202">
        <f t="shared" si="13"/>
        <v>0</v>
      </c>
      <c r="AR45" s="208" t="s">
        <v>131</v>
      </c>
      <c r="AS45" s="226" t="s">
        <v>1660</v>
      </c>
      <c r="AT45" s="234">
        <v>311221</v>
      </c>
      <c r="AU45" s="244">
        <f t="shared" si="14"/>
        <v>1.268604144E-2</v>
      </c>
      <c r="AV45" s="244">
        <f t="shared" si="15"/>
        <v>0</v>
      </c>
      <c r="AW45" s="244">
        <f t="shared" si="16"/>
        <v>1.268604144E-2</v>
      </c>
      <c r="AX45" s="244">
        <f t="shared" si="17"/>
        <v>0</v>
      </c>
      <c r="AY45" s="244">
        <f t="shared" si="18"/>
        <v>0</v>
      </c>
      <c r="AZ45">
        <v>9.7829507923655299E-6</v>
      </c>
    </row>
    <row r="46" spans="1:52" ht="15" customHeight="1" x14ac:dyDescent="0.35">
      <c r="A46" s="66" t="s">
        <v>131</v>
      </c>
      <c r="B46" s="67" t="s">
        <v>132</v>
      </c>
      <c r="C46" s="67" t="s">
        <v>154</v>
      </c>
      <c r="D46" s="67" t="s">
        <v>155</v>
      </c>
      <c r="E46" s="67" t="s">
        <v>156</v>
      </c>
      <c r="F46" s="73" t="s">
        <v>152</v>
      </c>
      <c r="G46" s="67" t="s">
        <v>52</v>
      </c>
      <c r="H46" s="67" t="s">
        <v>157</v>
      </c>
      <c r="I46" s="73" t="s">
        <v>158</v>
      </c>
      <c r="J46" s="68"/>
      <c r="K46" s="228">
        <v>30</v>
      </c>
      <c r="L46" s="269"/>
      <c r="M46" s="269"/>
      <c r="N46" s="269"/>
      <c r="O46" s="269"/>
      <c r="P46" s="269"/>
      <c r="Q46" s="269"/>
      <c r="R46" s="269"/>
      <c r="S46" s="95" t="s">
        <v>139</v>
      </c>
      <c r="T46" s="91"/>
      <c r="U46" s="238">
        <f t="shared" si="4"/>
        <v>4.6422640000000001E-4</v>
      </c>
      <c r="V46" s="238">
        <f t="shared" si="5"/>
        <v>0</v>
      </c>
      <c r="W46" s="238">
        <f t="shared" si="6"/>
        <v>4.6422640000000001E-4</v>
      </c>
      <c r="X46" s="238">
        <f t="shared" si="7"/>
        <v>0</v>
      </c>
      <c r="Y46" s="238">
        <f t="shared" si="8"/>
        <v>0</v>
      </c>
      <c r="Z46" s="91">
        <v>4.6422640000000001E-4</v>
      </c>
      <c r="AA46" s="91"/>
      <c r="AB46" s="91">
        <v>4.6422640000000001E-4</v>
      </c>
      <c r="AC46" s="91"/>
      <c r="AD46" s="92"/>
      <c r="AE46" s="233"/>
      <c r="AF46" s="72"/>
      <c r="AG46" s="67">
        <v>501</v>
      </c>
      <c r="AH46" s="93">
        <v>0.23257742640000001</v>
      </c>
      <c r="AI46" s="93">
        <v>0</v>
      </c>
      <c r="AJ46" s="93">
        <v>0.23257742640000001</v>
      </c>
      <c r="AK46" s="93">
        <v>0</v>
      </c>
      <c r="AL46" s="94">
        <v>0</v>
      </c>
      <c r="AM46" s="202">
        <f t="shared" si="9"/>
        <v>1.407078585040928E-5</v>
      </c>
      <c r="AN46" s="202">
        <f t="shared" si="10"/>
        <v>0</v>
      </c>
      <c r="AO46" s="202">
        <f t="shared" si="11"/>
        <v>1.407078585040928E-5</v>
      </c>
      <c r="AP46" s="202">
        <f t="shared" si="12"/>
        <v>0</v>
      </c>
      <c r="AQ46" s="202">
        <f t="shared" si="13"/>
        <v>0</v>
      </c>
      <c r="AR46" s="208" t="s">
        <v>131</v>
      </c>
      <c r="AS46" s="226" t="s">
        <v>1660</v>
      </c>
      <c r="AT46" s="234">
        <v>311221</v>
      </c>
      <c r="AU46" s="244">
        <f t="shared" si="14"/>
        <v>0.23257742640000001</v>
      </c>
      <c r="AV46" s="244">
        <f t="shared" si="15"/>
        <v>0</v>
      </c>
      <c r="AW46" s="244">
        <f t="shared" si="16"/>
        <v>0.23257742640000001</v>
      </c>
      <c r="AX46" s="244">
        <f t="shared" si="17"/>
        <v>0</v>
      </c>
      <c r="AY46" s="244">
        <f t="shared" si="18"/>
        <v>0</v>
      </c>
      <c r="AZ46">
        <v>1.793540978600347E-4</v>
      </c>
    </row>
    <row r="47" spans="1:52" ht="15" customHeight="1" x14ac:dyDescent="0.35">
      <c r="A47" s="66" t="s">
        <v>131</v>
      </c>
      <c r="B47" s="67" t="s">
        <v>132</v>
      </c>
      <c r="C47" s="67" t="s">
        <v>74</v>
      </c>
      <c r="D47" s="67" t="s">
        <v>75</v>
      </c>
      <c r="E47" s="67" t="s">
        <v>159</v>
      </c>
      <c r="F47" s="73" t="s">
        <v>152</v>
      </c>
      <c r="G47" s="67" t="s">
        <v>52</v>
      </c>
      <c r="H47" s="73" t="s">
        <v>160</v>
      </c>
      <c r="I47" s="67" t="s">
        <v>161</v>
      </c>
      <c r="J47" s="76" t="s">
        <v>78</v>
      </c>
      <c r="K47" s="228">
        <f t="shared" si="3"/>
        <v>150</v>
      </c>
      <c r="L47" s="269">
        <v>150</v>
      </c>
      <c r="M47" s="269">
        <v>22</v>
      </c>
      <c r="N47" s="269">
        <v>150</v>
      </c>
      <c r="O47" s="269">
        <v>10</v>
      </c>
      <c r="P47" s="269">
        <v>1</v>
      </c>
      <c r="Q47" s="269">
        <v>1</v>
      </c>
      <c r="R47" s="269"/>
      <c r="S47" s="95" t="s">
        <v>139</v>
      </c>
      <c r="T47" s="91"/>
      <c r="U47" s="238">
        <f t="shared" si="4"/>
        <v>9.5377424000000002E-3</v>
      </c>
      <c r="V47" s="238">
        <f t="shared" si="5"/>
        <v>0</v>
      </c>
      <c r="W47" s="238">
        <f t="shared" si="6"/>
        <v>0</v>
      </c>
      <c r="X47" s="238">
        <f t="shared" si="7"/>
        <v>0</v>
      </c>
      <c r="Y47" s="238">
        <f t="shared" si="8"/>
        <v>9.5377424000000002E-3</v>
      </c>
      <c r="Z47" s="91">
        <v>9.5377424000000002E-3</v>
      </c>
      <c r="AA47" s="91"/>
      <c r="AB47" s="91"/>
      <c r="AC47" s="91"/>
      <c r="AD47" s="92">
        <v>9.5377424000000002E-3</v>
      </c>
      <c r="AE47" s="233">
        <v>186</v>
      </c>
      <c r="AF47" s="72">
        <v>10.3</v>
      </c>
      <c r="AG47" s="67">
        <v>501</v>
      </c>
      <c r="AH47" s="93">
        <v>4.7784089424000005</v>
      </c>
      <c r="AI47" s="93">
        <v>0</v>
      </c>
      <c r="AJ47" s="93">
        <v>0</v>
      </c>
      <c r="AK47" s="93">
        <v>0</v>
      </c>
      <c r="AL47" s="94">
        <v>4.7784089424000005</v>
      </c>
      <c r="AM47" s="202">
        <f t="shared" si="9"/>
        <v>2.8909069110840888E-4</v>
      </c>
      <c r="AN47" s="202">
        <f t="shared" si="10"/>
        <v>0</v>
      </c>
      <c r="AO47" s="202">
        <f t="shared" si="11"/>
        <v>0</v>
      </c>
      <c r="AP47" s="202">
        <f t="shared" si="12"/>
        <v>0</v>
      </c>
      <c r="AQ47" s="202">
        <f t="shared" si="13"/>
        <v>2.8909069110840888E-4</v>
      </c>
      <c r="AR47" s="208" t="s">
        <v>131</v>
      </c>
      <c r="AS47" s="226" t="s">
        <v>1660</v>
      </c>
      <c r="AT47" s="234">
        <v>311221</v>
      </c>
      <c r="AU47" s="244">
        <f t="shared" si="14"/>
        <v>4.7784089424000005</v>
      </c>
      <c r="AV47" s="244">
        <f t="shared" si="15"/>
        <v>0</v>
      </c>
      <c r="AW47" s="244">
        <f t="shared" si="16"/>
        <v>0</v>
      </c>
      <c r="AX47" s="244">
        <f t="shared" si="17"/>
        <v>0</v>
      </c>
      <c r="AY47" s="244">
        <f t="shared" si="18"/>
        <v>4.7784089424000005</v>
      </c>
      <c r="AZ47">
        <v>3.6849114651243495E-3</v>
      </c>
    </row>
    <row r="48" spans="1:52" ht="15" customHeight="1" x14ac:dyDescent="0.35">
      <c r="A48" s="66" t="s">
        <v>131</v>
      </c>
      <c r="B48" s="67" t="s">
        <v>132</v>
      </c>
      <c r="C48" s="67" t="s">
        <v>154</v>
      </c>
      <c r="D48" s="67" t="s">
        <v>162</v>
      </c>
      <c r="E48" s="67" t="s">
        <v>163</v>
      </c>
      <c r="F48" s="67" t="s">
        <v>164</v>
      </c>
      <c r="G48" s="67" t="s">
        <v>52</v>
      </c>
      <c r="H48" s="73" t="s">
        <v>165</v>
      </c>
      <c r="I48" s="67" t="s">
        <v>166</v>
      </c>
      <c r="J48" s="68"/>
      <c r="K48" s="228">
        <v>30</v>
      </c>
      <c r="L48" s="269"/>
      <c r="M48" s="269"/>
      <c r="N48" s="269"/>
      <c r="O48" s="269"/>
      <c r="P48" s="269"/>
      <c r="Q48" s="269"/>
      <c r="R48" s="269"/>
      <c r="S48" s="95" t="s">
        <v>139</v>
      </c>
      <c r="T48" s="91"/>
      <c r="U48" s="238">
        <f t="shared" si="4"/>
        <v>2.2747093600000001E-3</v>
      </c>
      <c r="V48" s="238">
        <f t="shared" si="5"/>
        <v>0</v>
      </c>
      <c r="W48" s="238">
        <f t="shared" si="6"/>
        <v>2.2747093600000001E-3</v>
      </c>
      <c r="X48" s="238">
        <f t="shared" si="7"/>
        <v>0</v>
      </c>
      <c r="Y48" s="238">
        <f t="shared" si="8"/>
        <v>0</v>
      </c>
      <c r="Z48" s="91">
        <v>2.2747093600000001E-3</v>
      </c>
      <c r="AA48" s="91"/>
      <c r="AB48" s="91">
        <v>2.2747093600000001E-3</v>
      </c>
      <c r="AC48" s="91"/>
      <c r="AD48" s="92"/>
      <c r="AE48" s="233"/>
      <c r="AF48" s="72"/>
      <c r="AG48" s="67">
        <v>501</v>
      </c>
      <c r="AH48" s="93">
        <v>1.13962938936</v>
      </c>
      <c r="AI48" s="93">
        <v>0</v>
      </c>
      <c r="AJ48" s="93">
        <v>1.13962938936</v>
      </c>
      <c r="AK48" s="93">
        <v>0</v>
      </c>
      <c r="AL48" s="94">
        <v>0</v>
      </c>
      <c r="AM48" s="202">
        <f t="shared" si="9"/>
        <v>6.8946850667005465E-5</v>
      </c>
      <c r="AN48" s="202">
        <f t="shared" si="10"/>
        <v>0</v>
      </c>
      <c r="AO48" s="202">
        <f t="shared" si="11"/>
        <v>6.8946850667005465E-5</v>
      </c>
      <c r="AP48" s="202">
        <f t="shared" si="12"/>
        <v>0</v>
      </c>
      <c r="AQ48" s="202">
        <f t="shared" si="13"/>
        <v>0</v>
      </c>
      <c r="AR48" s="208" t="s">
        <v>131</v>
      </c>
      <c r="AS48" s="226" t="s">
        <v>1660</v>
      </c>
      <c r="AT48" s="234">
        <v>311221</v>
      </c>
      <c r="AU48" s="244">
        <f t="shared" si="14"/>
        <v>1.13962938936</v>
      </c>
      <c r="AV48" s="244">
        <f t="shared" si="15"/>
        <v>0</v>
      </c>
      <c r="AW48" s="244">
        <f t="shared" si="16"/>
        <v>1.13962938936</v>
      </c>
      <c r="AX48" s="244">
        <f t="shared" si="17"/>
        <v>0</v>
      </c>
      <c r="AY48" s="244">
        <f t="shared" si="18"/>
        <v>0</v>
      </c>
      <c r="AZ48">
        <v>8.7883507951417011E-4</v>
      </c>
    </row>
    <row r="49" spans="1:52" ht="15" customHeight="1" x14ac:dyDescent="0.35">
      <c r="A49" s="66" t="s">
        <v>131</v>
      </c>
      <c r="B49" s="67" t="s">
        <v>132</v>
      </c>
      <c r="C49" s="67" t="s">
        <v>154</v>
      </c>
      <c r="D49" s="67" t="s">
        <v>155</v>
      </c>
      <c r="E49" s="67" t="s">
        <v>167</v>
      </c>
      <c r="F49" s="67" t="s">
        <v>164</v>
      </c>
      <c r="G49" s="67" t="s">
        <v>52</v>
      </c>
      <c r="H49" s="73" t="s">
        <v>168</v>
      </c>
      <c r="I49" s="67" t="s">
        <v>169</v>
      </c>
      <c r="J49" s="68"/>
      <c r="K49" s="228">
        <v>30</v>
      </c>
      <c r="L49" s="269"/>
      <c r="M49" s="269"/>
      <c r="N49" s="269"/>
      <c r="O49" s="269"/>
      <c r="P49" s="269"/>
      <c r="Q49" s="269"/>
      <c r="R49" s="269"/>
      <c r="S49" s="95" t="s">
        <v>139</v>
      </c>
      <c r="T49" s="91"/>
      <c r="U49" s="238">
        <f t="shared" si="4"/>
        <v>3.9986774000000001E-4</v>
      </c>
      <c r="V49" s="238">
        <f t="shared" si="5"/>
        <v>0</v>
      </c>
      <c r="W49" s="238">
        <f t="shared" si="6"/>
        <v>3.9986774000000001E-4</v>
      </c>
      <c r="X49" s="238">
        <f t="shared" si="7"/>
        <v>0</v>
      </c>
      <c r="Y49" s="238">
        <f t="shared" si="8"/>
        <v>0</v>
      </c>
      <c r="Z49" s="91">
        <v>3.9986774000000001E-4</v>
      </c>
      <c r="AA49" s="91"/>
      <c r="AB49" s="91">
        <v>3.9986774000000001E-4</v>
      </c>
      <c r="AC49" s="91"/>
      <c r="AD49" s="92"/>
      <c r="AE49" s="233"/>
      <c r="AF49" s="72"/>
      <c r="AG49" s="67">
        <v>501</v>
      </c>
      <c r="AH49" s="93">
        <v>0.20033373774000002</v>
      </c>
      <c r="AI49" s="93">
        <v>0</v>
      </c>
      <c r="AJ49" s="93">
        <v>0.20033373774000002</v>
      </c>
      <c r="AK49" s="93">
        <v>0</v>
      </c>
      <c r="AL49" s="94">
        <v>0</v>
      </c>
      <c r="AM49" s="202">
        <f t="shared" si="9"/>
        <v>1.2120063266602539E-5</v>
      </c>
      <c r="AN49" s="202">
        <f t="shared" si="10"/>
        <v>0</v>
      </c>
      <c r="AO49" s="202">
        <f t="shared" si="11"/>
        <v>1.2120063266602539E-5</v>
      </c>
      <c r="AP49" s="202">
        <f t="shared" si="12"/>
        <v>0</v>
      </c>
      <c r="AQ49" s="202">
        <f t="shared" si="13"/>
        <v>0</v>
      </c>
      <c r="AR49" s="208" t="s">
        <v>131</v>
      </c>
      <c r="AS49" s="226" t="s">
        <v>1660</v>
      </c>
      <c r="AT49" s="234">
        <v>311221</v>
      </c>
      <c r="AU49" s="244">
        <f t="shared" si="14"/>
        <v>0.20033373774000002</v>
      </c>
      <c r="AV49" s="244">
        <f t="shared" si="15"/>
        <v>0</v>
      </c>
      <c r="AW49" s="244">
        <f t="shared" si="16"/>
        <v>0.20033373774000002</v>
      </c>
      <c r="AX49" s="244">
        <f t="shared" si="17"/>
        <v>0</v>
      </c>
      <c r="AY49" s="244">
        <f t="shared" si="18"/>
        <v>0</v>
      </c>
      <c r="AZ49">
        <v>1.54489097929439E-4</v>
      </c>
    </row>
    <row r="50" spans="1:52" ht="15" customHeight="1" x14ac:dyDescent="0.35">
      <c r="A50" s="66" t="s">
        <v>131</v>
      </c>
      <c r="B50" s="67" t="s">
        <v>132</v>
      </c>
      <c r="C50" s="67" t="s">
        <v>154</v>
      </c>
      <c r="D50" s="67" t="s">
        <v>155</v>
      </c>
      <c r="E50" s="67" t="s">
        <v>170</v>
      </c>
      <c r="F50" s="73" t="s">
        <v>171</v>
      </c>
      <c r="G50" s="67" t="s">
        <v>52</v>
      </c>
      <c r="H50" s="73" t="s">
        <v>172</v>
      </c>
      <c r="I50" s="67" t="s">
        <v>173</v>
      </c>
      <c r="J50" s="68"/>
      <c r="K50" s="228">
        <v>30</v>
      </c>
      <c r="L50" s="269"/>
      <c r="M50" s="269"/>
      <c r="N50" s="269"/>
      <c r="O50" s="269" t="s">
        <v>174</v>
      </c>
      <c r="P50" s="269">
        <v>1</v>
      </c>
      <c r="Q50" s="269">
        <v>1</v>
      </c>
      <c r="R50" s="269"/>
      <c r="S50" s="95" t="s">
        <v>139</v>
      </c>
      <c r="T50" s="91"/>
      <c r="U50" s="238">
        <f t="shared" si="4"/>
        <v>1.05400494E-3</v>
      </c>
      <c r="V50" s="238">
        <f t="shared" si="5"/>
        <v>0</v>
      </c>
      <c r="W50" s="238">
        <f t="shared" si="6"/>
        <v>1.05400494E-3</v>
      </c>
      <c r="X50" s="238">
        <f t="shared" si="7"/>
        <v>0</v>
      </c>
      <c r="Y50" s="238">
        <f t="shared" si="8"/>
        <v>0</v>
      </c>
      <c r="Z50" s="91">
        <v>1.05400494E-3</v>
      </c>
      <c r="AA50" s="91"/>
      <c r="AB50" s="91">
        <v>1.05400494E-3</v>
      </c>
      <c r="AC50" s="91"/>
      <c r="AD50" s="92"/>
      <c r="AE50" s="233"/>
      <c r="AF50" s="72"/>
      <c r="AG50" s="96">
        <v>501</v>
      </c>
      <c r="AH50" s="93">
        <v>0.52805647493999996</v>
      </c>
      <c r="AI50" s="93">
        <v>0</v>
      </c>
      <c r="AJ50" s="93">
        <v>0.52805647493999996</v>
      </c>
      <c r="AK50" s="93">
        <v>0</v>
      </c>
      <c r="AL50" s="94">
        <v>0</v>
      </c>
      <c r="AM50" s="202">
        <f t="shared" si="9"/>
        <v>3.1947079692179252E-5</v>
      </c>
      <c r="AN50" s="202">
        <f t="shared" si="10"/>
        <v>0</v>
      </c>
      <c r="AO50" s="202">
        <f t="shared" si="11"/>
        <v>3.1947079692179252E-5</v>
      </c>
      <c r="AP50" s="202">
        <f t="shared" si="12"/>
        <v>0</v>
      </c>
      <c r="AQ50" s="202">
        <f t="shared" si="13"/>
        <v>0</v>
      </c>
      <c r="AR50" s="208" t="s">
        <v>131</v>
      </c>
      <c r="AS50" s="226" t="s">
        <v>1660</v>
      </c>
      <c r="AT50" s="234">
        <v>311221</v>
      </c>
      <c r="AU50" s="244">
        <f t="shared" si="14"/>
        <v>0.52805647493999996</v>
      </c>
      <c r="AV50" s="244">
        <f t="shared" si="15"/>
        <v>0</v>
      </c>
      <c r="AW50" s="244">
        <f t="shared" si="16"/>
        <v>0.52805647493999996</v>
      </c>
      <c r="AX50" s="244">
        <f t="shared" si="17"/>
        <v>0</v>
      </c>
      <c r="AY50" s="244">
        <f t="shared" si="18"/>
        <v>0</v>
      </c>
      <c r="AZ50">
        <v>4.0721532673221512E-4</v>
      </c>
    </row>
    <row r="51" spans="1:52" ht="15" customHeight="1" x14ac:dyDescent="0.35">
      <c r="A51" s="66" t="s">
        <v>131</v>
      </c>
      <c r="B51" s="67" t="s">
        <v>132</v>
      </c>
      <c r="C51" s="67" t="s">
        <v>154</v>
      </c>
      <c r="D51" s="67" t="s">
        <v>155</v>
      </c>
      <c r="E51" s="67" t="s">
        <v>175</v>
      </c>
      <c r="F51" s="73" t="s">
        <v>176</v>
      </c>
      <c r="G51" s="67" t="s">
        <v>52</v>
      </c>
      <c r="H51" s="67" t="s">
        <v>177</v>
      </c>
      <c r="I51" s="73" t="s">
        <v>178</v>
      </c>
      <c r="J51" s="68"/>
      <c r="K51" s="228">
        <v>30</v>
      </c>
      <c r="L51" s="269"/>
      <c r="M51" s="269"/>
      <c r="N51" s="269"/>
      <c r="O51" s="269"/>
      <c r="P51" s="269"/>
      <c r="Q51" s="269"/>
      <c r="R51" s="269"/>
      <c r="S51" s="95" t="s">
        <v>139</v>
      </c>
      <c r="T51" s="91"/>
      <c r="U51" s="238">
        <f t="shared" si="4"/>
        <v>5.4124578000000001E-4</v>
      </c>
      <c r="V51" s="238">
        <f t="shared" si="5"/>
        <v>0</v>
      </c>
      <c r="W51" s="238">
        <f t="shared" si="6"/>
        <v>5.4124578000000001E-4</v>
      </c>
      <c r="X51" s="238">
        <f t="shared" si="7"/>
        <v>0</v>
      </c>
      <c r="Y51" s="238">
        <f t="shared" si="8"/>
        <v>0</v>
      </c>
      <c r="Z51" s="91">
        <v>5.4124578000000001E-4</v>
      </c>
      <c r="AA51" s="91"/>
      <c r="AB51" s="91">
        <v>5.4124578000000001E-4</v>
      </c>
      <c r="AC51" s="91"/>
      <c r="AD51" s="92"/>
      <c r="AE51" s="233"/>
      <c r="AF51" s="72"/>
      <c r="AG51" s="67">
        <v>501</v>
      </c>
      <c r="AH51" s="93">
        <v>0.27116413577999998</v>
      </c>
      <c r="AI51" s="93">
        <v>0</v>
      </c>
      <c r="AJ51" s="93">
        <v>0.27116413577999998</v>
      </c>
      <c r="AK51" s="93">
        <v>0</v>
      </c>
      <c r="AL51" s="94">
        <v>0</v>
      </c>
      <c r="AM51" s="202">
        <f t="shared" si="9"/>
        <v>1.6405257139227181E-5</v>
      </c>
      <c r="AN51" s="202">
        <f t="shared" si="10"/>
        <v>0</v>
      </c>
      <c r="AO51" s="202">
        <f t="shared" si="11"/>
        <v>1.6405257139227181E-5</v>
      </c>
      <c r="AP51" s="202">
        <f t="shared" si="12"/>
        <v>0</v>
      </c>
      <c r="AQ51" s="202">
        <f t="shared" si="13"/>
        <v>0</v>
      </c>
      <c r="AR51" s="208" t="s">
        <v>131</v>
      </c>
      <c r="AS51" s="226" t="s">
        <v>1660</v>
      </c>
      <c r="AT51" s="234">
        <v>311221</v>
      </c>
      <c r="AU51" s="244">
        <f t="shared" si="14"/>
        <v>0.27116413577999998</v>
      </c>
      <c r="AV51" s="244">
        <f t="shared" si="15"/>
        <v>0</v>
      </c>
      <c r="AW51" s="244">
        <f t="shared" si="16"/>
        <v>0.27116413577999998</v>
      </c>
      <c r="AX51" s="244">
        <f t="shared" si="17"/>
        <v>0</v>
      </c>
      <c r="AY51" s="244">
        <f t="shared" si="18"/>
        <v>0</v>
      </c>
      <c r="AZ51">
        <v>2.0911057318681318E-4</v>
      </c>
    </row>
    <row r="52" spans="1:52" ht="15" customHeight="1" x14ac:dyDescent="0.35">
      <c r="A52" s="66" t="s">
        <v>131</v>
      </c>
      <c r="B52" s="67" t="s">
        <v>132</v>
      </c>
      <c r="C52" s="67" t="s">
        <v>74</v>
      </c>
      <c r="D52" s="67" t="s">
        <v>75</v>
      </c>
      <c r="E52" s="67" t="s">
        <v>179</v>
      </c>
      <c r="F52" s="73" t="s">
        <v>176</v>
      </c>
      <c r="G52" s="67" t="s">
        <v>52</v>
      </c>
      <c r="H52" s="73" t="s">
        <v>160</v>
      </c>
      <c r="I52" s="67" t="s">
        <v>180</v>
      </c>
      <c r="J52" s="68">
        <v>0.3</v>
      </c>
      <c r="K52" s="228">
        <f t="shared" si="3"/>
        <v>145</v>
      </c>
      <c r="L52" s="269">
        <v>145</v>
      </c>
      <c r="M52" s="269">
        <v>22</v>
      </c>
      <c r="N52" s="269">
        <v>145</v>
      </c>
      <c r="O52" s="269"/>
      <c r="P52" s="269"/>
      <c r="Q52" s="269"/>
      <c r="R52" s="269"/>
      <c r="S52" s="95" t="s">
        <v>139</v>
      </c>
      <c r="T52" s="91"/>
      <c r="U52" s="238">
        <f t="shared" si="4"/>
        <v>1.2509494733333335E-2</v>
      </c>
      <c r="V52" s="238">
        <f t="shared" si="5"/>
        <v>0</v>
      </c>
      <c r="W52" s="238">
        <f t="shared" si="6"/>
        <v>0</v>
      </c>
      <c r="X52" s="238">
        <f t="shared" si="7"/>
        <v>1.2509494733333335E-2</v>
      </c>
      <c r="Y52" s="238">
        <f t="shared" si="8"/>
        <v>0</v>
      </c>
      <c r="Z52" s="91">
        <v>1.2509494733333335E-2</v>
      </c>
      <c r="AA52" s="91"/>
      <c r="AB52" s="91"/>
      <c r="AC52" s="91">
        <v>1.2509494733333335E-2</v>
      </c>
      <c r="AD52" s="92"/>
      <c r="AE52" s="233"/>
      <c r="AF52" s="72"/>
      <c r="AG52" s="67">
        <v>501</v>
      </c>
      <c r="AH52" s="93">
        <v>6.2672568614000008</v>
      </c>
      <c r="AI52" s="93">
        <v>0</v>
      </c>
      <c r="AJ52" s="93">
        <v>0</v>
      </c>
      <c r="AK52" s="93">
        <v>6.2672568614000008</v>
      </c>
      <c r="AL52" s="94">
        <v>0</v>
      </c>
      <c r="AM52" s="202">
        <f t="shared" si="9"/>
        <v>3.7916503992352889E-4</v>
      </c>
      <c r="AN52" s="202">
        <f t="shared" si="10"/>
        <v>0</v>
      </c>
      <c r="AO52" s="202">
        <f t="shared" si="11"/>
        <v>0</v>
      </c>
      <c r="AP52" s="202">
        <f t="shared" si="12"/>
        <v>3.7916503992352889E-4</v>
      </c>
      <c r="AQ52" s="202">
        <f t="shared" si="13"/>
        <v>0</v>
      </c>
      <c r="AR52" s="208" t="s">
        <v>131</v>
      </c>
      <c r="AS52" s="226" t="s">
        <v>1660</v>
      </c>
      <c r="AT52" s="234">
        <v>311221</v>
      </c>
      <c r="AU52" s="244">
        <f t="shared" si="14"/>
        <v>6.2672568614000008</v>
      </c>
      <c r="AV52" s="244">
        <f t="shared" si="15"/>
        <v>0</v>
      </c>
      <c r="AW52" s="244">
        <f t="shared" si="16"/>
        <v>0</v>
      </c>
      <c r="AX52" s="244">
        <f t="shared" si="17"/>
        <v>6.2672568614000008</v>
      </c>
      <c r="AY52" s="244">
        <f t="shared" si="18"/>
        <v>0</v>
      </c>
      <c r="AZ52">
        <v>4.8330494400616935E-3</v>
      </c>
    </row>
    <row r="53" spans="1:52" ht="15" customHeight="1" x14ac:dyDescent="0.35">
      <c r="A53" s="66" t="s">
        <v>131</v>
      </c>
      <c r="B53" s="67" t="s">
        <v>132</v>
      </c>
      <c r="C53" s="67" t="s">
        <v>154</v>
      </c>
      <c r="D53" s="67" t="s">
        <v>155</v>
      </c>
      <c r="E53" s="67" t="s">
        <v>181</v>
      </c>
      <c r="F53" s="73" t="s">
        <v>182</v>
      </c>
      <c r="G53" s="67" t="s">
        <v>52</v>
      </c>
      <c r="H53" s="73" t="s">
        <v>177</v>
      </c>
      <c r="I53" s="67" t="s">
        <v>183</v>
      </c>
      <c r="J53" s="68"/>
      <c r="K53" s="228">
        <v>30</v>
      </c>
      <c r="L53" s="269"/>
      <c r="M53" s="269"/>
      <c r="N53" s="269"/>
      <c r="O53" s="269"/>
      <c r="P53" s="269"/>
      <c r="Q53" s="269"/>
      <c r="R53" s="269" t="s">
        <v>184</v>
      </c>
      <c r="S53" s="95" t="s">
        <v>139</v>
      </c>
      <c r="T53" s="91"/>
      <c r="U53" s="238">
        <f t="shared" si="4"/>
        <v>2.8201753800000001E-3</v>
      </c>
      <c r="V53" s="238">
        <f t="shared" si="5"/>
        <v>0</v>
      </c>
      <c r="W53" s="238">
        <f t="shared" si="6"/>
        <v>2.8201753800000001E-3</v>
      </c>
      <c r="X53" s="238">
        <f t="shared" si="7"/>
        <v>0</v>
      </c>
      <c r="Y53" s="238">
        <f t="shared" si="8"/>
        <v>0</v>
      </c>
      <c r="Z53" s="91">
        <v>2.8201753800000001E-3</v>
      </c>
      <c r="AA53" s="91"/>
      <c r="AB53" s="91">
        <v>2.8201753800000001E-3</v>
      </c>
      <c r="AC53" s="91"/>
      <c r="AD53" s="92"/>
      <c r="AE53" s="233"/>
      <c r="AF53" s="72"/>
      <c r="AG53" s="67">
        <v>501</v>
      </c>
      <c r="AH53" s="93">
        <v>1.41290786538</v>
      </c>
      <c r="AI53" s="93">
        <v>0</v>
      </c>
      <c r="AJ53" s="93">
        <v>1.41290786538</v>
      </c>
      <c r="AK53" s="93">
        <v>0</v>
      </c>
      <c r="AL53" s="94">
        <v>0</v>
      </c>
      <c r="AM53" s="202">
        <f t="shared" si="9"/>
        <v>8.548002404123637E-5</v>
      </c>
      <c r="AN53" s="202">
        <f t="shared" si="10"/>
        <v>0</v>
      </c>
      <c r="AO53" s="202">
        <f t="shared" si="11"/>
        <v>8.548002404123637E-5</v>
      </c>
      <c r="AP53" s="202">
        <f t="shared" si="12"/>
        <v>0</v>
      </c>
      <c r="AQ53" s="202">
        <f t="shared" si="13"/>
        <v>0</v>
      </c>
      <c r="AR53" s="208" t="s">
        <v>131</v>
      </c>
      <c r="AS53" s="226" t="s">
        <v>1660</v>
      </c>
      <c r="AT53" s="234">
        <v>311221</v>
      </c>
      <c r="AU53" s="244">
        <f t="shared" si="14"/>
        <v>1.41290786538</v>
      </c>
      <c r="AV53" s="244">
        <f t="shared" si="15"/>
        <v>0</v>
      </c>
      <c r="AW53" s="244">
        <f t="shared" si="16"/>
        <v>1.41290786538</v>
      </c>
      <c r="AX53" s="244">
        <f t="shared" si="17"/>
        <v>0</v>
      </c>
      <c r="AY53" s="244">
        <f t="shared" si="18"/>
        <v>0</v>
      </c>
      <c r="AZ53">
        <v>1.0895761444997109E-3</v>
      </c>
    </row>
    <row r="54" spans="1:52" ht="15" customHeight="1" x14ac:dyDescent="0.35">
      <c r="A54" s="66" t="s">
        <v>131</v>
      </c>
      <c r="B54" s="67" t="s">
        <v>132</v>
      </c>
      <c r="C54" s="67" t="s">
        <v>74</v>
      </c>
      <c r="D54" s="67" t="s">
        <v>75</v>
      </c>
      <c r="E54" s="67" t="s">
        <v>185</v>
      </c>
      <c r="F54" s="73" t="s">
        <v>186</v>
      </c>
      <c r="G54" s="67" t="s">
        <v>52</v>
      </c>
      <c r="H54" s="73" t="s">
        <v>160</v>
      </c>
      <c r="I54" s="67" t="s">
        <v>187</v>
      </c>
      <c r="J54" s="68">
        <v>0.35</v>
      </c>
      <c r="K54" s="228">
        <f t="shared" si="3"/>
        <v>135</v>
      </c>
      <c r="L54" s="269">
        <v>135</v>
      </c>
      <c r="M54" s="269">
        <v>22</v>
      </c>
      <c r="N54" s="269">
        <v>135</v>
      </c>
      <c r="O54" s="269"/>
      <c r="P54" s="269"/>
      <c r="Q54" s="269"/>
      <c r="R54" s="269"/>
      <c r="S54" s="95" t="s">
        <v>139</v>
      </c>
      <c r="T54" s="91"/>
      <c r="U54" s="238">
        <f t="shared" si="4"/>
        <v>8.1390342857142861E-2</v>
      </c>
      <c r="V54" s="238">
        <f t="shared" si="5"/>
        <v>0</v>
      </c>
      <c r="W54" s="238">
        <f t="shared" si="6"/>
        <v>0</v>
      </c>
      <c r="X54" s="238">
        <f t="shared" si="7"/>
        <v>8.1390342857142861E-2</v>
      </c>
      <c r="Y54" s="238">
        <f t="shared" si="8"/>
        <v>0</v>
      </c>
      <c r="Z54" s="91">
        <v>8.1390342857142861E-2</v>
      </c>
      <c r="AA54" s="91"/>
      <c r="AB54" s="91"/>
      <c r="AC54" s="91">
        <v>8.1390342857142861E-2</v>
      </c>
      <c r="AD54" s="92"/>
      <c r="AE54" s="233"/>
      <c r="AF54" s="72"/>
      <c r="AG54" s="67">
        <v>501</v>
      </c>
      <c r="AH54" s="93">
        <v>40.776561771428575</v>
      </c>
      <c r="AI54" s="93">
        <v>0</v>
      </c>
      <c r="AJ54" s="93">
        <v>0</v>
      </c>
      <c r="AK54" s="93">
        <v>40.776561771428575</v>
      </c>
      <c r="AL54" s="94">
        <v>0</v>
      </c>
      <c r="AM54" s="202">
        <f t="shared" si="9"/>
        <v>2.4669559607860426E-3</v>
      </c>
      <c r="AN54" s="202">
        <f t="shared" si="10"/>
        <v>0</v>
      </c>
      <c r="AO54" s="202">
        <f t="shared" si="11"/>
        <v>0</v>
      </c>
      <c r="AP54" s="202">
        <f t="shared" si="12"/>
        <v>2.4669559607860426E-3</v>
      </c>
      <c r="AQ54" s="202">
        <f t="shared" si="13"/>
        <v>0</v>
      </c>
      <c r="AR54" s="208" t="s">
        <v>131</v>
      </c>
      <c r="AS54" s="226" t="s">
        <v>1660</v>
      </c>
      <c r="AT54" s="234">
        <v>311221</v>
      </c>
      <c r="AU54" s="244">
        <f t="shared" si="14"/>
        <v>40.776561771428575</v>
      </c>
      <c r="AV54" s="244">
        <f t="shared" si="15"/>
        <v>0</v>
      </c>
      <c r="AW54" s="244">
        <f t="shared" si="16"/>
        <v>0</v>
      </c>
      <c r="AX54" s="244">
        <f t="shared" si="17"/>
        <v>40.776561771428575</v>
      </c>
      <c r="AY54" s="244">
        <f t="shared" si="18"/>
        <v>0</v>
      </c>
      <c r="AZ54">
        <v>3.144519897546063E-2</v>
      </c>
    </row>
    <row r="55" spans="1:52" ht="15" customHeight="1" x14ac:dyDescent="0.35">
      <c r="A55" s="66" t="s">
        <v>131</v>
      </c>
      <c r="B55" s="67" t="s">
        <v>132</v>
      </c>
      <c r="C55" s="67" t="s">
        <v>48</v>
      </c>
      <c r="D55" s="67" t="s">
        <v>188</v>
      </c>
      <c r="E55" s="67" t="s">
        <v>188</v>
      </c>
      <c r="F55" s="73" t="s">
        <v>189</v>
      </c>
      <c r="G55" s="67" t="s">
        <v>190</v>
      </c>
      <c r="H55" s="73" t="s">
        <v>191</v>
      </c>
      <c r="I55" s="67" t="s">
        <v>192</v>
      </c>
      <c r="J55" s="68">
        <v>0.75</v>
      </c>
      <c r="K55" s="228">
        <f t="shared" si="3"/>
        <v>115</v>
      </c>
      <c r="L55" s="269">
        <v>115</v>
      </c>
      <c r="M55" s="269">
        <v>22</v>
      </c>
      <c r="N55" s="269">
        <v>115</v>
      </c>
      <c r="O55" s="269">
        <v>5</v>
      </c>
      <c r="P55" s="269">
        <v>1</v>
      </c>
      <c r="Q55" s="269">
        <v>1</v>
      </c>
      <c r="R55" s="269" t="s">
        <v>193</v>
      </c>
      <c r="S55" s="95" t="s">
        <v>139</v>
      </c>
      <c r="T55" s="91"/>
      <c r="U55" s="238">
        <f t="shared" si="4"/>
        <v>7.8777813333333335E-3</v>
      </c>
      <c r="V55" s="238">
        <f t="shared" si="5"/>
        <v>0</v>
      </c>
      <c r="W55" s="238">
        <f t="shared" si="6"/>
        <v>0</v>
      </c>
      <c r="X55" s="238">
        <f t="shared" si="7"/>
        <v>0</v>
      </c>
      <c r="Y55" s="238">
        <f t="shared" si="8"/>
        <v>7.8777813333333335E-3</v>
      </c>
      <c r="Z55" s="91">
        <v>7.8777813333333335E-3</v>
      </c>
      <c r="AA55" s="91"/>
      <c r="AB55" s="91"/>
      <c r="AC55" s="91"/>
      <c r="AD55" s="92">
        <v>7.8777813333333335E-3</v>
      </c>
      <c r="AE55" s="233">
        <v>186</v>
      </c>
      <c r="AF55" s="72">
        <v>10.3</v>
      </c>
      <c r="AG55" s="67">
        <v>501</v>
      </c>
      <c r="AH55" s="93">
        <v>3.9467684480000003</v>
      </c>
      <c r="AI55" s="93">
        <v>0</v>
      </c>
      <c r="AJ55" s="93">
        <v>0</v>
      </c>
      <c r="AK55" s="93">
        <v>0</v>
      </c>
      <c r="AL55" s="94">
        <v>3.9467684480000003</v>
      </c>
      <c r="AM55" s="202">
        <f t="shared" si="9"/>
        <v>2.3877697200694537E-4</v>
      </c>
      <c r="AN55" s="202">
        <f t="shared" si="10"/>
        <v>0</v>
      </c>
      <c r="AO55" s="202">
        <f t="shared" si="11"/>
        <v>0</v>
      </c>
      <c r="AP55" s="202">
        <f t="shared" si="12"/>
        <v>0</v>
      </c>
      <c r="AQ55" s="202">
        <f t="shared" si="13"/>
        <v>2.3877697200694537E-4</v>
      </c>
      <c r="AR55" s="208" t="s">
        <v>131</v>
      </c>
      <c r="AS55" s="226" t="s">
        <v>1660</v>
      </c>
      <c r="AT55" s="234">
        <v>311221</v>
      </c>
      <c r="AU55" s="244">
        <f t="shared" si="14"/>
        <v>3.9467684480000003</v>
      </c>
      <c r="AV55" s="244">
        <f t="shared" si="15"/>
        <v>0</v>
      </c>
      <c r="AW55" s="244">
        <f t="shared" si="16"/>
        <v>0</v>
      </c>
      <c r="AX55" s="244">
        <f t="shared" si="17"/>
        <v>0</v>
      </c>
      <c r="AY55" s="244">
        <f t="shared" si="18"/>
        <v>3.9467684480000003</v>
      </c>
      <c r="AZ55">
        <v>3.043584690958165E-3</v>
      </c>
    </row>
    <row r="56" spans="1:52" ht="15" customHeight="1" x14ac:dyDescent="0.35">
      <c r="A56" s="66" t="s">
        <v>131</v>
      </c>
      <c r="B56" s="67" t="s">
        <v>132</v>
      </c>
      <c r="C56" s="67" t="s">
        <v>48</v>
      </c>
      <c r="D56" s="67" t="s">
        <v>194</v>
      </c>
      <c r="E56" s="67" t="s">
        <v>194</v>
      </c>
      <c r="F56" s="73" t="s">
        <v>189</v>
      </c>
      <c r="G56" s="67" t="s">
        <v>190</v>
      </c>
      <c r="H56" s="73" t="s">
        <v>136</v>
      </c>
      <c r="I56" s="67" t="s">
        <v>195</v>
      </c>
      <c r="J56" s="68">
        <v>0.75</v>
      </c>
      <c r="K56" s="228">
        <f t="shared" si="3"/>
        <v>59</v>
      </c>
      <c r="L56" s="269">
        <v>59</v>
      </c>
      <c r="M56" s="269">
        <v>115</v>
      </c>
      <c r="N56" s="269">
        <v>59</v>
      </c>
      <c r="O56" s="269"/>
      <c r="P56" s="269"/>
      <c r="Q56" s="269"/>
      <c r="R56" s="269" t="s">
        <v>196</v>
      </c>
      <c r="S56" s="95" t="s">
        <v>139</v>
      </c>
      <c r="T56" s="91"/>
      <c r="U56" s="238">
        <f t="shared" si="4"/>
        <v>7.8777813333333335E-3</v>
      </c>
      <c r="V56" s="238">
        <f t="shared" si="5"/>
        <v>0</v>
      </c>
      <c r="W56" s="238">
        <f t="shared" si="6"/>
        <v>0</v>
      </c>
      <c r="X56" s="238">
        <f t="shared" si="7"/>
        <v>0</v>
      </c>
      <c r="Y56" s="238">
        <f t="shared" si="8"/>
        <v>7.8777813333333335E-3</v>
      </c>
      <c r="Z56" s="91">
        <v>7.8777813333333335E-3</v>
      </c>
      <c r="AA56" s="91"/>
      <c r="AB56" s="91"/>
      <c r="AC56" s="91"/>
      <c r="AD56" s="92">
        <v>7.8777813333333335E-3</v>
      </c>
      <c r="AE56" s="233">
        <v>90</v>
      </c>
      <c r="AF56" s="72">
        <v>1</v>
      </c>
      <c r="AG56" s="67">
        <v>501</v>
      </c>
      <c r="AH56" s="93">
        <v>3.9467684480000003</v>
      </c>
      <c r="AI56" s="93">
        <v>0</v>
      </c>
      <c r="AJ56" s="93">
        <v>0</v>
      </c>
      <c r="AK56" s="93">
        <v>0</v>
      </c>
      <c r="AL56" s="94">
        <v>3.9467684480000003</v>
      </c>
      <c r="AM56" s="202">
        <f t="shared" si="9"/>
        <v>2.3877697200694537E-4</v>
      </c>
      <c r="AN56" s="202">
        <f t="shared" si="10"/>
        <v>0</v>
      </c>
      <c r="AO56" s="202">
        <f t="shared" si="11"/>
        <v>0</v>
      </c>
      <c r="AP56" s="202">
        <f t="shared" si="12"/>
        <v>0</v>
      </c>
      <c r="AQ56" s="202">
        <f t="shared" si="13"/>
        <v>2.3877697200694537E-4</v>
      </c>
      <c r="AR56" s="208" t="s">
        <v>131</v>
      </c>
      <c r="AS56" s="226" t="s">
        <v>1660</v>
      </c>
      <c r="AT56" s="234">
        <v>311221</v>
      </c>
      <c r="AU56" s="244">
        <f t="shared" si="14"/>
        <v>3.9467684480000003</v>
      </c>
      <c r="AV56" s="244">
        <f t="shared" si="15"/>
        <v>0</v>
      </c>
      <c r="AW56" s="244">
        <f t="shared" si="16"/>
        <v>0</v>
      </c>
      <c r="AX56" s="244">
        <f t="shared" si="17"/>
        <v>0</v>
      </c>
      <c r="AY56" s="244">
        <f t="shared" si="18"/>
        <v>3.9467684480000003</v>
      </c>
      <c r="AZ56">
        <v>3.043584690958165E-3</v>
      </c>
    </row>
    <row r="57" spans="1:52" ht="15" customHeight="1" x14ac:dyDescent="0.35">
      <c r="A57" s="66" t="s">
        <v>131</v>
      </c>
      <c r="B57" s="67" t="s">
        <v>132</v>
      </c>
      <c r="C57" s="67" t="s">
        <v>154</v>
      </c>
      <c r="D57" s="67" t="s">
        <v>197</v>
      </c>
      <c r="E57" s="67" t="s">
        <v>197</v>
      </c>
      <c r="F57" s="73" t="s">
        <v>198</v>
      </c>
      <c r="G57" s="67" t="s">
        <v>52</v>
      </c>
      <c r="H57" s="73" t="s">
        <v>199</v>
      </c>
      <c r="I57" s="67" t="s">
        <v>200</v>
      </c>
      <c r="J57" s="68">
        <v>0.75</v>
      </c>
      <c r="K57" s="228">
        <f t="shared" si="3"/>
        <v>103</v>
      </c>
      <c r="L57" s="269">
        <v>103</v>
      </c>
      <c r="M57" s="269">
        <v>59</v>
      </c>
      <c r="N57" s="269">
        <v>103</v>
      </c>
      <c r="O57" s="269"/>
      <c r="P57" s="269"/>
      <c r="Q57" s="269"/>
      <c r="R57" s="269"/>
      <c r="S57" s="95" t="s">
        <v>139</v>
      </c>
      <c r="T57" s="91"/>
      <c r="U57" s="238">
        <f t="shared" si="4"/>
        <v>1.5755562666666667E-2</v>
      </c>
      <c r="V57" s="238">
        <f t="shared" si="5"/>
        <v>0</v>
      </c>
      <c r="W57" s="238">
        <f t="shared" si="6"/>
        <v>0</v>
      </c>
      <c r="X57" s="238">
        <f t="shared" si="7"/>
        <v>0</v>
      </c>
      <c r="Y57" s="238">
        <f t="shared" si="8"/>
        <v>1.5755562666666667E-2</v>
      </c>
      <c r="Z57" s="91">
        <v>1.5755562666666667E-2</v>
      </c>
      <c r="AA57" s="91"/>
      <c r="AB57" s="91"/>
      <c r="AC57" s="91"/>
      <c r="AD57" s="92">
        <v>1.5755562666666667E-2</v>
      </c>
      <c r="AE57" s="233">
        <v>121</v>
      </c>
      <c r="AF57" s="72">
        <v>2</v>
      </c>
      <c r="AG57" s="67">
        <v>501</v>
      </c>
      <c r="AH57" s="93">
        <v>7.8935368960000005</v>
      </c>
      <c r="AI57" s="93">
        <v>0</v>
      </c>
      <c r="AJ57" s="93">
        <v>0</v>
      </c>
      <c r="AK57" s="93">
        <v>0</v>
      </c>
      <c r="AL57" s="94">
        <v>7.8935368960000005</v>
      </c>
      <c r="AM57" s="202">
        <f t="shared" si="9"/>
        <v>4.7755394401389074E-4</v>
      </c>
      <c r="AN57" s="202">
        <f t="shared" si="10"/>
        <v>0</v>
      </c>
      <c r="AO57" s="202">
        <f t="shared" si="11"/>
        <v>0</v>
      </c>
      <c r="AP57" s="202">
        <f t="shared" si="12"/>
        <v>0</v>
      </c>
      <c r="AQ57" s="202">
        <f t="shared" si="13"/>
        <v>4.7755394401389074E-4</v>
      </c>
      <c r="AR57" s="208" t="s">
        <v>131</v>
      </c>
      <c r="AS57" s="226" t="s">
        <v>1660</v>
      </c>
      <c r="AT57" s="234">
        <v>311221</v>
      </c>
      <c r="AU57" s="244">
        <f t="shared" si="14"/>
        <v>7.8935368960000005</v>
      </c>
      <c r="AV57" s="244">
        <f t="shared" si="15"/>
        <v>0</v>
      </c>
      <c r="AW57" s="244">
        <f t="shared" si="16"/>
        <v>0</v>
      </c>
      <c r="AX57" s="244">
        <f t="shared" si="17"/>
        <v>0</v>
      </c>
      <c r="AY57" s="244">
        <f t="shared" si="18"/>
        <v>7.8935368960000005</v>
      </c>
      <c r="AZ57">
        <v>6.0871693819163301E-3</v>
      </c>
    </row>
    <row r="58" spans="1:52" ht="15" customHeight="1" x14ac:dyDescent="0.35">
      <c r="A58" s="66" t="s">
        <v>131</v>
      </c>
      <c r="B58" s="67" t="s">
        <v>132</v>
      </c>
      <c r="C58" s="67" t="s">
        <v>74</v>
      </c>
      <c r="D58" s="67" t="s">
        <v>140</v>
      </c>
      <c r="E58" s="67" t="s">
        <v>140</v>
      </c>
      <c r="F58" s="73" t="s">
        <v>189</v>
      </c>
      <c r="G58" s="67" t="s">
        <v>52</v>
      </c>
      <c r="H58" s="73" t="s">
        <v>143</v>
      </c>
      <c r="I58" s="67" t="s">
        <v>201</v>
      </c>
      <c r="J58" s="68">
        <v>0.75</v>
      </c>
      <c r="K58" s="228">
        <f t="shared" si="3"/>
        <v>118</v>
      </c>
      <c r="L58" s="269">
        <v>118</v>
      </c>
      <c r="M58" s="269">
        <v>103</v>
      </c>
      <c r="N58" s="269">
        <v>118</v>
      </c>
      <c r="O58" s="269">
        <v>0.34750000000000003</v>
      </c>
      <c r="P58" s="269">
        <v>1</v>
      </c>
      <c r="Q58" s="269">
        <v>1</v>
      </c>
      <c r="R58" s="269"/>
      <c r="S58" s="95" t="s">
        <v>139</v>
      </c>
      <c r="T58" s="91"/>
      <c r="U58" s="238">
        <f t="shared" si="4"/>
        <v>1.7725008E-2</v>
      </c>
      <c r="V58" s="238">
        <f t="shared" si="5"/>
        <v>0</v>
      </c>
      <c r="W58" s="238">
        <f t="shared" si="6"/>
        <v>0</v>
      </c>
      <c r="X58" s="238">
        <f t="shared" si="7"/>
        <v>0</v>
      </c>
      <c r="Y58" s="238">
        <f t="shared" si="8"/>
        <v>1.7725008E-2</v>
      </c>
      <c r="Z58" s="91">
        <v>1.7725008E-2</v>
      </c>
      <c r="AA58" s="91"/>
      <c r="AB58" s="91"/>
      <c r="AC58" s="91"/>
      <c r="AD58" s="92">
        <v>1.7725008E-2</v>
      </c>
      <c r="AE58" s="233">
        <v>121</v>
      </c>
      <c r="AF58" s="72">
        <v>2</v>
      </c>
      <c r="AG58" s="67">
        <v>501</v>
      </c>
      <c r="AH58" s="93">
        <v>8.8802290080000006</v>
      </c>
      <c r="AI58" s="93">
        <v>0</v>
      </c>
      <c r="AJ58" s="93">
        <v>0</v>
      </c>
      <c r="AK58" s="93">
        <v>0</v>
      </c>
      <c r="AL58" s="94">
        <v>8.8802290080000006</v>
      </c>
      <c r="AM58" s="202">
        <f t="shared" si="9"/>
        <v>5.372481870156271E-4</v>
      </c>
      <c r="AN58" s="202">
        <f t="shared" si="10"/>
        <v>0</v>
      </c>
      <c r="AO58" s="202">
        <f t="shared" si="11"/>
        <v>0</v>
      </c>
      <c r="AP58" s="202">
        <f t="shared" si="12"/>
        <v>0</v>
      </c>
      <c r="AQ58" s="202">
        <f t="shared" si="13"/>
        <v>5.372481870156271E-4</v>
      </c>
      <c r="AR58" s="208" t="s">
        <v>131</v>
      </c>
      <c r="AS58" s="226" t="s">
        <v>1660</v>
      </c>
      <c r="AT58" s="234">
        <v>311221</v>
      </c>
      <c r="AU58" s="244">
        <f t="shared" si="14"/>
        <v>8.8802290080000006</v>
      </c>
      <c r="AV58" s="244">
        <f t="shared" si="15"/>
        <v>0</v>
      </c>
      <c r="AW58" s="244">
        <f t="shared" si="16"/>
        <v>0</v>
      </c>
      <c r="AX58" s="244">
        <f t="shared" si="17"/>
        <v>0</v>
      </c>
      <c r="AY58" s="244">
        <f t="shared" si="18"/>
        <v>8.8802290080000006</v>
      </c>
      <c r="AZ58">
        <v>6.8480655546558711E-3</v>
      </c>
    </row>
    <row r="59" spans="1:52" ht="15" customHeight="1" x14ac:dyDescent="0.35">
      <c r="A59" s="77" t="s">
        <v>131</v>
      </c>
      <c r="B59" s="78" t="s">
        <v>132</v>
      </c>
      <c r="C59" s="78" t="s">
        <v>74</v>
      </c>
      <c r="D59" s="78" t="s">
        <v>75</v>
      </c>
      <c r="E59" s="78" t="s">
        <v>75</v>
      </c>
      <c r="F59" s="85" t="s">
        <v>202</v>
      </c>
      <c r="G59" s="78" t="s">
        <v>52</v>
      </c>
      <c r="H59" s="78" t="s">
        <v>160</v>
      </c>
      <c r="I59" s="78" t="s">
        <v>203</v>
      </c>
      <c r="J59" s="97">
        <v>0.8</v>
      </c>
      <c r="K59" s="228">
        <f t="shared" si="3"/>
        <v>121</v>
      </c>
      <c r="L59" s="269">
        <v>121</v>
      </c>
      <c r="M59" s="269">
        <v>50</v>
      </c>
      <c r="N59" s="269">
        <v>121</v>
      </c>
      <c r="O59" s="269"/>
      <c r="P59" s="269"/>
      <c r="Q59" s="269"/>
      <c r="R59" s="269"/>
      <c r="S59" s="98" t="s">
        <v>139</v>
      </c>
      <c r="T59" s="99"/>
      <c r="U59" s="238">
        <f t="shared" si="4"/>
        <v>2.9565418849999997E-2</v>
      </c>
      <c r="V59" s="238">
        <f t="shared" si="5"/>
        <v>0</v>
      </c>
      <c r="W59" s="238">
        <f t="shared" si="6"/>
        <v>0</v>
      </c>
      <c r="X59" s="238">
        <f t="shared" si="7"/>
        <v>2.9565418849999997E-2</v>
      </c>
      <c r="Y59" s="238">
        <f t="shared" si="8"/>
        <v>0</v>
      </c>
      <c r="Z59" s="91">
        <v>2.9565418849999997E-2</v>
      </c>
      <c r="AA59" s="91"/>
      <c r="AB59" s="91"/>
      <c r="AC59" s="91">
        <v>2.9565418849999997E-2</v>
      </c>
      <c r="AD59" s="92"/>
      <c r="AE59" s="81"/>
      <c r="AF59" s="84"/>
      <c r="AG59" s="78">
        <v>501</v>
      </c>
      <c r="AH59" s="101">
        <v>14.812274843849998</v>
      </c>
      <c r="AI59" s="101">
        <v>0</v>
      </c>
      <c r="AJ59" s="101">
        <v>0</v>
      </c>
      <c r="AK59" s="101">
        <v>14.812274843849998</v>
      </c>
      <c r="AL59" s="102">
        <v>0</v>
      </c>
      <c r="AM59" s="202">
        <f t="shared" si="9"/>
        <v>8.9613317384794084E-4</v>
      </c>
      <c r="AN59" s="202">
        <f t="shared" si="10"/>
        <v>0</v>
      </c>
      <c r="AO59" s="202">
        <f t="shared" si="11"/>
        <v>0</v>
      </c>
      <c r="AP59" s="202">
        <f t="shared" si="12"/>
        <v>8.9613317384794084E-4</v>
      </c>
      <c r="AQ59" s="202">
        <f t="shared" si="13"/>
        <v>0</v>
      </c>
      <c r="AR59" s="212" t="s">
        <v>131</v>
      </c>
      <c r="AS59" s="226" t="s">
        <v>1660</v>
      </c>
      <c r="AT59" s="234">
        <v>311221</v>
      </c>
      <c r="AU59" s="244">
        <f t="shared" si="14"/>
        <v>14.812274843849998</v>
      </c>
      <c r="AV59" s="244">
        <f t="shared" si="15"/>
        <v>0</v>
      </c>
      <c r="AW59" s="244">
        <f t="shared" si="16"/>
        <v>0</v>
      </c>
      <c r="AX59" s="244">
        <f t="shared" si="17"/>
        <v>14.812274843849998</v>
      </c>
      <c r="AY59" s="244">
        <f t="shared" si="18"/>
        <v>0</v>
      </c>
      <c r="AZ59">
        <v>1.142261410746096E-2</v>
      </c>
    </row>
    <row r="60" spans="1:52" ht="15" customHeight="1" x14ac:dyDescent="0.35">
      <c r="A60" s="73" t="s">
        <v>204</v>
      </c>
      <c r="B60" s="73" t="s">
        <v>205</v>
      </c>
      <c r="C60" s="73" t="s">
        <v>67</v>
      </c>
      <c r="D60" s="73" t="s">
        <v>67</v>
      </c>
      <c r="E60" s="67" t="s">
        <v>206</v>
      </c>
      <c r="F60" s="73" t="s">
        <v>207</v>
      </c>
      <c r="G60" s="73" t="s">
        <v>190</v>
      </c>
      <c r="H60" s="73" t="s">
        <v>208</v>
      </c>
      <c r="I60" s="73" t="s">
        <v>209</v>
      </c>
      <c r="J60" s="68"/>
      <c r="K60" s="228">
        <f t="shared" si="3"/>
        <v>5</v>
      </c>
      <c r="L60" s="269">
        <v>5</v>
      </c>
      <c r="M60" s="269">
        <v>5</v>
      </c>
      <c r="N60" s="269">
        <v>5</v>
      </c>
      <c r="O60" s="269"/>
      <c r="P60" s="269"/>
      <c r="Q60" s="269"/>
      <c r="R60" s="269"/>
      <c r="S60" s="233" t="s">
        <v>210</v>
      </c>
      <c r="T60" s="91">
        <v>1</v>
      </c>
      <c r="U60" s="238">
        <f t="shared" si="4"/>
        <v>8.7350846723148995E-2</v>
      </c>
      <c r="V60" s="238">
        <f t="shared" si="5"/>
        <v>0</v>
      </c>
      <c r="W60" s="238">
        <f t="shared" si="6"/>
        <v>8.7350846723148995E-2</v>
      </c>
      <c r="X60" s="238">
        <f t="shared" si="7"/>
        <v>0</v>
      </c>
      <c r="Y60" s="238">
        <f t="shared" si="8"/>
        <v>0</v>
      </c>
      <c r="Z60" s="99">
        <v>8.7350846723148995E-2</v>
      </c>
      <c r="AA60" s="99"/>
      <c r="AB60" s="99">
        <v>8.7350846723148995E-2</v>
      </c>
      <c r="AC60" s="99"/>
      <c r="AD60" s="100"/>
      <c r="AE60" s="233"/>
      <c r="AF60" s="72"/>
      <c r="AG60" s="73">
        <v>19.12</v>
      </c>
      <c r="AH60" s="93">
        <v>1.6701481893466088</v>
      </c>
      <c r="AI60" s="93">
        <v>0</v>
      </c>
      <c r="AJ60" s="93">
        <v>1.6701481893466088</v>
      </c>
      <c r="AK60" s="93">
        <v>0</v>
      </c>
      <c r="AL60" s="94">
        <v>0</v>
      </c>
      <c r="AM60" s="202">
        <f t="shared" si="9"/>
        <v>1.0104289945288061E-4</v>
      </c>
      <c r="AN60" s="202">
        <f t="shared" si="10"/>
        <v>0</v>
      </c>
      <c r="AO60" s="202">
        <f t="shared" si="11"/>
        <v>1.0104289945288061E-4</v>
      </c>
      <c r="AP60" s="202">
        <f t="shared" si="12"/>
        <v>0</v>
      </c>
      <c r="AQ60" s="202">
        <f t="shared" si="13"/>
        <v>0</v>
      </c>
      <c r="AR60" s="211" t="s">
        <v>204</v>
      </c>
      <c r="AS60" s="226" t="s">
        <v>1660</v>
      </c>
      <c r="AT60" s="234">
        <v>3115</v>
      </c>
      <c r="AU60" s="244">
        <f t="shared" si="14"/>
        <v>1.6701481893466088</v>
      </c>
      <c r="AV60" s="244">
        <f t="shared" si="15"/>
        <v>0</v>
      </c>
      <c r="AW60" s="244">
        <f t="shared" si="16"/>
        <v>1.6701481893466088</v>
      </c>
      <c r="AX60" s="244">
        <f t="shared" si="17"/>
        <v>0</v>
      </c>
      <c r="AY60" s="244">
        <f t="shared" si="18"/>
        <v>0</v>
      </c>
      <c r="AZ60">
        <v>1.287949249544329E-3</v>
      </c>
    </row>
    <row r="61" spans="1:52" ht="15" customHeight="1" x14ac:dyDescent="0.35">
      <c r="A61" s="73" t="s">
        <v>204</v>
      </c>
      <c r="B61" s="73" t="s">
        <v>205</v>
      </c>
      <c r="C61" s="67" t="s">
        <v>154</v>
      </c>
      <c r="D61" s="73" t="s">
        <v>211</v>
      </c>
      <c r="E61" s="67" t="s">
        <v>212</v>
      </c>
      <c r="F61" s="73" t="s">
        <v>213</v>
      </c>
      <c r="G61" s="73" t="s">
        <v>52</v>
      </c>
      <c r="H61" s="73" t="s">
        <v>214</v>
      </c>
      <c r="I61" s="67" t="s">
        <v>215</v>
      </c>
      <c r="J61" s="68"/>
      <c r="K61" s="228">
        <f t="shared" si="3"/>
        <v>10</v>
      </c>
      <c r="L61" s="269">
        <v>10</v>
      </c>
      <c r="M61" s="269">
        <v>5</v>
      </c>
      <c r="N61" s="269">
        <v>10</v>
      </c>
      <c r="O61" s="269">
        <v>2</v>
      </c>
      <c r="P61" s="269">
        <v>1</v>
      </c>
      <c r="Q61" s="269">
        <v>2</v>
      </c>
      <c r="R61" s="269"/>
      <c r="S61" s="233" t="s">
        <v>210</v>
      </c>
      <c r="T61" s="91"/>
      <c r="U61" s="238">
        <f t="shared" si="4"/>
        <v>4.6405137321672896E-2</v>
      </c>
      <c r="V61" s="238">
        <f t="shared" si="5"/>
        <v>0</v>
      </c>
      <c r="W61" s="238">
        <f t="shared" si="6"/>
        <v>4.6405137321672896E-2</v>
      </c>
      <c r="X61" s="238">
        <f t="shared" si="7"/>
        <v>0</v>
      </c>
      <c r="Y61" s="238">
        <f t="shared" si="8"/>
        <v>0</v>
      </c>
      <c r="Z61" s="91">
        <v>4.6405137321672896E-2</v>
      </c>
      <c r="AA61" s="91"/>
      <c r="AB61" s="91">
        <v>4.6405137321672896E-2</v>
      </c>
      <c r="AC61" s="91"/>
      <c r="AD61" s="92"/>
      <c r="AE61" s="233"/>
      <c r="AF61" s="72"/>
      <c r="AG61" s="73">
        <v>19.12</v>
      </c>
      <c r="AH61" s="93">
        <v>0.88726622559038582</v>
      </c>
      <c r="AI61" s="93">
        <v>0</v>
      </c>
      <c r="AJ61" s="93">
        <v>0.88726622559038582</v>
      </c>
      <c r="AK61" s="93">
        <v>0</v>
      </c>
      <c r="AL61" s="94">
        <v>0</v>
      </c>
      <c r="AM61" s="202">
        <f t="shared" si="9"/>
        <v>5.3679040334342818E-5</v>
      </c>
      <c r="AN61" s="202">
        <f t="shared" si="10"/>
        <v>0</v>
      </c>
      <c r="AO61" s="202">
        <f t="shared" si="11"/>
        <v>5.3679040334342818E-5</v>
      </c>
      <c r="AP61" s="202">
        <f t="shared" si="12"/>
        <v>0</v>
      </c>
      <c r="AQ61" s="202">
        <f t="shared" si="13"/>
        <v>0</v>
      </c>
      <c r="AR61" s="211" t="s">
        <v>204</v>
      </c>
      <c r="AS61" s="226" t="s">
        <v>1660</v>
      </c>
      <c r="AT61" s="234">
        <v>3115</v>
      </c>
      <c r="AU61" s="244">
        <f t="shared" si="14"/>
        <v>0.88726622559038582</v>
      </c>
      <c r="AV61" s="244">
        <f t="shared" si="15"/>
        <v>0</v>
      </c>
      <c r="AW61" s="244">
        <f t="shared" si="16"/>
        <v>0.88726622559038582</v>
      </c>
      <c r="AX61" s="244">
        <f t="shared" si="17"/>
        <v>0</v>
      </c>
      <c r="AY61" s="244">
        <f t="shared" si="18"/>
        <v>0</v>
      </c>
      <c r="AZ61">
        <v>6.8422303882042482E-4</v>
      </c>
    </row>
    <row r="62" spans="1:52" ht="15" customHeight="1" x14ac:dyDescent="0.35">
      <c r="A62" s="73" t="s">
        <v>204</v>
      </c>
      <c r="B62" s="73" t="s">
        <v>205</v>
      </c>
      <c r="C62" s="67" t="s">
        <v>108</v>
      </c>
      <c r="D62" s="73" t="s">
        <v>109</v>
      </c>
      <c r="E62" s="67" t="s">
        <v>109</v>
      </c>
      <c r="F62" s="73" t="s">
        <v>213</v>
      </c>
      <c r="G62" s="73" t="s">
        <v>52</v>
      </c>
      <c r="H62" s="73" t="s">
        <v>216</v>
      </c>
      <c r="I62" s="67" t="s">
        <v>216</v>
      </c>
      <c r="J62" s="68"/>
      <c r="K62" s="228">
        <f t="shared" si="3"/>
        <v>67.5</v>
      </c>
      <c r="L62" s="269">
        <v>67.5</v>
      </c>
      <c r="M62" s="269">
        <v>10</v>
      </c>
      <c r="N62" s="269">
        <v>68</v>
      </c>
      <c r="O62" s="269">
        <v>175</v>
      </c>
      <c r="P62" s="269">
        <v>2</v>
      </c>
      <c r="Q62" s="269">
        <v>4</v>
      </c>
      <c r="R62" s="269">
        <v>1.2999999999999999E-5</v>
      </c>
      <c r="S62" s="233" t="s">
        <v>210</v>
      </c>
      <c r="T62" s="91"/>
      <c r="U62" s="238">
        <f t="shared" si="4"/>
        <v>6.9351795298750116E-2</v>
      </c>
      <c r="V62" s="238">
        <f t="shared" si="5"/>
        <v>0</v>
      </c>
      <c r="W62" s="238">
        <f t="shared" si="6"/>
        <v>6.9351795298750116E-2</v>
      </c>
      <c r="X62" s="238">
        <f t="shared" si="7"/>
        <v>0</v>
      </c>
      <c r="Y62" s="238">
        <f t="shared" si="8"/>
        <v>0</v>
      </c>
      <c r="Z62" s="91">
        <v>6.9351795298750116E-2</v>
      </c>
      <c r="AA62" s="91"/>
      <c r="AB62" s="91">
        <v>6.9351795298750116E-2</v>
      </c>
      <c r="AC62" s="91"/>
      <c r="AD62" s="92"/>
      <c r="AE62" s="233"/>
      <c r="AF62" s="72"/>
      <c r="AG62" s="73">
        <v>19.12</v>
      </c>
      <c r="AH62" s="93">
        <v>1.3260063261121022</v>
      </c>
      <c r="AI62" s="93">
        <v>0</v>
      </c>
      <c r="AJ62" s="93">
        <v>1.3260063261121022</v>
      </c>
      <c r="AK62" s="93">
        <v>0</v>
      </c>
      <c r="AL62" s="94">
        <v>0</v>
      </c>
      <c r="AM62" s="202">
        <f t="shared" si="9"/>
        <v>8.0222536382023357E-5</v>
      </c>
      <c r="AN62" s="202">
        <f t="shared" si="10"/>
        <v>0</v>
      </c>
      <c r="AO62" s="202">
        <f t="shared" si="11"/>
        <v>8.0222536382023357E-5</v>
      </c>
      <c r="AP62" s="202">
        <f t="shared" si="12"/>
        <v>0</v>
      </c>
      <c r="AQ62" s="202">
        <f t="shared" si="13"/>
        <v>0</v>
      </c>
      <c r="AR62" s="211" t="s">
        <v>204</v>
      </c>
      <c r="AS62" s="226" t="s">
        <v>1660</v>
      </c>
      <c r="AT62" s="234">
        <v>3115</v>
      </c>
      <c r="AU62" s="244">
        <f t="shared" si="14"/>
        <v>1.3260063261121022</v>
      </c>
      <c r="AV62" s="244">
        <f t="shared" si="15"/>
        <v>0</v>
      </c>
      <c r="AW62" s="244">
        <f t="shared" si="16"/>
        <v>1.3260063261121022</v>
      </c>
      <c r="AX62" s="244">
        <f t="shared" si="17"/>
        <v>0</v>
      </c>
      <c r="AY62" s="244">
        <f t="shared" si="18"/>
        <v>0</v>
      </c>
      <c r="AZ62">
        <v>1.0225612694136127E-3</v>
      </c>
    </row>
    <row r="63" spans="1:52" ht="15" customHeight="1" x14ac:dyDescent="0.35">
      <c r="A63" s="73" t="s">
        <v>204</v>
      </c>
      <c r="B63" s="73" t="s">
        <v>205</v>
      </c>
      <c r="C63" s="67" t="s">
        <v>92</v>
      </c>
      <c r="D63" s="67" t="s">
        <v>217</v>
      </c>
      <c r="E63" s="67" t="s">
        <v>218</v>
      </c>
      <c r="F63" s="73" t="s">
        <v>213</v>
      </c>
      <c r="G63" s="73" t="s">
        <v>52</v>
      </c>
      <c r="H63" s="73" t="s">
        <v>219</v>
      </c>
      <c r="I63" s="73" t="s">
        <v>220</v>
      </c>
      <c r="J63" s="68">
        <v>0.75</v>
      </c>
      <c r="K63" s="228">
        <f t="shared" si="3"/>
        <v>72</v>
      </c>
      <c r="L63" s="269">
        <v>72</v>
      </c>
      <c r="M63" s="269">
        <v>68</v>
      </c>
      <c r="N63" s="269">
        <v>72</v>
      </c>
      <c r="O63" s="269"/>
      <c r="P63" s="269"/>
      <c r="Q63" s="269"/>
      <c r="R63" s="269">
        <v>15</v>
      </c>
      <c r="S63" s="233" t="s">
        <v>210</v>
      </c>
      <c r="T63" s="91"/>
      <c r="U63" s="238">
        <f t="shared" si="4"/>
        <v>0.83222154358500144</v>
      </c>
      <c r="V63" s="238">
        <f t="shared" si="5"/>
        <v>0</v>
      </c>
      <c r="W63" s="238">
        <f t="shared" si="6"/>
        <v>0</v>
      </c>
      <c r="X63" s="238">
        <f t="shared" si="7"/>
        <v>0</v>
      </c>
      <c r="Y63" s="238">
        <f t="shared" si="8"/>
        <v>0.83222154358500144</v>
      </c>
      <c r="Z63" s="91">
        <v>0.83222154358500144</v>
      </c>
      <c r="AA63" s="91"/>
      <c r="AB63" s="91"/>
      <c r="AC63" s="91"/>
      <c r="AD63" s="92">
        <v>0.83222154358500144</v>
      </c>
      <c r="AE63" s="233">
        <v>116</v>
      </c>
      <c r="AF63" s="72">
        <v>1.74</v>
      </c>
      <c r="AG63" s="73">
        <v>19.12</v>
      </c>
      <c r="AH63" s="93">
        <v>15.912075913345229</v>
      </c>
      <c r="AI63" s="93">
        <v>0</v>
      </c>
      <c r="AJ63" s="93">
        <v>0</v>
      </c>
      <c r="AK63" s="93">
        <v>0</v>
      </c>
      <c r="AL63" s="94">
        <v>15.912075913345229</v>
      </c>
      <c r="AM63" s="202">
        <f t="shared" si="9"/>
        <v>9.6267043658428044E-4</v>
      </c>
      <c r="AN63" s="202">
        <f t="shared" si="10"/>
        <v>0</v>
      </c>
      <c r="AO63" s="202">
        <f t="shared" si="11"/>
        <v>0</v>
      </c>
      <c r="AP63" s="202">
        <f t="shared" si="12"/>
        <v>0</v>
      </c>
      <c r="AQ63" s="202">
        <f t="shared" si="13"/>
        <v>9.6267043658428044E-4</v>
      </c>
      <c r="AR63" s="211" t="s">
        <v>204</v>
      </c>
      <c r="AS63" s="226" t="s">
        <v>1660</v>
      </c>
      <c r="AT63" s="234">
        <v>3115</v>
      </c>
      <c r="AU63" s="244">
        <f t="shared" si="14"/>
        <v>15.912075913345229</v>
      </c>
      <c r="AV63" s="244">
        <f t="shared" si="15"/>
        <v>0</v>
      </c>
      <c r="AW63" s="244">
        <f t="shared" si="16"/>
        <v>0</v>
      </c>
      <c r="AX63" s="244">
        <f t="shared" si="17"/>
        <v>0</v>
      </c>
      <c r="AY63" s="244">
        <f t="shared" si="18"/>
        <v>15.912075913345229</v>
      </c>
      <c r="AZ63">
        <v>1.2270735232963353E-2</v>
      </c>
    </row>
    <row r="64" spans="1:52" ht="15" customHeight="1" x14ac:dyDescent="0.35">
      <c r="A64" s="73" t="s">
        <v>204</v>
      </c>
      <c r="B64" s="73" t="s">
        <v>205</v>
      </c>
      <c r="C64" s="67" t="s">
        <v>67</v>
      </c>
      <c r="D64" s="67" t="s">
        <v>67</v>
      </c>
      <c r="E64" s="67" t="s">
        <v>221</v>
      </c>
      <c r="F64" s="73" t="s">
        <v>213</v>
      </c>
      <c r="G64" s="73" t="s">
        <v>52</v>
      </c>
      <c r="H64" s="73" t="s">
        <v>219</v>
      </c>
      <c r="I64" s="73" t="s">
        <v>220</v>
      </c>
      <c r="J64" s="68" t="s">
        <v>87</v>
      </c>
      <c r="K64" s="228">
        <f t="shared" si="3"/>
        <v>1</v>
      </c>
      <c r="L64" s="269">
        <v>1</v>
      </c>
      <c r="M64" s="269">
        <v>72</v>
      </c>
      <c r="N64" s="269">
        <v>1</v>
      </c>
      <c r="O64" s="269"/>
      <c r="P64" s="269"/>
      <c r="Q64" s="269"/>
      <c r="R64" s="269"/>
      <c r="S64" s="233" t="s">
        <v>210</v>
      </c>
      <c r="T64" s="91"/>
      <c r="U64" s="238">
        <f t="shared" si="4"/>
        <v>0.14672212535528931</v>
      </c>
      <c r="V64" s="238">
        <f t="shared" si="5"/>
        <v>0</v>
      </c>
      <c r="W64" s="238">
        <f t="shared" si="6"/>
        <v>0.14672212535528931</v>
      </c>
      <c r="X64" s="238">
        <f t="shared" si="7"/>
        <v>0</v>
      </c>
      <c r="Y64" s="238">
        <f t="shared" si="8"/>
        <v>0</v>
      </c>
      <c r="Z64" s="91">
        <v>0.14672212535528931</v>
      </c>
      <c r="AA64" s="91"/>
      <c r="AB64" s="91">
        <v>0.14672212535528931</v>
      </c>
      <c r="AC64" s="91"/>
      <c r="AD64" s="92"/>
      <c r="AE64" s="233"/>
      <c r="AF64" s="72"/>
      <c r="AG64" s="73">
        <v>19.12</v>
      </c>
      <c r="AH64" s="93">
        <v>2.8053270367931318</v>
      </c>
      <c r="AI64" s="93">
        <v>0</v>
      </c>
      <c r="AJ64" s="93">
        <v>2.8053270367931318</v>
      </c>
      <c r="AK64" s="93">
        <v>0</v>
      </c>
      <c r="AL64" s="94">
        <v>0</v>
      </c>
      <c r="AM64" s="202">
        <f t="shared" si="9"/>
        <v>1.697204951747604E-4</v>
      </c>
      <c r="AN64" s="202">
        <f t="shared" si="10"/>
        <v>0</v>
      </c>
      <c r="AO64" s="202">
        <f t="shared" si="11"/>
        <v>1.697204951747604E-4</v>
      </c>
      <c r="AP64" s="202">
        <f t="shared" si="12"/>
        <v>0</v>
      </c>
      <c r="AQ64" s="202">
        <f t="shared" si="13"/>
        <v>0</v>
      </c>
      <c r="AR64" s="211" t="s">
        <v>204</v>
      </c>
      <c r="AS64" s="226" t="s">
        <v>1660</v>
      </c>
      <c r="AT64" s="234">
        <v>3115</v>
      </c>
      <c r="AU64" s="244">
        <f t="shared" si="14"/>
        <v>2.8053270367931318</v>
      </c>
      <c r="AV64" s="244">
        <f t="shared" si="15"/>
        <v>0</v>
      </c>
      <c r="AW64" s="244">
        <f t="shared" si="16"/>
        <v>2.8053270367931318</v>
      </c>
      <c r="AX64" s="244">
        <f t="shared" si="17"/>
        <v>0</v>
      </c>
      <c r="AY64" s="244">
        <f t="shared" si="18"/>
        <v>0</v>
      </c>
      <c r="AZ64">
        <v>2.1633522550939901E-3</v>
      </c>
    </row>
    <row r="65" spans="1:52" ht="15" customHeight="1" x14ac:dyDescent="0.35">
      <c r="A65" s="73" t="s">
        <v>204</v>
      </c>
      <c r="B65" s="73" t="s">
        <v>205</v>
      </c>
      <c r="C65" s="67" t="s">
        <v>67</v>
      </c>
      <c r="D65" s="67" t="s">
        <v>67</v>
      </c>
      <c r="E65" s="67" t="s">
        <v>222</v>
      </c>
      <c r="F65" s="73" t="s">
        <v>213</v>
      </c>
      <c r="G65" s="73" t="s">
        <v>190</v>
      </c>
      <c r="H65" s="73" t="s">
        <v>223</v>
      </c>
      <c r="I65" s="73" t="s">
        <v>224</v>
      </c>
      <c r="J65" s="68"/>
      <c r="K65" s="228">
        <f t="shared" si="3"/>
        <v>4</v>
      </c>
      <c r="L65" s="269">
        <v>4</v>
      </c>
      <c r="M65" s="269">
        <v>1</v>
      </c>
      <c r="N65" s="269">
        <v>4</v>
      </c>
      <c r="O65" s="269"/>
      <c r="P65" s="269"/>
      <c r="Q65" s="269"/>
      <c r="R65" s="269"/>
      <c r="S65" s="233" t="s">
        <v>210</v>
      </c>
      <c r="T65" s="91"/>
      <c r="U65" s="238">
        <f t="shared" si="4"/>
        <v>3.0716800545943099E-2</v>
      </c>
      <c r="V65" s="238">
        <f t="shared" si="5"/>
        <v>0</v>
      </c>
      <c r="W65" s="238">
        <f t="shared" si="6"/>
        <v>3.0716800545943099E-2</v>
      </c>
      <c r="X65" s="238">
        <f t="shared" si="7"/>
        <v>0</v>
      </c>
      <c r="Y65" s="238">
        <f t="shared" si="8"/>
        <v>0</v>
      </c>
      <c r="Z65" s="91">
        <v>3.0716800545943099E-2</v>
      </c>
      <c r="AA65" s="91"/>
      <c r="AB65" s="91">
        <v>3.0716800545943099E-2</v>
      </c>
      <c r="AC65" s="91"/>
      <c r="AD65" s="92"/>
      <c r="AE65" s="233"/>
      <c r="AF65" s="72"/>
      <c r="AG65" s="73">
        <v>19.12</v>
      </c>
      <c r="AH65" s="93">
        <v>0.58730522643843208</v>
      </c>
      <c r="AI65" s="93">
        <v>0</v>
      </c>
      <c r="AJ65" s="93">
        <v>0.58730522643843208</v>
      </c>
      <c r="AK65" s="93">
        <v>0</v>
      </c>
      <c r="AL65" s="94">
        <v>0</v>
      </c>
      <c r="AM65" s="202">
        <f t="shared" si="9"/>
        <v>3.5531591341236492E-5</v>
      </c>
      <c r="AN65" s="202">
        <f t="shared" si="10"/>
        <v>0</v>
      </c>
      <c r="AO65" s="202">
        <f t="shared" si="11"/>
        <v>3.5531591341236492E-5</v>
      </c>
      <c r="AP65" s="202">
        <f t="shared" si="12"/>
        <v>0</v>
      </c>
      <c r="AQ65" s="202">
        <f t="shared" si="13"/>
        <v>0</v>
      </c>
      <c r="AR65" s="211" t="s">
        <v>204</v>
      </c>
      <c r="AS65" s="226" t="s">
        <v>1660</v>
      </c>
      <c r="AT65" s="234">
        <v>3115</v>
      </c>
      <c r="AU65" s="244">
        <f t="shared" si="14"/>
        <v>0.58730522643843208</v>
      </c>
      <c r="AV65" s="244">
        <f t="shared" si="15"/>
        <v>0</v>
      </c>
      <c r="AW65" s="244">
        <f t="shared" si="16"/>
        <v>0.58730522643843208</v>
      </c>
      <c r="AX65" s="244">
        <f t="shared" si="17"/>
        <v>0</v>
      </c>
      <c r="AY65" s="244">
        <f t="shared" si="18"/>
        <v>0</v>
      </c>
      <c r="AZ65">
        <v>4.5290551489372052E-4</v>
      </c>
    </row>
    <row r="66" spans="1:52" ht="15" customHeight="1" x14ac:dyDescent="0.35">
      <c r="A66" s="73" t="s">
        <v>204</v>
      </c>
      <c r="B66" s="73" t="s">
        <v>205</v>
      </c>
      <c r="C66" s="67" t="s">
        <v>92</v>
      </c>
      <c r="D66" s="67" t="s">
        <v>217</v>
      </c>
      <c r="E66" s="67" t="s">
        <v>225</v>
      </c>
      <c r="F66" s="73" t="s">
        <v>226</v>
      </c>
      <c r="G66" s="73" t="s">
        <v>52</v>
      </c>
      <c r="H66" s="73" t="s">
        <v>219</v>
      </c>
      <c r="I66" s="73" t="s">
        <v>220</v>
      </c>
      <c r="J66" s="68">
        <v>0.75</v>
      </c>
      <c r="K66" s="228">
        <f t="shared" si="3"/>
        <v>135</v>
      </c>
      <c r="L66" s="269">
        <v>135</v>
      </c>
      <c r="M66" s="269">
        <v>10</v>
      </c>
      <c r="N66" s="269">
        <v>135</v>
      </c>
      <c r="O66" s="269"/>
      <c r="P66" s="269"/>
      <c r="Q66" s="269"/>
      <c r="R66" s="269">
        <v>2.2999999999999998</v>
      </c>
      <c r="S66" s="233" t="s">
        <v>210</v>
      </c>
      <c r="T66" s="91"/>
      <c r="U66" s="238">
        <f t="shared" si="4"/>
        <v>0.11052000000000001</v>
      </c>
      <c r="V66" s="238">
        <f t="shared" si="5"/>
        <v>0</v>
      </c>
      <c r="W66" s="238">
        <f t="shared" si="6"/>
        <v>0</v>
      </c>
      <c r="X66" s="238">
        <f t="shared" si="7"/>
        <v>0</v>
      </c>
      <c r="Y66" s="238">
        <f t="shared" si="8"/>
        <v>0.11052000000000001</v>
      </c>
      <c r="Z66" s="91">
        <v>0.11052000000000001</v>
      </c>
      <c r="AA66" s="91"/>
      <c r="AB66" s="91"/>
      <c r="AC66" s="91"/>
      <c r="AD66" s="92">
        <v>0.11052000000000001</v>
      </c>
      <c r="AE66" s="233">
        <v>165</v>
      </c>
      <c r="AF66" s="72">
        <v>7</v>
      </c>
      <c r="AG66" s="73">
        <v>1.3384000000000003</v>
      </c>
      <c r="AH66" s="93">
        <v>0.14791996800000004</v>
      </c>
      <c r="AI66" s="93">
        <v>0</v>
      </c>
      <c r="AJ66" s="93">
        <v>0</v>
      </c>
      <c r="AK66" s="93">
        <v>0</v>
      </c>
      <c r="AL66" s="94">
        <v>0.14791996800000004</v>
      </c>
      <c r="AM66" s="202">
        <f t="shared" si="9"/>
        <v>8.9490636513784814E-6</v>
      </c>
      <c r="AN66" s="202">
        <f t="shared" si="10"/>
        <v>0</v>
      </c>
      <c r="AO66" s="202">
        <f t="shared" si="11"/>
        <v>0</v>
      </c>
      <c r="AP66" s="202">
        <f t="shared" si="12"/>
        <v>0</v>
      </c>
      <c r="AQ66" s="202">
        <f t="shared" si="13"/>
        <v>8.9490636513784814E-6</v>
      </c>
      <c r="AR66" s="211" t="s">
        <v>204</v>
      </c>
      <c r="AS66" s="226" t="s">
        <v>1660</v>
      </c>
      <c r="AT66" s="234">
        <v>3115</v>
      </c>
      <c r="AU66" s="244">
        <f t="shared" si="14"/>
        <v>0.14791996800000004</v>
      </c>
      <c r="AV66" s="244">
        <f t="shared" si="15"/>
        <v>0</v>
      </c>
      <c r="AW66" s="244">
        <f t="shared" si="16"/>
        <v>0</v>
      </c>
      <c r="AX66" s="244">
        <f t="shared" si="17"/>
        <v>0</v>
      </c>
      <c r="AY66" s="244">
        <f t="shared" si="18"/>
        <v>0.14791996800000004</v>
      </c>
      <c r="AZ66">
        <v>1.1406976518218627E-4</v>
      </c>
    </row>
    <row r="67" spans="1:52" ht="15" customHeight="1" x14ac:dyDescent="0.35">
      <c r="A67" s="73" t="s">
        <v>204</v>
      </c>
      <c r="B67" s="73" t="s">
        <v>205</v>
      </c>
      <c r="C67" s="67" t="s">
        <v>67</v>
      </c>
      <c r="D67" s="67" t="s">
        <v>67</v>
      </c>
      <c r="E67" s="67" t="s">
        <v>227</v>
      </c>
      <c r="F67" s="73" t="s">
        <v>228</v>
      </c>
      <c r="G67" s="73" t="s">
        <v>52</v>
      </c>
      <c r="H67" s="73" t="s">
        <v>219</v>
      </c>
      <c r="I67" s="73" t="s">
        <v>220</v>
      </c>
      <c r="J67" s="68" t="s">
        <v>87</v>
      </c>
      <c r="K67" s="228">
        <f t="shared" si="3"/>
        <v>75</v>
      </c>
      <c r="L67" s="269">
        <v>75</v>
      </c>
      <c r="M67" s="269">
        <v>135</v>
      </c>
      <c r="N67" s="269">
        <v>75</v>
      </c>
      <c r="O67" s="269"/>
      <c r="P67" s="269"/>
      <c r="Q67" s="269"/>
      <c r="R67" s="269"/>
      <c r="S67" s="233" t="s">
        <v>210</v>
      </c>
      <c r="T67" s="91"/>
      <c r="U67" s="238">
        <f t="shared" si="4"/>
        <v>0.14672212535528931</v>
      </c>
      <c r="V67" s="238">
        <f t="shared" si="5"/>
        <v>0</v>
      </c>
      <c r="W67" s="238">
        <f t="shared" si="6"/>
        <v>0.14672212535528931</v>
      </c>
      <c r="X67" s="238">
        <f t="shared" si="7"/>
        <v>0</v>
      </c>
      <c r="Y67" s="238">
        <f t="shared" si="8"/>
        <v>0</v>
      </c>
      <c r="Z67" s="91">
        <v>0.14672212535528931</v>
      </c>
      <c r="AA67" s="91"/>
      <c r="AB67" s="91">
        <v>0.14672212535528931</v>
      </c>
      <c r="AC67" s="91"/>
      <c r="AD67" s="92"/>
      <c r="AE67" s="233"/>
      <c r="AF67" s="72"/>
      <c r="AG67" s="73">
        <v>1.3384000000000003</v>
      </c>
      <c r="AH67" s="93">
        <v>0.19637289257551924</v>
      </c>
      <c r="AI67" s="93">
        <v>0</v>
      </c>
      <c r="AJ67" s="93">
        <v>0.19637289257551924</v>
      </c>
      <c r="AK67" s="93">
        <v>0</v>
      </c>
      <c r="AL67" s="94">
        <v>0</v>
      </c>
      <c r="AM67" s="202">
        <f t="shared" si="9"/>
        <v>1.1880434662233228E-5</v>
      </c>
      <c r="AN67" s="202">
        <f t="shared" si="10"/>
        <v>0</v>
      </c>
      <c r="AO67" s="202">
        <f t="shared" si="11"/>
        <v>1.1880434662233228E-5</v>
      </c>
      <c r="AP67" s="202">
        <f t="shared" si="12"/>
        <v>0</v>
      </c>
      <c r="AQ67" s="202">
        <f t="shared" si="13"/>
        <v>0</v>
      </c>
      <c r="AR67" s="211" t="s">
        <v>204</v>
      </c>
      <c r="AS67" s="226" t="s">
        <v>1660</v>
      </c>
      <c r="AT67" s="234">
        <v>3115</v>
      </c>
      <c r="AU67" s="244">
        <f t="shared" si="14"/>
        <v>0.19637289257551924</v>
      </c>
      <c r="AV67" s="244">
        <f t="shared" si="15"/>
        <v>0</v>
      </c>
      <c r="AW67" s="244">
        <f t="shared" si="16"/>
        <v>0.19637289257551924</v>
      </c>
      <c r="AX67" s="244">
        <f t="shared" si="17"/>
        <v>0</v>
      </c>
      <c r="AY67" s="244">
        <f t="shared" si="18"/>
        <v>0</v>
      </c>
      <c r="AZ67">
        <v>1.5143465785657931E-4</v>
      </c>
    </row>
    <row r="68" spans="1:52" ht="15" customHeight="1" x14ac:dyDescent="0.35">
      <c r="A68" s="73" t="s">
        <v>204</v>
      </c>
      <c r="B68" s="73" t="s">
        <v>205</v>
      </c>
      <c r="C68" s="67" t="s">
        <v>92</v>
      </c>
      <c r="D68" s="67" t="s">
        <v>229</v>
      </c>
      <c r="E68" s="67" t="s">
        <v>230</v>
      </c>
      <c r="F68" s="73" t="s">
        <v>228</v>
      </c>
      <c r="G68" s="73" t="s">
        <v>52</v>
      </c>
      <c r="H68" s="73" t="s">
        <v>231</v>
      </c>
      <c r="I68" s="73" t="s">
        <v>220</v>
      </c>
      <c r="J68" s="68">
        <v>0.75</v>
      </c>
      <c r="K68" s="228">
        <f t="shared" si="3"/>
        <v>80</v>
      </c>
      <c r="L68" s="269">
        <v>80</v>
      </c>
      <c r="M68" s="269">
        <v>10</v>
      </c>
      <c r="N68" s="269">
        <v>80</v>
      </c>
      <c r="O68" s="269"/>
      <c r="P68" s="269"/>
      <c r="Q68" s="269"/>
      <c r="R68" s="269"/>
      <c r="S68" s="233" t="s">
        <v>210</v>
      </c>
      <c r="T68" s="91"/>
      <c r="U68" s="238">
        <f t="shared" si="4"/>
        <v>0.83222154358500144</v>
      </c>
      <c r="V68" s="238">
        <f t="shared" si="5"/>
        <v>0</v>
      </c>
      <c r="W68" s="238">
        <f t="shared" si="6"/>
        <v>0</v>
      </c>
      <c r="X68" s="238">
        <f t="shared" si="7"/>
        <v>0</v>
      </c>
      <c r="Y68" s="238">
        <f t="shared" si="8"/>
        <v>0.83222154358500144</v>
      </c>
      <c r="Z68" s="91">
        <v>0.83222154358500144</v>
      </c>
      <c r="AA68" s="91"/>
      <c r="AB68" s="91"/>
      <c r="AC68" s="91"/>
      <c r="AD68" s="92">
        <v>0.83222154358500144</v>
      </c>
      <c r="AE68" s="233">
        <v>116</v>
      </c>
      <c r="AF68" s="72">
        <v>1.74</v>
      </c>
      <c r="AG68" s="73">
        <v>1.3384000000000003</v>
      </c>
      <c r="AH68" s="93">
        <v>1.1138453139341662</v>
      </c>
      <c r="AI68" s="93">
        <v>0</v>
      </c>
      <c r="AJ68" s="93">
        <v>0</v>
      </c>
      <c r="AK68" s="93">
        <v>0</v>
      </c>
      <c r="AL68" s="94">
        <v>1.1138453139341662</v>
      </c>
      <c r="AM68" s="202">
        <f t="shared" si="9"/>
        <v>6.738693056089964E-5</v>
      </c>
      <c r="AN68" s="202">
        <f t="shared" si="10"/>
        <v>0</v>
      </c>
      <c r="AO68" s="202">
        <f t="shared" si="11"/>
        <v>0</v>
      </c>
      <c r="AP68" s="202">
        <f t="shared" si="12"/>
        <v>0</v>
      </c>
      <c r="AQ68" s="202">
        <f t="shared" si="13"/>
        <v>6.738693056089964E-5</v>
      </c>
      <c r="AR68" s="211" t="s">
        <v>204</v>
      </c>
      <c r="AS68" s="226" t="s">
        <v>1660</v>
      </c>
      <c r="AT68" s="234">
        <v>3115</v>
      </c>
      <c r="AU68" s="244">
        <f t="shared" si="14"/>
        <v>1.1138453139341662</v>
      </c>
      <c r="AV68" s="244">
        <f t="shared" si="15"/>
        <v>0</v>
      </c>
      <c r="AW68" s="244">
        <f t="shared" si="16"/>
        <v>0</v>
      </c>
      <c r="AX68" s="244">
        <f t="shared" si="17"/>
        <v>0</v>
      </c>
      <c r="AY68" s="244">
        <f t="shared" si="18"/>
        <v>1.1138453139341662</v>
      </c>
      <c r="AZ68">
        <v>8.5895146630743488E-4</v>
      </c>
    </row>
    <row r="69" spans="1:52" ht="15" customHeight="1" x14ac:dyDescent="0.35">
      <c r="A69" s="73" t="s">
        <v>204</v>
      </c>
      <c r="B69" s="73" t="s">
        <v>205</v>
      </c>
      <c r="C69" s="67" t="s">
        <v>92</v>
      </c>
      <c r="D69" s="67" t="s">
        <v>217</v>
      </c>
      <c r="E69" s="67" t="s">
        <v>225</v>
      </c>
      <c r="F69" s="73" t="s">
        <v>228</v>
      </c>
      <c r="G69" s="73" t="s">
        <v>52</v>
      </c>
      <c r="H69" s="73" t="s">
        <v>191</v>
      </c>
      <c r="I69" s="73" t="s">
        <v>192</v>
      </c>
      <c r="J69" s="68">
        <v>0.75</v>
      </c>
      <c r="K69" s="228">
        <f t="shared" ref="K69:K132" si="19">L69*1</f>
        <v>135</v>
      </c>
      <c r="L69" s="269">
        <v>135</v>
      </c>
      <c r="M69" s="269">
        <v>80</v>
      </c>
      <c r="N69" s="269">
        <v>135</v>
      </c>
      <c r="O69" s="269">
        <v>4</v>
      </c>
      <c r="P69" s="269">
        <v>2</v>
      </c>
      <c r="Q69" s="269">
        <v>4</v>
      </c>
      <c r="R69" s="269">
        <v>2.2999999999999998</v>
      </c>
      <c r="S69" s="233" t="s">
        <v>210</v>
      </c>
      <c r="T69" s="91"/>
      <c r="U69" s="238">
        <f t="shared" ref="U69:U132" si="20">ABS(Z69)</f>
        <v>0.46049999999999996</v>
      </c>
      <c r="V69" s="238">
        <f t="shared" ref="V69:V132" si="21">ABS(AA69)</f>
        <v>0</v>
      </c>
      <c r="W69" s="238">
        <f t="shared" ref="W69:W132" si="22">ABS(AB69)</f>
        <v>0</v>
      </c>
      <c r="X69" s="238">
        <f t="shared" ref="X69:X132" si="23">ABS(AC69)</f>
        <v>0</v>
      </c>
      <c r="Y69" s="238">
        <f t="shared" ref="Y69:Y132" si="24">ABS(AD69)</f>
        <v>0.46049999999999996</v>
      </c>
      <c r="Z69" s="91">
        <v>0.46049999999999996</v>
      </c>
      <c r="AA69" s="91"/>
      <c r="AB69" s="91"/>
      <c r="AC69" s="91"/>
      <c r="AD69" s="92">
        <v>0.46049999999999996</v>
      </c>
      <c r="AE69" s="233">
        <v>165</v>
      </c>
      <c r="AF69" s="72">
        <v>7</v>
      </c>
      <c r="AG69" s="73">
        <v>1.3384000000000003</v>
      </c>
      <c r="AH69" s="93">
        <v>0.61633320000000003</v>
      </c>
      <c r="AI69" s="93">
        <v>0</v>
      </c>
      <c r="AJ69" s="93">
        <v>0</v>
      </c>
      <c r="AK69" s="93">
        <v>0</v>
      </c>
      <c r="AL69" s="94">
        <v>0.61633320000000003</v>
      </c>
      <c r="AM69" s="202">
        <f t="shared" ref="AM69:AM132" si="25">AH69/16529.1</f>
        <v>3.7287765214076996E-5</v>
      </c>
      <c r="AN69" s="202">
        <f t="shared" ref="AN69:AN132" si="26">AI69/16529.1</f>
        <v>0</v>
      </c>
      <c r="AO69" s="202">
        <f t="shared" ref="AO69:AO132" si="27">AJ69/16529.1</f>
        <v>0</v>
      </c>
      <c r="AP69" s="202">
        <f t="shared" ref="AP69:AP132" si="28">AK69/16529.1</f>
        <v>0</v>
      </c>
      <c r="AQ69" s="202">
        <f t="shared" ref="AQ69:AQ132" si="29">AL69/16529.1</f>
        <v>3.7287765214076996E-5</v>
      </c>
      <c r="AR69" s="211" t="s">
        <v>204</v>
      </c>
      <c r="AS69" s="226" t="s">
        <v>1660</v>
      </c>
      <c r="AT69" s="234">
        <v>3115</v>
      </c>
      <c r="AU69" s="244">
        <f t="shared" ref="AU69:AU132" si="30">ABS(AH69)</f>
        <v>0.61633320000000003</v>
      </c>
      <c r="AV69" s="244">
        <f t="shared" ref="AV69:AV132" si="31">ABS(AI69)</f>
        <v>0</v>
      </c>
      <c r="AW69" s="244">
        <f t="shared" ref="AW69:AW132" si="32">ABS(AJ69)</f>
        <v>0</v>
      </c>
      <c r="AX69" s="244">
        <f t="shared" ref="AX69:AX132" si="33">ABS(AK69)</f>
        <v>0</v>
      </c>
      <c r="AY69" s="244">
        <f t="shared" ref="AY69:AY132" si="34">ABS(AL69)</f>
        <v>0.61633320000000003</v>
      </c>
      <c r="AZ69">
        <v>4.7529068825910933E-4</v>
      </c>
    </row>
    <row r="70" spans="1:52" ht="15" customHeight="1" x14ac:dyDescent="0.35">
      <c r="A70" s="73" t="s">
        <v>204</v>
      </c>
      <c r="B70" s="73" t="s">
        <v>205</v>
      </c>
      <c r="C70" s="67" t="s">
        <v>67</v>
      </c>
      <c r="D70" s="67" t="s">
        <v>67</v>
      </c>
      <c r="E70" s="67" t="s">
        <v>227</v>
      </c>
      <c r="F70" s="73" t="s">
        <v>228</v>
      </c>
      <c r="G70" s="73" t="s">
        <v>52</v>
      </c>
      <c r="H70" s="73" t="s">
        <v>232</v>
      </c>
      <c r="I70" s="67" t="s">
        <v>232</v>
      </c>
      <c r="J70" s="68"/>
      <c r="K70" s="228">
        <f t="shared" si="19"/>
        <v>75</v>
      </c>
      <c r="L70" s="269">
        <v>75</v>
      </c>
      <c r="M70" s="269">
        <v>135</v>
      </c>
      <c r="N70" s="269">
        <v>75</v>
      </c>
      <c r="O70" s="269">
        <v>0.2</v>
      </c>
      <c r="P70" s="269">
        <v>4</v>
      </c>
      <c r="Q70" s="269">
        <v>1</v>
      </c>
      <c r="R70" s="269"/>
      <c r="S70" s="233" t="s">
        <v>210</v>
      </c>
      <c r="T70" s="91"/>
      <c r="U70" s="238">
        <f t="shared" si="20"/>
        <v>0.14672212535528931</v>
      </c>
      <c r="V70" s="238">
        <f t="shared" si="21"/>
        <v>0</v>
      </c>
      <c r="W70" s="238">
        <f t="shared" si="22"/>
        <v>0.14672212535528931</v>
      </c>
      <c r="X70" s="238">
        <f t="shared" si="23"/>
        <v>0</v>
      </c>
      <c r="Y70" s="238">
        <f t="shared" si="24"/>
        <v>0</v>
      </c>
      <c r="Z70" s="91">
        <v>0.14672212535528931</v>
      </c>
      <c r="AA70" s="91"/>
      <c r="AB70" s="91">
        <v>0.14672212535528931</v>
      </c>
      <c r="AC70" s="91"/>
      <c r="AD70" s="92"/>
      <c r="AE70" s="233"/>
      <c r="AF70" s="72"/>
      <c r="AG70" s="73">
        <v>1.3384000000000003</v>
      </c>
      <c r="AH70" s="93">
        <v>0.19637289257551924</v>
      </c>
      <c r="AI70" s="93">
        <v>0</v>
      </c>
      <c r="AJ70" s="93">
        <v>0.19637289257551924</v>
      </c>
      <c r="AK70" s="93">
        <v>0</v>
      </c>
      <c r="AL70" s="94">
        <v>0</v>
      </c>
      <c r="AM70" s="202">
        <f t="shared" si="25"/>
        <v>1.1880434662233228E-5</v>
      </c>
      <c r="AN70" s="202">
        <f t="shared" si="26"/>
        <v>0</v>
      </c>
      <c r="AO70" s="202">
        <f t="shared" si="27"/>
        <v>1.1880434662233228E-5</v>
      </c>
      <c r="AP70" s="202">
        <f t="shared" si="28"/>
        <v>0</v>
      </c>
      <c r="AQ70" s="202">
        <f t="shared" si="29"/>
        <v>0</v>
      </c>
      <c r="AR70" s="211" t="s">
        <v>204</v>
      </c>
      <c r="AS70" s="226" t="s">
        <v>1660</v>
      </c>
      <c r="AT70" s="234">
        <v>3115</v>
      </c>
      <c r="AU70" s="244">
        <f t="shared" si="30"/>
        <v>0.19637289257551924</v>
      </c>
      <c r="AV70" s="244">
        <f t="shared" si="31"/>
        <v>0</v>
      </c>
      <c r="AW70" s="244">
        <f t="shared" si="32"/>
        <v>0.19637289257551924</v>
      </c>
      <c r="AX70" s="244">
        <f t="shared" si="33"/>
        <v>0</v>
      </c>
      <c r="AY70" s="244">
        <f t="shared" si="34"/>
        <v>0</v>
      </c>
      <c r="AZ70">
        <v>1.5143465785657931E-4</v>
      </c>
    </row>
    <row r="71" spans="1:52" ht="15" customHeight="1" x14ac:dyDescent="0.35">
      <c r="A71" s="73" t="s">
        <v>204</v>
      </c>
      <c r="B71" s="73" t="s">
        <v>205</v>
      </c>
      <c r="C71" s="67" t="s">
        <v>67</v>
      </c>
      <c r="D71" s="67" t="s">
        <v>67</v>
      </c>
      <c r="E71" s="67" t="s">
        <v>227</v>
      </c>
      <c r="F71" s="73" t="s">
        <v>228</v>
      </c>
      <c r="G71" s="73" t="s">
        <v>52</v>
      </c>
      <c r="H71" s="73" t="s">
        <v>219</v>
      </c>
      <c r="I71" s="73" t="s">
        <v>220</v>
      </c>
      <c r="J71" s="68" t="s">
        <v>87</v>
      </c>
      <c r="K71" s="228">
        <f t="shared" si="19"/>
        <v>20</v>
      </c>
      <c r="L71" s="269">
        <v>20</v>
      </c>
      <c r="M71" s="269">
        <v>75</v>
      </c>
      <c r="N71" s="269">
        <v>20</v>
      </c>
      <c r="O71" s="269"/>
      <c r="P71" s="269"/>
      <c r="Q71" s="269"/>
      <c r="R71" s="269"/>
      <c r="S71" s="233" t="s">
        <v>210</v>
      </c>
      <c r="T71" s="91"/>
      <c r="U71" s="238">
        <f t="shared" si="20"/>
        <v>3.0716800545943099E-2</v>
      </c>
      <c r="V71" s="238">
        <f t="shared" si="21"/>
        <v>0</v>
      </c>
      <c r="W71" s="238">
        <f t="shared" si="22"/>
        <v>3.0716800545943099E-2</v>
      </c>
      <c r="X71" s="238">
        <f t="shared" si="23"/>
        <v>0</v>
      </c>
      <c r="Y71" s="238">
        <f t="shared" si="24"/>
        <v>0</v>
      </c>
      <c r="Z71" s="91">
        <v>3.0716800545943099E-2</v>
      </c>
      <c r="AA71" s="91"/>
      <c r="AB71" s="91">
        <v>3.0716800545943099E-2</v>
      </c>
      <c r="AC71" s="91"/>
      <c r="AD71" s="92"/>
      <c r="AE71" s="233"/>
      <c r="AF71" s="72"/>
      <c r="AG71" s="73">
        <v>1.3384000000000003</v>
      </c>
      <c r="AH71" s="93">
        <v>4.1111365850690251E-2</v>
      </c>
      <c r="AI71" s="93">
        <v>0</v>
      </c>
      <c r="AJ71" s="93">
        <v>4.1111365850690251E-2</v>
      </c>
      <c r="AK71" s="93">
        <v>0</v>
      </c>
      <c r="AL71" s="94">
        <v>0</v>
      </c>
      <c r="AM71" s="202">
        <f t="shared" si="25"/>
        <v>2.4872113938865549E-6</v>
      </c>
      <c r="AN71" s="202">
        <f t="shared" si="26"/>
        <v>0</v>
      </c>
      <c r="AO71" s="202">
        <f t="shared" si="27"/>
        <v>2.4872113938865549E-6</v>
      </c>
      <c r="AP71" s="202">
        <f t="shared" si="28"/>
        <v>0</v>
      </c>
      <c r="AQ71" s="202">
        <f t="shared" si="29"/>
        <v>0</v>
      </c>
      <c r="AR71" s="211" t="s">
        <v>204</v>
      </c>
      <c r="AS71" s="226" t="s">
        <v>1660</v>
      </c>
      <c r="AT71" s="234">
        <v>3115</v>
      </c>
      <c r="AU71" s="244">
        <f t="shared" si="30"/>
        <v>4.1111365850690251E-2</v>
      </c>
      <c r="AV71" s="244">
        <f t="shared" si="31"/>
        <v>0</v>
      </c>
      <c r="AW71" s="244">
        <f t="shared" si="32"/>
        <v>4.1111365850690251E-2</v>
      </c>
      <c r="AX71" s="244">
        <f t="shared" si="33"/>
        <v>0</v>
      </c>
      <c r="AY71" s="244">
        <f t="shared" si="34"/>
        <v>0</v>
      </c>
      <c r="AZ71">
        <v>3.1703386042560438E-5</v>
      </c>
    </row>
    <row r="72" spans="1:52" ht="15" customHeight="1" x14ac:dyDescent="0.35">
      <c r="A72" s="73" t="s">
        <v>204</v>
      </c>
      <c r="B72" s="73" t="s">
        <v>205</v>
      </c>
      <c r="C72" s="67" t="s">
        <v>92</v>
      </c>
      <c r="D72" s="67" t="s">
        <v>233</v>
      </c>
      <c r="E72" s="67" t="s">
        <v>234</v>
      </c>
      <c r="F72" s="73" t="s">
        <v>226</v>
      </c>
      <c r="G72" s="73" t="s">
        <v>52</v>
      </c>
      <c r="H72" s="73" t="s">
        <v>231</v>
      </c>
      <c r="I72" s="73" t="s">
        <v>220</v>
      </c>
      <c r="J72" s="68"/>
      <c r="K72" s="228">
        <f t="shared" si="19"/>
        <v>135</v>
      </c>
      <c r="L72" s="269">
        <v>135</v>
      </c>
      <c r="M72" s="269">
        <v>10</v>
      </c>
      <c r="N72" s="269">
        <v>135</v>
      </c>
      <c r="O72" s="269">
        <v>4</v>
      </c>
      <c r="P72" s="269">
        <v>1</v>
      </c>
      <c r="Q72" s="269">
        <v>2</v>
      </c>
      <c r="R72" s="269">
        <v>1</v>
      </c>
      <c r="S72" s="233" t="s">
        <v>210</v>
      </c>
      <c r="T72" s="91"/>
      <c r="U72" s="238">
        <f t="shared" si="20"/>
        <v>0.46049999999999996</v>
      </c>
      <c r="V72" s="238">
        <f t="shared" si="21"/>
        <v>0</v>
      </c>
      <c r="W72" s="238">
        <f t="shared" si="22"/>
        <v>0</v>
      </c>
      <c r="X72" s="238">
        <f t="shared" si="23"/>
        <v>0</v>
      </c>
      <c r="Y72" s="238">
        <f t="shared" si="24"/>
        <v>0.46049999999999996</v>
      </c>
      <c r="Z72" s="91">
        <v>0.46049999999999996</v>
      </c>
      <c r="AA72" s="91"/>
      <c r="AB72" s="91"/>
      <c r="AC72" s="91"/>
      <c r="AD72" s="92">
        <v>0.46049999999999996</v>
      </c>
      <c r="AE72" s="233">
        <v>165</v>
      </c>
      <c r="AF72" s="72">
        <v>7</v>
      </c>
      <c r="AG72" s="73">
        <v>0.19120000000000001</v>
      </c>
      <c r="AH72" s="93">
        <v>8.8047600000000004E-2</v>
      </c>
      <c r="AI72" s="93">
        <v>0</v>
      </c>
      <c r="AJ72" s="93">
        <v>0</v>
      </c>
      <c r="AK72" s="93">
        <v>0</v>
      </c>
      <c r="AL72" s="94">
        <v>8.8047600000000004E-2</v>
      </c>
      <c r="AM72" s="202">
        <f t="shared" si="25"/>
        <v>5.3268236020109998E-6</v>
      </c>
      <c r="AN72" s="202">
        <f t="shared" si="26"/>
        <v>0</v>
      </c>
      <c r="AO72" s="202">
        <f t="shared" si="27"/>
        <v>0</v>
      </c>
      <c r="AP72" s="202">
        <f t="shared" si="28"/>
        <v>0</v>
      </c>
      <c r="AQ72" s="202">
        <f t="shared" si="29"/>
        <v>5.3268236020109998E-6</v>
      </c>
      <c r="AR72" s="211" t="s">
        <v>204</v>
      </c>
      <c r="AS72" s="226" t="s">
        <v>1660</v>
      </c>
      <c r="AT72" s="234">
        <v>3115</v>
      </c>
      <c r="AU72" s="244">
        <f t="shared" si="30"/>
        <v>8.8047600000000004E-2</v>
      </c>
      <c r="AV72" s="244">
        <f t="shared" si="31"/>
        <v>0</v>
      </c>
      <c r="AW72" s="244">
        <f t="shared" si="32"/>
        <v>0</v>
      </c>
      <c r="AX72" s="244">
        <f t="shared" si="33"/>
        <v>0</v>
      </c>
      <c r="AY72" s="244">
        <f t="shared" si="34"/>
        <v>8.8047600000000004E-2</v>
      </c>
      <c r="AZ72">
        <v>6.7898669751301327E-5</v>
      </c>
    </row>
    <row r="73" spans="1:52" ht="15" customHeight="1" x14ac:dyDescent="0.35">
      <c r="A73" s="73" t="s">
        <v>204</v>
      </c>
      <c r="B73" s="73" t="s">
        <v>205</v>
      </c>
      <c r="C73" s="67" t="s">
        <v>108</v>
      </c>
      <c r="D73" s="73" t="s">
        <v>109</v>
      </c>
      <c r="E73" s="67" t="s">
        <v>109</v>
      </c>
      <c r="F73" s="73" t="s">
        <v>235</v>
      </c>
      <c r="G73" s="73" t="s">
        <v>52</v>
      </c>
      <c r="H73" s="73" t="s">
        <v>216</v>
      </c>
      <c r="I73" s="67" t="s">
        <v>216</v>
      </c>
      <c r="J73" s="68"/>
      <c r="K73" s="228">
        <f t="shared" si="19"/>
        <v>67.5</v>
      </c>
      <c r="L73" s="269">
        <v>67.5</v>
      </c>
      <c r="M73" s="269">
        <v>135</v>
      </c>
      <c r="N73" s="269">
        <v>68</v>
      </c>
      <c r="O73" s="269">
        <v>175</v>
      </c>
      <c r="P73" s="269">
        <v>2</v>
      </c>
      <c r="Q73" s="269">
        <v>4</v>
      </c>
      <c r="R73" s="269">
        <v>1.2999999999999999E-5</v>
      </c>
      <c r="S73" s="233" t="s">
        <v>210</v>
      </c>
      <c r="T73" s="91"/>
      <c r="U73" s="238">
        <f t="shared" si="20"/>
        <v>0</v>
      </c>
      <c r="V73" s="238">
        <f t="shared" si="21"/>
        <v>0</v>
      </c>
      <c r="W73" s="238">
        <f t="shared" si="22"/>
        <v>0</v>
      </c>
      <c r="X73" s="238">
        <f t="shared" si="23"/>
        <v>0</v>
      </c>
      <c r="Y73" s="238">
        <f t="shared" si="24"/>
        <v>0</v>
      </c>
      <c r="Z73" s="91"/>
      <c r="AA73" s="91"/>
      <c r="AB73" s="91"/>
      <c r="AC73" s="91"/>
      <c r="AD73" s="92"/>
      <c r="AE73" s="233"/>
      <c r="AF73" s="72"/>
      <c r="AG73" s="73">
        <v>0.19120000000000001</v>
      </c>
      <c r="AH73" s="93">
        <v>0</v>
      </c>
      <c r="AI73" s="93">
        <v>0</v>
      </c>
      <c r="AJ73" s="93">
        <v>0</v>
      </c>
      <c r="AK73" s="93">
        <v>0</v>
      </c>
      <c r="AL73" s="94">
        <v>0</v>
      </c>
      <c r="AM73" s="202">
        <f t="shared" si="25"/>
        <v>0</v>
      </c>
      <c r="AN73" s="202">
        <f t="shared" si="26"/>
        <v>0</v>
      </c>
      <c r="AO73" s="202">
        <f t="shared" si="27"/>
        <v>0</v>
      </c>
      <c r="AP73" s="202">
        <f t="shared" si="28"/>
        <v>0</v>
      </c>
      <c r="AQ73" s="202">
        <f t="shared" si="29"/>
        <v>0</v>
      </c>
      <c r="AR73" s="211" t="s">
        <v>204</v>
      </c>
      <c r="AS73" s="226" t="s">
        <v>1660</v>
      </c>
      <c r="AT73" s="234">
        <v>3115</v>
      </c>
      <c r="AU73" s="244">
        <f t="shared" si="30"/>
        <v>0</v>
      </c>
      <c r="AV73" s="244">
        <f t="shared" si="31"/>
        <v>0</v>
      </c>
      <c r="AW73" s="244">
        <f t="shared" si="32"/>
        <v>0</v>
      </c>
      <c r="AX73" s="244">
        <f t="shared" si="33"/>
        <v>0</v>
      </c>
      <c r="AY73" s="244">
        <f t="shared" si="34"/>
        <v>0</v>
      </c>
      <c r="AZ73">
        <v>0</v>
      </c>
    </row>
    <row r="74" spans="1:52" ht="15" customHeight="1" x14ac:dyDescent="0.35">
      <c r="A74" s="73" t="s">
        <v>204</v>
      </c>
      <c r="B74" s="73" t="s">
        <v>205</v>
      </c>
      <c r="C74" s="67" t="s">
        <v>92</v>
      </c>
      <c r="D74" s="67" t="s">
        <v>233</v>
      </c>
      <c r="E74" s="67" t="s">
        <v>236</v>
      </c>
      <c r="F74" s="73" t="s">
        <v>235</v>
      </c>
      <c r="G74" s="73" t="s">
        <v>135</v>
      </c>
      <c r="H74" s="73" t="s">
        <v>191</v>
      </c>
      <c r="I74" s="67" t="s">
        <v>237</v>
      </c>
      <c r="J74" s="68">
        <v>0.75</v>
      </c>
      <c r="K74" s="228">
        <f t="shared" si="19"/>
        <v>118</v>
      </c>
      <c r="L74" s="269">
        <v>118</v>
      </c>
      <c r="M74" s="269">
        <v>68</v>
      </c>
      <c r="N74" s="269">
        <v>118</v>
      </c>
      <c r="O74" s="269"/>
      <c r="P74" s="269"/>
      <c r="Q74" s="269"/>
      <c r="R74" s="269" t="s">
        <v>121</v>
      </c>
      <c r="S74" s="233" t="s">
        <v>210</v>
      </c>
      <c r="T74" s="91"/>
      <c r="U74" s="238">
        <f t="shared" si="20"/>
        <v>1.1052</v>
      </c>
      <c r="V74" s="238">
        <f t="shared" si="21"/>
        <v>0</v>
      </c>
      <c r="W74" s="238">
        <f t="shared" si="22"/>
        <v>0</v>
      </c>
      <c r="X74" s="238">
        <f t="shared" si="23"/>
        <v>0</v>
      </c>
      <c r="Y74" s="238">
        <f t="shared" si="24"/>
        <v>1.1052</v>
      </c>
      <c r="Z74" s="91">
        <v>1.1052</v>
      </c>
      <c r="AA74" s="91"/>
      <c r="AB74" s="91"/>
      <c r="AC74" s="91"/>
      <c r="AD74" s="92">
        <v>1.1052</v>
      </c>
      <c r="AE74" s="233">
        <v>165</v>
      </c>
      <c r="AF74" s="72">
        <v>7</v>
      </c>
      <c r="AG74" s="73">
        <v>0.19120000000000001</v>
      </c>
      <c r="AH74" s="93">
        <v>0.21131424000000001</v>
      </c>
      <c r="AI74" s="93">
        <v>0</v>
      </c>
      <c r="AJ74" s="93">
        <v>0</v>
      </c>
      <c r="AK74" s="93">
        <v>0</v>
      </c>
      <c r="AL74" s="94">
        <v>0.21131424000000001</v>
      </c>
      <c r="AM74" s="202">
        <f t="shared" si="25"/>
        <v>1.27843766448264E-5</v>
      </c>
      <c r="AN74" s="202">
        <f t="shared" si="26"/>
        <v>0</v>
      </c>
      <c r="AO74" s="202">
        <f t="shared" si="27"/>
        <v>0</v>
      </c>
      <c r="AP74" s="202">
        <f t="shared" si="28"/>
        <v>0</v>
      </c>
      <c r="AQ74" s="202">
        <f t="shared" si="29"/>
        <v>1.27843766448264E-5</v>
      </c>
      <c r="AR74" s="211" t="s">
        <v>204</v>
      </c>
      <c r="AS74" s="226" t="s">
        <v>1660</v>
      </c>
      <c r="AT74" s="234">
        <v>3115</v>
      </c>
      <c r="AU74" s="244">
        <f t="shared" si="30"/>
        <v>0.21131424000000001</v>
      </c>
      <c r="AV74" s="244">
        <f t="shared" si="31"/>
        <v>0</v>
      </c>
      <c r="AW74" s="244">
        <f t="shared" si="32"/>
        <v>0</v>
      </c>
      <c r="AX74" s="244">
        <f t="shared" si="33"/>
        <v>0</v>
      </c>
      <c r="AY74" s="244">
        <f t="shared" si="34"/>
        <v>0.21131424000000001</v>
      </c>
      <c r="AZ74">
        <v>1.6295680740312319E-4</v>
      </c>
    </row>
    <row r="75" spans="1:52" ht="15" customHeight="1" x14ac:dyDescent="0.35">
      <c r="A75" s="73" t="s">
        <v>204</v>
      </c>
      <c r="B75" s="73" t="s">
        <v>205</v>
      </c>
      <c r="C75" s="67" t="s">
        <v>67</v>
      </c>
      <c r="D75" s="67" t="s">
        <v>67</v>
      </c>
      <c r="E75" s="67" t="s">
        <v>238</v>
      </c>
      <c r="F75" s="73" t="s">
        <v>239</v>
      </c>
      <c r="G75" s="73" t="s">
        <v>52</v>
      </c>
      <c r="H75" s="73" t="s">
        <v>223</v>
      </c>
      <c r="I75" s="67" t="s">
        <v>240</v>
      </c>
      <c r="J75" s="68"/>
      <c r="K75" s="228">
        <f t="shared" si="19"/>
        <v>50</v>
      </c>
      <c r="L75" s="269">
        <v>50</v>
      </c>
      <c r="M75" s="269">
        <v>118</v>
      </c>
      <c r="N75" s="269">
        <v>50</v>
      </c>
      <c r="O75" s="269"/>
      <c r="P75" s="269"/>
      <c r="Q75" s="269"/>
      <c r="R75" s="269"/>
      <c r="S75" s="233" t="s">
        <v>210</v>
      </c>
      <c r="T75" s="91"/>
      <c r="U75" s="238">
        <f t="shared" si="20"/>
        <v>3.0716800545943099E-2</v>
      </c>
      <c r="V75" s="238">
        <f t="shared" si="21"/>
        <v>0</v>
      </c>
      <c r="W75" s="238">
        <f t="shared" si="22"/>
        <v>3.0716800545943099E-2</v>
      </c>
      <c r="X75" s="238">
        <f t="shared" si="23"/>
        <v>0</v>
      </c>
      <c r="Y75" s="238">
        <f t="shared" si="24"/>
        <v>0</v>
      </c>
      <c r="Z75" s="91">
        <v>3.0716800545943099E-2</v>
      </c>
      <c r="AA75" s="91"/>
      <c r="AB75" s="91">
        <v>3.0716800545943099E-2</v>
      </c>
      <c r="AC75" s="91"/>
      <c r="AD75" s="92"/>
      <c r="AE75" s="233"/>
      <c r="AF75" s="72"/>
      <c r="AG75" s="73">
        <v>0.19120000000000001</v>
      </c>
      <c r="AH75" s="93">
        <v>5.873052264384321E-3</v>
      </c>
      <c r="AI75" s="93">
        <v>0</v>
      </c>
      <c r="AJ75" s="93">
        <v>5.873052264384321E-3</v>
      </c>
      <c r="AK75" s="93">
        <v>0</v>
      </c>
      <c r="AL75" s="94">
        <v>0</v>
      </c>
      <c r="AM75" s="202">
        <f t="shared" si="25"/>
        <v>3.5531591341236495E-7</v>
      </c>
      <c r="AN75" s="202">
        <f t="shared" si="26"/>
        <v>0</v>
      </c>
      <c r="AO75" s="202">
        <f t="shared" si="27"/>
        <v>3.5531591341236495E-7</v>
      </c>
      <c r="AP75" s="202">
        <f t="shared" si="28"/>
        <v>0</v>
      </c>
      <c r="AQ75" s="202">
        <f t="shared" si="29"/>
        <v>0</v>
      </c>
      <c r="AR75" s="211" t="s">
        <v>204</v>
      </c>
      <c r="AS75" s="226" t="s">
        <v>1660</v>
      </c>
      <c r="AT75" s="234">
        <v>3115</v>
      </c>
      <c r="AU75" s="244">
        <f t="shared" si="30"/>
        <v>5.873052264384321E-3</v>
      </c>
      <c r="AV75" s="244">
        <f t="shared" si="31"/>
        <v>0</v>
      </c>
      <c r="AW75" s="244">
        <f t="shared" si="32"/>
        <v>5.873052264384321E-3</v>
      </c>
      <c r="AX75" s="244">
        <f t="shared" si="33"/>
        <v>0</v>
      </c>
      <c r="AY75" s="244">
        <f t="shared" si="34"/>
        <v>0</v>
      </c>
      <c r="AZ75">
        <v>4.5290551489372054E-6</v>
      </c>
    </row>
    <row r="76" spans="1:52" ht="15" customHeight="1" x14ac:dyDescent="0.35">
      <c r="A76" s="73" t="s">
        <v>204</v>
      </c>
      <c r="B76" s="73" t="s">
        <v>205</v>
      </c>
      <c r="C76" s="67" t="s">
        <v>124</v>
      </c>
      <c r="D76" s="67" t="s">
        <v>124</v>
      </c>
      <c r="E76" s="67" t="s">
        <v>241</v>
      </c>
      <c r="F76" s="73" t="s">
        <v>242</v>
      </c>
      <c r="G76" s="73" t="s">
        <v>52</v>
      </c>
      <c r="H76" s="73" t="s">
        <v>243</v>
      </c>
      <c r="I76" s="67" t="s">
        <v>243</v>
      </c>
      <c r="J76" s="68"/>
      <c r="K76" s="228">
        <v>30</v>
      </c>
      <c r="L76" s="269"/>
      <c r="M76" s="269"/>
      <c r="N76" s="269"/>
      <c r="O76" s="269"/>
      <c r="P76" s="269"/>
      <c r="Q76" s="269"/>
      <c r="R76" s="269"/>
      <c r="S76" s="233" t="s">
        <v>210</v>
      </c>
      <c r="T76" s="91"/>
      <c r="U76" s="238">
        <f t="shared" si="20"/>
        <v>0.14569848262025242</v>
      </c>
      <c r="V76" s="238">
        <f t="shared" si="21"/>
        <v>0</v>
      </c>
      <c r="W76" s="238">
        <f t="shared" si="22"/>
        <v>0.14569848262025242</v>
      </c>
      <c r="X76" s="238">
        <f t="shared" si="23"/>
        <v>0</v>
      </c>
      <c r="Y76" s="238">
        <f t="shared" si="24"/>
        <v>0</v>
      </c>
      <c r="Z76" s="91">
        <v>0.14569848262025242</v>
      </c>
      <c r="AA76" s="91"/>
      <c r="AB76" s="91">
        <v>0.14569848262025242</v>
      </c>
      <c r="AC76" s="91"/>
      <c r="AD76" s="92"/>
      <c r="AE76" s="233"/>
      <c r="AF76" s="72"/>
      <c r="AG76" s="73">
        <v>19.12</v>
      </c>
      <c r="AH76" s="93">
        <v>2.7857549876992267</v>
      </c>
      <c r="AI76" s="93">
        <v>0</v>
      </c>
      <c r="AJ76" s="93">
        <v>2.7857549876992267</v>
      </c>
      <c r="AK76" s="93">
        <v>0</v>
      </c>
      <c r="AL76" s="94">
        <v>0</v>
      </c>
      <c r="AM76" s="202">
        <f t="shared" si="25"/>
        <v>1.6853639869679699E-4</v>
      </c>
      <c r="AN76" s="202">
        <f t="shared" si="26"/>
        <v>0</v>
      </c>
      <c r="AO76" s="202">
        <f t="shared" si="27"/>
        <v>1.6853639869679699E-4</v>
      </c>
      <c r="AP76" s="202">
        <f t="shared" si="28"/>
        <v>0</v>
      </c>
      <c r="AQ76" s="202">
        <f t="shared" si="29"/>
        <v>0</v>
      </c>
      <c r="AR76" s="211" t="s">
        <v>204</v>
      </c>
      <c r="AS76" s="226" t="s">
        <v>1660</v>
      </c>
      <c r="AT76" s="234">
        <v>3115</v>
      </c>
      <c r="AU76" s="244">
        <f t="shared" si="30"/>
        <v>2.7857549876992267</v>
      </c>
      <c r="AV76" s="244">
        <f t="shared" si="31"/>
        <v>0</v>
      </c>
      <c r="AW76" s="244">
        <f t="shared" si="32"/>
        <v>2.7857549876992267</v>
      </c>
      <c r="AX76" s="244">
        <f t="shared" si="33"/>
        <v>0</v>
      </c>
      <c r="AY76" s="244">
        <f t="shared" si="34"/>
        <v>0</v>
      </c>
      <c r="AZ76">
        <v>2.1482590998258928E-3</v>
      </c>
    </row>
    <row r="77" spans="1:52" ht="15" customHeight="1" x14ac:dyDescent="0.35">
      <c r="A77" s="73" t="s">
        <v>204</v>
      </c>
      <c r="B77" s="73" t="s">
        <v>205</v>
      </c>
      <c r="C77" s="67" t="s">
        <v>48</v>
      </c>
      <c r="D77" s="67" t="s">
        <v>244</v>
      </c>
      <c r="E77" s="67" t="s">
        <v>245</v>
      </c>
      <c r="F77" s="73" t="s">
        <v>246</v>
      </c>
      <c r="G77" s="73" t="s">
        <v>190</v>
      </c>
      <c r="H77" s="73" t="s">
        <v>247</v>
      </c>
      <c r="I77" s="67" t="s">
        <v>247</v>
      </c>
      <c r="J77" s="68">
        <v>0.75</v>
      </c>
      <c r="K77" s="228">
        <f t="shared" si="19"/>
        <v>75</v>
      </c>
      <c r="L77" s="269">
        <v>75</v>
      </c>
      <c r="M77" s="269"/>
      <c r="N77" s="269"/>
      <c r="O77" s="269"/>
      <c r="P77" s="269"/>
      <c r="Q77" s="269"/>
      <c r="R77" s="269"/>
      <c r="S77" s="233" t="s">
        <v>210</v>
      </c>
      <c r="T77" s="91"/>
      <c r="U77" s="238">
        <f t="shared" si="20"/>
        <v>2.9799377397740929E-2</v>
      </c>
      <c r="V77" s="238">
        <f t="shared" si="21"/>
        <v>0</v>
      </c>
      <c r="W77" s="238">
        <f t="shared" si="22"/>
        <v>0</v>
      </c>
      <c r="X77" s="238">
        <f t="shared" si="23"/>
        <v>0</v>
      </c>
      <c r="Y77" s="238">
        <f t="shared" si="24"/>
        <v>2.9799377397740929E-2</v>
      </c>
      <c r="Z77" s="91">
        <v>2.9799377397740929E-2</v>
      </c>
      <c r="AA77" s="91"/>
      <c r="AB77" s="91"/>
      <c r="AC77" s="91"/>
      <c r="AD77" s="92">
        <v>2.9799377397740929E-2</v>
      </c>
      <c r="AE77" s="233">
        <v>105</v>
      </c>
      <c r="AF77" s="72">
        <v>1.2</v>
      </c>
      <c r="AG77" s="73">
        <v>19.12</v>
      </c>
      <c r="AH77" s="93">
        <v>0.56976409584480658</v>
      </c>
      <c r="AI77" s="93">
        <v>0</v>
      </c>
      <c r="AJ77" s="93">
        <v>0</v>
      </c>
      <c r="AK77" s="93">
        <v>0</v>
      </c>
      <c r="AL77" s="94">
        <v>0.56976409584480658</v>
      </c>
      <c r="AM77" s="202">
        <f t="shared" si="25"/>
        <v>3.4470364136269166E-5</v>
      </c>
      <c r="AN77" s="202">
        <f t="shared" si="26"/>
        <v>0</v>
      </c>
      <c r="AO77" s="202">
        <f t="shared" si="27"/>
        <v>0</v>
      </c>
      <c r="AP77" s="202">
        <f t="shared" si="28"/>
        <v>0</v>
      </c>
      <c r="AQ77" s="202">
        <f t="shared" si="29"/>
        <v>3.4470364136269166E-5</v>
      </c>
      <c r="AR77" s="211" t="s">
        <v>204</v>
      </c>
      <c r="AS77" s="226" t="s">
        <v>1660</v>
      </c>
      <c r="AT77" s="234">
        <v>3115</v>
      </c>
      <c r="AU77" s="244">
        <f t="shared" si="30"/>
        <v>0.56976409584480658</v>
      </c>
      <c r="AV77" s="244">
        <f t="shared" si="31"/>
        <v>0</v>
      </c>
      <c r="AW77" s="244">
        <f t="shared" si="32"/>
        <v>0</v>
      </c>
      <c r="AX77" s="244">
        <f t="shared" si="33"/>
        <v>0</v>
      </c>
      <c r="AY77" s="244">
        <f t="shared" si="34"/>
        <v>0.56976409584480658</v>
      </c>
      <c r="AZ77">
        <v>4.3937852002684139E-4</v>
      </c>
    </row>
    <row r="78" spans="1:52" ht="15" customHeight="1" x14ac:dyDescent="0.35">
      <c r="A78" s="73" t="s">
        <v>204</v>
      </c>
      <c r="B78" s="73" t="s">
        <v>248</v>
      </c>
      <c r="C78" s="73" t="s">
        <v>67</v>
      </c>
      <c r="D78" s="73" t="s">
        <v>67</v>
      </c>
      <c r="E78" s="67" t="s">
        <v>206</v>
      </c>
      <c r="F78" s="73" t="s">
        <v>207</v>
      </c>
      <c r="G78" s="73" t="s">
        <v>190</v>
      </c>
      <c r="H78" s="73" t="s">
        <v>208</v>
      </c>
      <c r="I78" s="73" t="s">
        <v>209</v>
      </c>
      <c r="J78" s="68"/>
      <c r="K78" s="228">
        <f t="shared" si="19"/>
        <v>5</v>
      </c>
      <c r="L78" s="269">
        <v>5</v>
      </c>
      <c r="M78" s="269">
        <v>5</v>
      </c>
      <c r="N78" s="269">
        <v>5</v>
      </c>
      <c r="O78" s="269"/>
      <c r="P78" s="269"/>
      <c r="Q78" s="269"/>
      <c r="R78" s="269"/>
      <c r="S78" s="233" t="s">
        <v>210</v>
      </c>
      <c r="T78" s="91"/>
      <c r="U78" s="238">
        <f t="shared" si="20"/>
        <v>8.7350846723148995E-2</v>
      </c>
      <c r="V78" s="238">
        <f t="shared" si="21"/>
        <v>0</v>
      </c>
      <c r="W78" s="238">
        <f t="shared" si="22"/>
        <v>8.7350846723148995E-2</v>
      </c>
      <c r="X78" s="238">
        <f t="shared" si="23"/>
        <v>0</v>
      </c>
      <c r="Y78" s="238">
        <f t="shared" si="24"/>
        <v>0</v>
      </c>
      <c r="Z78" s="91">
        <v>8.7350846723148995E-2</v>
      </c>
      <c r="AA78" s="91"/>
      <c r="AB78" s="91">
        <v>8.7350846723148995E-2</v>
      </c>
      <c r="AC78" s="91"/>
      <c r="AD78" s="92"/>
      <c r="AE78" s="233"/>
      <c r="AF78" s="72"/>
      <c r="AG78" s="103">
        <v>83.56</v>
      </c>
      <c r="AH78" s="93">
        <v>7.2990367521863302</v>
      </c>
      <c r="AI78" s="74">
        <v>0</v>
      </c>
      <c r="AJ78" s="93">
        <v>7.2990367521863302</v>
      </c>
      <c r="AK78" s="93">
        <v>0</v>
      </c>
      <c r="AL78" s="94">
        <v>0</v>
      </c>
      <c r="AM78" s="202">
        <f t="shared" si="25"/>
        <v>4.4158706476373974E-4</v>
      </c>
      <c r="AN78" s="202">
        <f t="shared" si="26"/>
        <v>0</v>
      </c>
      <c r="AO78" s="202">
        <f t="shared" si="27"/>
        <v>4.4158706476373974E-4</v>
      </c>
      <c r="AP78" s="202">
        <f t="shared" si="28"/>
        <v>0</v>
      </c>
      <c r="AQ78" s="202">
        <f t="shared" si="29"/>
        <v>0</v>
      </c>
      <c r="AR78" s="211" t="s">
        <v>204</v>
      </c>
      <c r="AS78" s="226" t="s">
        <v>1660</v>
      </c>
      <c r="AT78" s="234">
        <v>3115</v>
      </c>
      <c r="AU78" s="244">
        <f t="shared" si="30"/>
        <v>7.2990367521863302</v>
      </c>
      <c r="AV78" s="244">
        <f t="shared" si="31"/>
        <v>0</v>
      </c>
      <c r="AW78" s="244">
        <f t="shared" si="32"/>
        <v>7.2990367521863302</v>
      </c>
      <c r="AX78" s="244">
        <f t="shared" si="33"/>
        <v>0</v>
      </c>
      <c r="AY78" s="244">
        <f t="shared" si="34"/>
        <v>0</v>
      </c>
      <c r="AZ78">
        <v>5.6287154441382924E-3</v>
      </c>
    </row>
    <row r="79" spans="1:52" ht="15" customHeight="1" x14ac:dyDescent="0.35">
      <c r="A79" s="73" t="s">
        <v>204</v>
      </c>
      <c r="B79" s="73" t="s">
        <v>248</v>
      </c>
      <c r="C79" s="67" t="s">
        <v>154</v>
      </c>
      <c r="D79" s="73" t="s">
        <v>211</v>
      </c>
      <c r="E79" s="67" t="s">
        <v>212</v>
      </c>
      <c r="F79" s="73" t="s">
        <v>213</v>
      </c>
      <c r="G79" s="73" t="s">
        <v>52</v>
      </c>
      <c r="H79" s="73" t="s">
        <v>214</v>
      </c>
      <c r="I79" s="67" t="s">
        <v>215</v>
      </c>
      <c r="J79" s="68"/>
      <c r="K79" s="228">
        <f t="shared" si="19"/>
        <v>10</v>
      </c>
      <c r="L79" s="269">
        <v>10</v>
      </c>
      <c r="M79" s="269">
        <v>5</v>
      </c>
      <c r="N79" s="269">
        <v>10</v>
      </c>
      <c r="O79" s="269">
        <v>2</v>
      </c>
      <c r="P79" s="269">
        <v>1</v>
      </c>
      <c r="Q79" s="269">
        <v>2</v>
      </c>
      <c r="R79" s="269"/>
      <c r="S79" s="233" t="s">
        <v>210</v>
      </c>
      <c r="T79" s="91"/>
      <c r="U79" s="238">
        <f t="shared" si="20"/>
        <v>4.6405137321672896E-2</v>
      </c>
      <c r="V79" s="238">
        <f t="shared" si="21"/>
        <v>0</v>
      </c>
      <c r="W79" s="238">
        <f t="shared" si="22"/>
        <v>4.6405137321672896E-2</v>
      </c>
      <c r="X79" s="238">
        <f t="shared" si="23"/>
        <v>0</v>
      </c>
      <c r="Y79" s="238">
        <f t="shared" si="24"/>
        <v>0</v>
      </c>
      <c r="Z79" s="91">
        <v>4.6405137321672896E-2</v>
      </c>
      <c r="AA79" s="70"/>
      <c r="AB79" s="91">
        <v>4.6405137321672896E-2</v>
      </c>
      <c r="AC79" s="91"/>
      <c r="AD79" s="92"/>
      <c r="AE79" s="233"/>
      <c r="AF79" s="72"/>
      <c r="AG79" s="73">
        <v>83.56</v>
      </c>
      <c r="AH79" s="93">
        <v>3.8776132745989873</v>
      </c>
      <c r="AI79" s="74">
        <v>0</v>
      </c>
      <c r="AJ79" s="93">
        <v>3.8776132745989873</v>
      </c>
      <c r="AK79" s="93">
        <v>0</v>
      </c>
      <c r="AL79" s="94">
        <v>0</v>
      </c>
      <c r="AM79" s="202">
        <f t="shared" si="25"/>
        <v>2.3459312815573671E-4</v>
      </c>
      <c r="AN79" s="202">
        <f t="shared" si="26"/>
        <v>0</v>
      </c>
      <c r="AO79" s="202">
        <f t="shared" si="27"/>
        <v>2.3459312815573671E-4</v>
      </c>
      <c r="AP79" s="202">
        <f t="shared" si="28"/>
        <v>0</v>
      </c>
      <c r="AQ79" s="202">
        <f t="shared" si="29"/>
        <v>0</v>
      </c>
      <c r="AR79" s="211" t="s">
        <v>204</v>
      </c>
      <c r="AS79" s="226" t="s">
        <v>1660</v>
      </c>
      <c r="AT79" s="234">
        <v>3115</v>
      </c>
      <c r="AU79" s="244">
        <f t="shared" si="30"/>
        <v>3.8776132745989873</v>
      </c>
      <c r="AV79" s="244">
        <f t="shared" si="31"/>
        <v>0</v>
      </c>
      <c r="AW79" s="244">
        <f t="shared" si="32"/>
        <v>3.8776132745989873</v>
      </c>
      <c r="AX79" s="244">
        <f t="shared" si="33"/>
        <v>0</v>
      </c>
      <c r="AY79" s="244">
        <f t="shared" si="34"/>
        <v>0</v>
      </c>
      <c r="AZ79">
        <v>2.9902550796984673E-3</v>
      </c>
    </row>
    <row r="80" spans="1:52" ht="15" customHeight="1" x14ac:dyDescent="0.35">
      <c r="A80" s="73" t="s">
        <v>204</v>
      </c>
      <c r="B80" s="73" t="s">
        <v>248</v>
      </c>
      <c r="C80" s="67" t="s">
        <v>92</v>
      </c>
      <c r="D80" s="67" t="s">
        <v>217</v>
      </c>
      <c r="E80" s="67" t="s">
        <v>218</v>
      </c>
      <c r="F80" s="73" t="s">
        <v>213</v>
      </c>
      <c r="G80" s="73" t="s">
        <v>52</v>
      </c>
      <c r="H80" s="73" t="s">
        <v>219</v>
      </c>
      <c r="I80" s="73" t="s">
        <v>220</v>
      </c>
      <c r="J80" s="68">
        <v>0.75</v>
      </c>
      <c r="K80" s="228">
        <f t="shared" si="19"/>
        <v>72</v>
      </c>
      <c r="L80" s="269">
        <v>72</v>
      </c>
      <c r="M80" s="269">
        <v>10</v>
      </c>
      <c r="N80" s="269">
        <v>72</v>
      </c>
      <c r="O80" s="269"/>
      <c r="P80" s="269"/>
      <c r="Q80" s="269"/>
      <c r="R80" s="269">
        <v>15</v>
      </c>
      <c r="S80" s="233" t="s">
        <v>210</v>
      </c>
      <c r="T80" s="91"/>
      <c r="U80" s="238">
        <f t="shared" si="20"/>
        <v>0.83222154358500144</v>
      </c>
      <c r="V80" s="238">
        <f t="shared" si="21"/>
        <v>0</v>
      </c>
      <c r="W80" s="238">
        <f t="shared" si="22"/>
        <v>0</v>
      </c>
      <c r="X80" s="238">
        <f t="shared" si="23"/>
        <v>0</v>
      </c>
      <c r="Y80" s="238">
        <f t="shared" si="24"/>
        <v>0.83222154358500144</v>
      </c>
      <c r="Z80" s="91">
        <v>0.83222154358500144</v>
      </c>
      <c r="AA80" s="70"/>
      <c r="AB80" s="91"/>
      <c r="AC80" s="91"/>
      <c r="AD80" s="92">
        <v>0.83222154358500144</v>
      </c>
      <c r="AE80" s="233">
        <v>116</v>
      </c>
      <c r="AF80" s="72">
        <v>1.74</v>
      </c>
      <c r="AG80" s="73">
        <v>83.56</v>
      </c>
      <c r="AH80" s="93">
        <v>69.540432181962728</v>
      </c>
      <c r="AI80" s="74">
        <v>0</v>
      </c>
      <c r="AJ80" s="93">
        <v>0</v>
      </c>
      <c r="AK80" s="93">
        <v>0</v>
      </c>
      <c r="AL80" s="94">
        <v>69.540432181962728</v>
      </c>
      <c r="AM80" s="202">
        <f t="shared" si="25"/>
        <v>4.2071517615576608E-3</v>
      </c>
      <c r="AN80" s="202">
        <f t="shared" si="26"/>
        <v>0</v>
      </c>
      <c r="AO80" s="202">
        <f t="shared" si="27"/>
        <v>0</v>
      </c>
      <c r="AP80" s="202">
        <f t="shared" si="28"/>
        <v>0</v>
      </c>
      <c r="AQ80" s="202">
        <f t="shared" si="29"/>
        <v>4.2071517615576608E-3</v>
      </c>
      <c r="AR80" s="211" t="s">
        <v>204</v>
      </c>
      <c r="AS80" s="226" t="s">
        <v>1660</v>
      </c>
      <c r="AT80" s="234">
        <v>3115</v>
      </c>
      <c r="AU80" s="244">
        <f t="shared" si="30"/>
        <v>69.540432181962728</v>
      </c>
      <c r="AV80" s="244">
        <f t="shared" si="31"/>
        <v>0</v>
      </c>
      <c r="AW80" s="244">
        <f t="shared" si="32"/>
        <v>0</v>
      </c>
      <c r="AX80" s="244">
        <f t="shared" si="33"/>
        <v>0</v>
      </c>
      <c r="AY80" s="244">
        <f t="shared" si="34"/>
        <v>69.540432181962728</v>
      </c>
      <c r="AZ80">
        <v>5.3626706907239426E-2</v>
      </c>
    </row>
    <row r="81" spans="1:52" ht="15" customHeight="1" x14ac:dyDescent="0.35">
      <c r="A81" s="85" t="s">
        <v>204</v>
      </c>
      <c r="B81" s="85" t="s">
        <v>248</v>
      </c>
      <c r="C81" s="85" t="s">
        <v>67</v>
      </c>
      <c r="D81" s="85" t="s">
        <v>67</v>
      </c>
      <c r="E81" s="85" t="s">
        <v>221</v>
      </c>
      <c r="F81" s="85" t="s">
        <v>213</v>
      </c>
      <c r="G81" s="85" t="s">
        <v>52</v>
      </c>
      <c r="H81" s="85" t="s">
        <v>219</v>
      </c>
      <c r="I81" s="85" t="s">
        <v>220</v>
      </c>
      <c r="J81" s="97" t="s">
        <v>87</v>
      </c>
      <c r="K81" s="228">
        <f t="shared" si="19"/>
        <v>1</v>
      </c>
      <c r="L81" s="269">
        <v>1</v>
      </c>
      <c r="M81" s="269">
        <v>72</v>
      </c>
      <c r="N81" s="269">
        <v>1</v>
      </c>
      <c r="O81" s="269"/>
      <c r="P81" s="269"/>
      <c r="Q81" s="269"/>
      <c r="R81" s="269"/>
      <c r="S81" s="81" t="s">
        <v>210</v>
      </c>
      <c r="T81" s="99"/>
      <c r="U81" s="238">
        <f t="shared" si="20"/>
        <v>0.14672212535528931</v>
      </c>
      <c r="V81" s="238">
        <f t="shared" si="21"/>
        <v>0</v>
      </c>
      <c r="W81" s="238">
        <f t="shared" si="22"/>
        <v>0.14672212535528931</v>
      </c>
      <c r="X81" s="238">
        <f t="shared" si="23"/>
        <v>0</v>
      </c>
      <c r="Y81" s="238">
        <f t="shared" si="24"/>
        <v>0</v>
      </c>
      <c r="Z81" s="91">
        <v>0.14672212535528931</v>
      </c>
      <c r="AA81" s="70"/>
      <c r="AB81" s="91">
        <v>0.14672212535528931</v>
      </c>
      <c r="AC81" s="91"/>
      <c r="AD81" s="92"/>
      <c r="AE81" s="81"/>
      <c r="AF81" s="84"/>
      <c r="AG81" s="85">
        <v>83.56</v>
      </c>
      <c r="AH81" s="101">
        <v>12.260100794687975</v>
      </c>
      <c r="AI81" s="86">
        <v>0</v>
      </c>
      <c r="AJ81" s="101">
        <v>12.260100794687975</v>
      </c>
      <c r="AK81" s="101">
        <v>0</v>
      </c>
      <c r="AL81" s="102">
        <v>0</v>
      </c>
      <c r="AM81" s="202">
        <f t="shared" si="25"/>
        <v>7.4172827284534407E-4</v>
      </c>
      <c r="AN81" s="202">
        <f t="shared" si="26"/>
        <v>0</v>
      </c>
      <c r="AO81" s="202">
        <f t="shared" si="27"/>
        <v>7.4172827284534407E-4</v>
      </c>
      <c r="AP81" s="202">
        <f t="shared" si="28"/>
        <v>0</v>
      </c>
      <c r="AQ81" s="202">
        <f t="shared" si="29"/>
        <v>0</v>
      </c>
      <c r="AR81" s="214" t="s">
        <v>204</v>
      </c>
      <c r="AS81" s="226" t="s">
        <v>1660</v>
      </c>
      <c r="AT81" s="234">
        <v>3115</v>
      </c>
      <c r="AU81" s="244">
        <f t="shared" si="30"/>
        <v>12.260100794687975</v>
      </c>
      <c r="AV81" s="244">
        <f t="shared" si="31"/>
        <v>0</v>
      </c>
      <c r="AW81" s="244">
        <f t="shared" si="32"/>
        <v>12.260100794687975</v>
      </c>
      <c r="AX81" s="244">
        <f t="shared" si="33"/>
        <v>0</v>
      </c>
      <c r="AY81" s="244">
        <f t="shared" si="34"/>
        <v>0</v>
      </c>
      <c r="AZ81">
        <v>9.4544829725760372E-3</v>
      </c>
    </row>
    <row r="82" spans="1:52" ht="15" customHeight="1" x14ac:dyDescent="0.35">
      <c r="A82" s="66" t="s">
        <v>249</v>
      </c>
      <c r="B82" s="67" t="s">
        <v>250</v>
      </c>
      <c r="C82" s="67" t="s">
        <v>108</v>
      </c>
      <c r="D82" s="67" t="s">
        <v>251</v>
      </c>
      <c r="E82" s="67" t="s">
        <v>252</v>
      </c>
      <c r="F82" s="67" t="s">
        <v>253</v>
      </c>
      <c r="G82" s="67" t="s">
        <v>190</v>
      </c>
      <c r="H82" s="67" t="s">
        <v>209</v>
      </c>
      <c r="I82" s="67" t="s">
        <v>254</v>
      </c>
      <c r="J82" s="95"/>
      <c r="K82" s="228">
        <f t="shared" si="19"/>
        <v>22</v>
      </c>
      <c r="L82" s="269">
        <v>22</v>
      </c>
      <c r="M82" s="269">
        <v>22</v>
      </c>
      <c r="N82" s="269">
        <v>22</v>
      </c>
      <c r="O82" s="269"/>
      <c r="P82" s="269"/>
      <c r="Q82" s="269"/>
      <c r="R82" s="269"/>
      <c r="S82" s="233" t="s">
        <v>255</v>
      </c>
      <c r="T82" s="91"/>
      <c r="U82" s="238">
        <f t="shared" si="20"/>
        <v>0.68</v>
      </c>
      <c r="V82" s="238">
        <f t="shared" si="21"/>
        <v>0</v>
      </c>
      <c r="W82" s="238">
        <f t="shared" si="22"/>
        <v>0.68</v>
      </c>
      <c r="X82" s="238">
        <f t="shared" si="23"/>
        <v>0</v>
      </c>
      <c r="Y82" s="238">
        <f t="shared" si="24"/>
        <v>0</v>
      </c>
      <c r="Z82" s="99">
        <v>0.68</v>
      </c>
      <c r="AA82" s="82"/>
      <c r="AB82" s="99">
        <v>0.68</v>
      </c>
      <c r="AC82" s="99"/>
      <c r="AD82" s="100"/>
      <c r="AE82" s="233"/>
      <c r="AF82" s="72"/>
      <c r="AG82" s="67">
        <v>3.8</v>
      </c>
      <c r="AH82" s="93">
        <v>2.5840000000000001</v>
      </c>
      <c r="AI82" s="93">
        <v>0</v>
      </c>
      <c r="AJ82" s="93">
        <v>2.5840000000000001</v>
      </c>
      <c r="AK82" s="93">
        <v>0</v>
      </c>
      <c r="AL82" s="94">
        <v>0</v>
      </c>
      <c r="AM82" s="202">
        <f t="shared" si="25"/>
        <v>1.5633035071479996E-4</v>
      </c>
      <c r="AN82" s="202">
        <f t="shared" si="26"/>
        <v>0</v>
      </c>
      <c r="AO82" s="202">
        <f t="shared" si="27"/>
        <v>1.5633035071479996E-4</v>
      </c>
      <c r="AP82" s="202">
        <f t="shared" si="28"/>
        <v>0</v>
      </c>
      <c r="AQ82" s="202">
        <f t="shared" si="29"/>
        <v>0</v>
      </c>
      <c r="AR82" s="208" t="s">
        <v>249</v>
      </c>
      <c r="AS82" s="216" t="s">
        <v>1659</v>
      </c>
      <c r="AT82" s="234">
        <v>327211</v>
      </c>
      <c r="AU82" s="244">
        <f t="shared" si="30"/>
        <v>2.5840000000000001</v>
      </c>
      <c r="AV82" s="244">
        <f t="shared" si="31"/>
        <v>0</v>
      </c>
      <c r="AW82" s="244">
        <f t="shared" si="32"/>
        <v>2.5840000000000001</v>
      </c>
      <c r="AX82" s="244">
        <f t="shared" si="33"/>
        <v>0</v>
      </c>
      <c r="AY82" s="244">
        <f t="shared" si="34"/>
        <v>0</v>
      </c>
      <c r="AZ82">
        <v>2.1105938087070163E-3</v>
      </c>
    </row>
    <row r="83" spans="1:52" ht="15" customHeight="1" x14ac:dyDescent="0.35">
      <c r="A83" s="66" t="s">
        <v>249</v>
      </c>
      <c r="B83" s="67" t="s">
        <v>250</v>
      </c>
      <c r="C83" s="67" t="s">
        <v>92</v>
      </c>
      <c r="D83" s="67" t="s">
        <v>256</v>
      </c>
      <c r="E83" s="67" t="s">
        <v>256</v>
      </c>
      <c r="F83" s="67" t="s">
        <v>257</v>
      </c>
      <c r="G83" s="67" t="s">
        <v>52</v>
      </c>
      <c r="H83" s="67" t="s">
        <v>53</v>
      </c>
      <c r="I83" s="67" t="s">
        <v>258</v>
      </c>
      <c r="J83" s="105">
        <f>AC84/Z84</f>
        <v>0</v>
      </c>
      <c r="K83" s="228">
        <f t="shared" si="19"/>
        <v>1600</v>
      </c>
      <c r="L83" s="269">
        <v>1600</v>
      </c>
      <c r="M83" s="269">
        <v>22</v>
      </c>
      <c r="N83" s="269">
        <v>1600</v>
      </c>
      <c r="O83" s="269"/>
      <c r="P83" s="269"/>
      <c r="Q83" s="269"/>
      <c r="R83" s="269" t="s">
        <v>259</v>
      </c>
      <c r="S83" s="233" t="s">
        <v>255</v>
      </c>
      <c r="T83" s="91"/>
      <c r="U83" s="238">
        <f t="shared" si="20"/>
        <v>6.19</v>
      </c>
      <c r="V83" s="238">
        <f t="shared" si="21"/>
        <v>0</v>
      </c>
      <c r="W83" s="238">
        <f t="shared" si="22"/>
        <v>0</v>
      </c>
      <c r="X83" s="238">
        <f t="shared" si="23"/>
        <v>2.4250440917107587</v>
      </c>
      <c r="Y83" s="238">
        <f t="shared" si="24"/>
        <v>0</v>
      </c>
      <c r="Z83" s="91">
        <v>6.19</v>
      </c>
      <c r="AA83" s="91"/>
      <c r="AB83" s="91"/>
      <c r="AC83" s="91">
        <v>2.4250440917107587</v>
      </c>
      <c r="AD83" s="92"/>
      <c r="AE83" s="233"/>
      <c r="AF83" s="72"/>
      <c r="AG83" s="67">
        <v>3.8</v>
      </c>
      <c r="AH83" s="93">
        <v>23.522000000000002</v>
      </c>
      <c r="AI83" s="93">
        <v>0</v>
      </c>
      <c r="AJ83" s="93">
        <v>0</v>
      </c>
      <c r="AK83" s="93">
        <v>9.215167548500883</v>
      </c>
      <c r="AL83" s="94">
        <v>0</v>
      </c>
      <c r="AM83" s="202">
        <f t="shared" si="25"/>
        <v>1.4230659866538411E-3</v>
      </c>
      <c r="AN83" s="202">
        <f t="shared" si="26"/>
        <v>0</v>
      </c>
      <c r="AO83" s="202">
        <f t="shared" si="27"/>
        <v>0</v>
      </c>
      <c r="AP83" s="202">
        <f t="shared" si="28"/>
        <v>5.5751175493528888E-4</v>
      </c>
      <c r="AQ83" s="202">
        <f t="shared" si="29"/>
        <v>0</v>
      </c>
      <c r="AR83" s="208" t="s">
        <v>249</v>
      </c>
      <c r="AS83" s="216" t="s">
        <v>1659</v>
      </c>
      <c r="AT83" s="234">
        <v>327211</v>
      </c>
      <c r="AU83" s="244">
        <f t="shared" si="30"/>
        <v>23.522000000000002</v>
      </c>
      <c r="AV83" s="244">
        <f t="shared" si="31"/>
        <v>0</v>
      </c>
      <c r="AW83" s="244">
        <f t="shared" si="32"/>
        <v>0</v>
      </c>
      <c r="AX83" s="244">
        <f t="shared" si="33"/>
        <v>9.215167548500883</v>
      </c>
      <c r="AY83" s="244">
        <f t="shared" si="34"/>
        <v>0</v>
      </c>
      <c r="AZ83">
        <v>1.9212611288082989E-2</v>
      </c>
    </row>
    <row r="84" spans="1:52" ht="15" customHeight="1" x14ac:dyDescent="0.35">
      <c r="A84" s="66" t="s">
        <v>249</v>
      </c>
      <c r="B84" s="67" t="s">
        <v>250</v>
      </c>
      <c r="C84" s="67" t="s">
        <v>260</v>
      </c>
      <c r="D84" s="67" t="s">
        <v>261</v>
      </c>
      <c r="E84" s="67" t="s">
        <v>261</v>
      </c>
      <c r="F84" s="67" t="s">
        <v>262</v>
      </c>
      <c r="G84" s="67" t="s">
        <v>52</v>
      </c>
      <c r="H84" s="67" t="s">
        <v>263</v>
      </c>
      <c r="I84" s="67" t="s">
        <v>264</v>
      </c>
      <c r="J84" s="95"/>
      <c r="K84" s="228">
        <f t="shared" si="19"/>
        <v>1100</v>
      </c>
      <c r="L84" s="269">
        <v>1100</v>
      </c>
      <c r="M84" s="269">
        <v>1600</v>
      </c>
      <c r="N84" s="269">
        <v>600</v>
      </c>
      <c r="O84" s="269"/>
      <c r="P84" s="269"/>
      <c r="Q84" s="269"/>
      <c r="R84" s="269" t="s">
        <v>265</v>
      </c>
      <c r="S84" s="233" t="s">
        <v>255</v>
      </c>
      <c r="T84" s="91"/>
      <c r="U84" s="238">
        <f t="shared" si="20"/>
        <v>1.5</v>
      </c>
      <c r="V84" s="238">
        <f t="shared" si="21"/>
        <v>0</v>
      </c>
      <c r="W84" s="238">
        <f t="shared" si="22"/>
        <v>1.5</v>
      </c>
      <c r="X84" s="238">
        <f t="shared" si="23"/>
        <v>0</v>
      </c>
      <c r="Y84" s="238">
        <f t="shared" si="24"/>
        <v>0</v>
      </c>
      <c r="Z84" s="91">
        <v>1.5</v>
      </c>
      <c r="AA84" s="91"/>
      <c r="AB84" s="91">
        <v>1.5</v>
      </c>
      <c r="AC84" s="91"/>
      <c r="AD84" s="92"/>
      <c r="AE84" s="233"/>
      <c r="AF84" s="72"/>
      <c r="AG84" s="67">
        <v>3.8</v>
      </c>
      <c r="AH84" s="93">
        <v>5.6999999999999993</v>
      </c>
      <c r="AI84" s="93">
        <v>0</v>
      </c>
      <c r="AJ84" s="93">
        <v>5.6999999999999993</v>
      </c>
      <c r="AK84" s="93">
        <v>0</v>
      </c>
      <c r="AL84" s="94">
        <v>0</v>
      </c>
      <c r="AM84" s="202">
        <f t="shared" si="25"/>
        <v>3.4484636187088227E-4</v>
      </c>
      <c r="AN84" s="202">
        <f t="shared" si="26"/>
        <v>0</v>
      </c>
      <c r="AO84" s="202">
        <f t="shared" si="27"/>
        <v>3.4484636187088227E-4</v>
      </c>
      <c r="AP84" s="202">
        <f t="shared" si="28"/>
        <v>0</v>
      </c>
      <c r="AQ84" s="202">
        <f t="shared" si="29"/>
        <v>0</v>
      </c>
      <c r="AR84" s="208" t="s">
        <v>249</v>
      </c>
      <c r="AS84" s="216" t="s">
        <v>1659</v>
      </c>
      <c r="AT84" s="234">
        <v>327211</v>
      </c>
      <c r="AU84" s="244">
        <f t="shared" si="30"/>
        <v>5.6999999999999993</v>
      </c>
      <c r="AV84" s="244">
        <f t="shared" si="31"/>
        <v>0</v>
      </c>
      <c r="AW84" s="244">
        <f t="shared" si="32"/>
        <v>5.6999999999999993</v>
      </c>
      <c r="AX84" s="244">
        <f t="shared" si="33"/>
        <v>0</v>
      </c>
      <c r="AY84" s="244">
        <f t="shared" si="34"/>
        <v>0</v>
      </c>
      <c r="AZ84">
        <v>4.6557216368537119E-3</v>
      </c>
    </row>
    <row r="85" spans="1:52" ht="15" customHeight="1" x14ac:dyDescent="0.35">
      <c r="A85" s="66" t="s">
        <v>249</v>
      </c>
      <c r="B85" s="67" t="s">
        <v>250</v>
      </c>
      <c r="C85" s="67" t="s">
        <v>67</v>
      </c>
      <c r="D85" s="67" t="s">
        <v>266</v>
      </c>
      <c r="E85" s="67" t="s">
        <v>266</v>
      </c>
      <c r="F85" s="67" t="s">
        <v>262</v>
      </c>
      <c r="G85" s="67" t="s">
        <v>52</v>
      </c>
      <c r="H85" s="67" t="s">
        <v>267</v>
      </c>
      <c r="I85" s="67" t="s">
        <v>268</v>
      </c>
      <c r="J85" s="95"/>
      <c r="K85" s="228">
        <f t="shared" si="19"/>
        <v>600</v>
      </c>
      <c r="L85" s="269">
        <v>600</v>
      </c>
      <c r="M85" s="269">
        <v>600</v>
      </c>
      <c r="N85" s="269">
        <v>480</v>
      </c>
      <c r="O85" s="269"/>
      <c r="P85" s="269"/>
      <c r="Q85" s="269"/>
      <c r="R85" s="269" t="s">
        <v>269</v>
      </c>
      <c r="S85" s="233" t="s">
        <v>255</v>
      </c>
      <c r="T85" s="91"/>
      <c r="U85" s="238">
        <f t="shared" si="20"/>
        <v>0.41000000000000003</v>
      </c>
      <c r="V85" s="238">
        <f t="shared" si="21"/>
        <v>0</v>
      </c>
      <c r="W85" s="238">
        <f t="shared" si="22"/>
        <v>0.01</v>
      </c>
      <c r="X85" s="238">
        <f t="shared" si="23"/>
        <v>0.4</v>
      </c>
      <c r="Y85" s="238">
        <f t="shared" si="24"/>
        <v>0</v>
      </c>
      <c r="Z85" s="91">
        <v>0.41000000000000003</v>
      </c>
      <c r="AA85" s="91"/>
      <c r="AB85" s="91">
        <v>0.01</v>
      </c>
      <c r="AC85" s="91">
        <v>0.4</v>
      </c>
      <c r="AD85" s="92"/>
      <c r="AE85" s="233"/>
      <c r="AF85" s="72"/>
      <c r="AG85" s="67">
        <v>3.8</v>
      </c>
      <c r="AH85" s="93">
        <v>1.5580000000000001</v>
      </c>
      <c r="AI85" s="93">
        <v>0</v>
      </c>
      <c r="AJ85" s="93">
        <v>3.7999999999999999E-2</v>
      </c>
      <c r="AK85" s="93">
        <v>1.52</v>
      </c>
      <c r="AL85" s="94">
        <v>0</v>
      </c>
      <c r="AM85" s="202">
        <f t="shared" si="25"/>
        <v>9.4258005578041167E-5</v>
      </c>
      <c r="AN85" s="202">
        <f t="shared" si="26"/>
        <v>0</v>
      </c>
      <c r="AO85" s="202">
        <f t="shared" si="27"/>
        <v>2.2989757458058819E-6</v>
      </c>
      <c r="AP85" s="202">
        <f t="shared" si="28"/>
        <v>9.1959029832235279E-5</v>
      </c>
      <c r="AQ85" s="202">
        <f t="shared" si="29"/>
        <v>0</v>
      </c>
      <c r="AR85" s="208" t="s">
        <v>249</v>
      </c>
      <c r="AS85" s="216" t="s">
        <v>1659</v>
      </c>
      <c r="AT85" s="234">
        <v>327211</v>
      </c>
      <c r="AU85" s="244">
        <f t="shared" si="30"/>
        <v>1.5580000000000001</v>
      </c>
      <c r="AV85" s="244">
        <f t="shared" si="31"/>
        <v>0</v>
      </c>
      <c r="AW85" s="244">
        <f t="shared" si="32"/>
        <v>3.7999999999999999E-2</v>
      </c>
      <c r="AX85" s="244">
        <f t="shared" si="33"/>
        <v>1.52</v>
      </c>
      <c r="AY85" s="244">
        <f t="shared" si="34"/>
        <v>0</v>
      </c>
      <c r="AZ85">
        <v>1.272563914073348E-3</v>
      </c>
    </row>
    <row r="86" spans="1:52" ht="15" customHeight="1" x14ac:dyDescent="0.35">
      <c r="A86" s="66" t="s">
        <v>249</v>
      </c>
      <c r="B86" s="67" t="s">
        <v>250</v>
      </c>
      <c r="C86" s="233" t="s">
        <v>270</v>
      </c>
      <c r="D86" s="67" t="s">
        <v>271</v>
      </c>
      <c r="E86" s="67" t="s">
        <v>271</v>
      </c>
      <c r="F86" s="67" t="s">
        <v>262</v>
      </c>
      <c r="G86" s="67" t="s">
        <v>52</v>
      </c>
      <c r="H86" s="67" t="s">
        <v>272</v>
      </c>
      <c r="I86" s="67" t="s">
        <v>273</v>
      </c>
      <c r="J86" s="95"/>
      <c r="K86" s="228">
        <f t="shared" si="19"/>
        <v>60</v>
      </c>
      <c r="L86" s="269">
        <v>60</v>
      </c>
      <c r="M86" s="269">
        <v>480</v>
      </c>
      <c r="N86" s="269">
        <v>60</v>
      </c>
      <c r="O86" s="269"/>
      <c r="P86" s="269"/>
      <c r="Q86" s="269"/>
      <c r="R86" s="269"/>
      <c r="S86" s="233" t="s">
        <v>255</v>
      </c>
      <c r="T86" s="91"/>
      <c r="U86" s="238">
        <f t="shared" si="20"/>
        <v>0.14000000000000001</v>
      </c>
      <c r="V86" s="238">
        <f t="shared" si="21"/>
        <v>0</v>
      </c>
      <c r="W86" s="238">
        <f t="shared" si="22"/>
        <v>0.14000000000000001</v>
      </c>
      <c r="X86" s="238">
        <f t="shared" si="23"/>
        <v>0</v>
      </c>
      <c r="Y86" s="238">
        <f t="shared" si="24"/>
        <v>0</v>
      </c>
      <c r="Z86" s="91">
        <v>0.14000000000000001</v>
      </c>
      <c r="AA86" s="91"/>
      <c r="AB86" s="91">
        <v>0.14000000000000001</v>
      </c>
      <c r="AC86" s="91"/>
      <c r="AD86" s="92"/>
      <c r="AE86" s="233"/>
      <c r="AF86" s="72"/>
      <c r="AG86" s="67">
        <v>3.8</v>
      </c>
      <c r="AH86" s="93">
        <v>0.53200000000000003</v>
      </c>
      <c r="AI86" s="93">
        <v>0</v>
      </c>
      <c r="AJ86" s="93">
        <v>0.53200000000000003</v>
      </c>
      <c r="AK86" s="93">
        <v>0</v>
      </c>
      <c r="AL86" s="94">
        <v>0</v>
      </c>
      <c r="AM86" s="202">
        <f t="shared" si="25"/>
        <v>3.2185660441282349E-5</v>
      </c>
      <c r="AN86" s="202">
        <f t="shared" si="26"/>
        <v>0</v>
      </c>
      <c r="AO86" s="202">
        <f t="shared" si="27"/>
        <v>3.2185660441282349E-5</v>
      </c>
      <c r="AP86" s="202">
        <f t="shared" si="28"/>
        <v>0</v>
      </c>
      <c r="AQ86" s="202">
        <f t="shared" si="29"/>
        <v>0</v>
      </c>
      <c r="AR86" s="208" t="s">
        <v>249</v>
      </c>
      <c r="AS86" s="216" t="s">
        <v>1659</v>
      </c>
      <c r="AT86" s="234">
        <v>327211</v>
      </c>
      <c r="AU86" s="244">
        <f t="shared" si="30"/>
        <v>0.53200000000000003</v>
      </c>
      <c r="AV86" s="244">
        <f t="shared" si="31"/>
        <v>0</v>
      </c>
      <c r="AW86" s="244">
        <f t="shared" si="32"/>
        <v>0.53200000000000003</v>
      </c>
      <c r="AX86" s="244">
        <f t="shared" si="33"/>
        <v>0</v>
      </c>
      <c r="AY86" s="244">
        <f t="shared" si="34"/>
        <v>0</v>
      </c>
      <c r="AZ86">
        <v>4.3453401943967983E-4</v>
      </c>
    </row>
    <row r="87" spans="1:52" ht="15" customHeight="1" x14ac:dyDescent="0.35">
      <c r="A87" s="66" t="s">
        <v>249</v>
      </c>
      <c r="B87" s="67" t="s">
        <v>250</v>
      </c>
      <c r="C87" s="67" t="s">
        <v>92</v>
      </c>
      <c r="D87" s="67" t="s">
        <v>229</v>
      </c>
      <c r="E87" s="67" t="s">
        <v>229</v>
      </c>
      <c r="F87" s="67" t="s">
        <v>274</v>
      </c>
      <c r="G87" s="67" t="s">
        <v>190</v>
      </c>
      <c r="H87" s="67" t="s">
        <v>53</v>
      </c>
      <c r="I87" s="67" t="s">
        <v>53</v>
      </c>
      <c r="J87" s="95"/>
      <c r="K87" s="228">
        <f t="shared" si="19"/>
        <v>900</v>
      </c>
      <c r="L87" s="269">
        <v>900</v>
      </c>
      <c r="M87" s="269">
        <v>60</v>
      </c>
      <c r="N87" s="269">
        <v>900</v>
      </c>
      <c r="O87" s="269"/>
      <c r="P87" s="269"/>
      <c r="Q87" s="269"/>
      <c r="R87" s="269"/>
      <c r="S87" s="233" t="s">
        <v>255</v>
      </c>
      <c r="T87" s="91"/>
      <c r="U87" s="238">
        <f t="shared" si="20"/>
        <v>1</v>
      </c>
      <c r="V87" s="238">
        <f t="shared" si="21"/>
        <v>0</v>
      </c>
      <c r="W87" s="238">
        <f t="shared" si="22"/>
        <v>0</v>
      </c>
      <c r="X87" s="238">
        <f t="shared" si="23"/>
        <v>1</v>
      </c>
      <c r="Y87" s="238">
        <f t="shared" si="24"/>
        <v>0</v>
      </c>
      <c r="Z87" s="91">
        <v>1</v>
      </c>
      <c r="AA87" s="91"/>
      <c r="AB87" s="91"/>
      <c r="AC87" s="91">
        <v>1</v>
      </c>
      <c r="AD87" s="92"/>
      <c r="AE87" s="233"/>
      <c r="AF87" s="72"/>
      <c r="AG87" s="67">
        <v>3.8</v>
      </c>
      <c r="AH87" s="93">
        <v>3.8</v>
      </c>
      <c r="AI87" s="93">
        <v>0</v>
      </c>
      <c r="AJ87" s="93">
        <v>0</v>
      </c>
      <c r="AK87" s="93">
        <v>3.8</v>
      </c>
      <c r="AL87" s="94">
        <v>0</v>
      </c>
      <c r="AM87" s="202">
        <f t="shared" si="25"/>
        <v>2.2989757458058817E-4</v>
      </c>
      <c r="AN87" s="202">
        <f t="shared" si="26"/>
        <v>0</v>
      </c>
      <c r="AO87" s="202">
        <f t="shared" si="27"/>
        <v>0</v>
      </c>
      <c r="AP87" s="202">
        <f t="shared" si="28"/>
        <v>2.2989757458058817E-4</v>
      </c>
      <c r="AQ87" s="202">
        <f t="shared" si="29"/>
        <v>0</v>
      </c>
      <c r="AR87" s="208" t="s">
        <v>249</v>
      </c>
      <c r="AS87" s="216" t="s">
        <v>1659</v>
      </c>
      <c r="AT87" s="234">
        <v>327211</v>
      </c>
      <c r="AU87" s="244">
        <f t="shared" si="30"/>
        <v>3.8</v>
      </c>
      <c r="AV87" s="244">
        <f t="shared" si="31"/>
        <v>0</v>
      </c>
      <c r="AW87" s="244">
        <f t="shared" si="32"/>
        <v>0</v>
      </c>
      <c r="AX87" s="244">
        <f t="shared" si="33"/>
        <v>3.8</v>
      </c>
      <c r="AY87" s="244">
        <f t="shared" si="34"/>
        <v>0</v>
      </c>
      <c r="AZ87">
        <v>3.1038144245691414E-3</v>
      </c>
    </row>
    <row r="88" spans="1:52" ht="15" customHeight="1" x14ac:dyDescent="0.35">
      <c r="A88" s="77" t="s">
        <v>249</v>
      </c>
      <c r="B88" s="78" t="s">
        <v>250</v>
      </c>
      <c r="C88" s="78" t="s">
        <v>92</v>
      </c>
      <c r="D88" s="78" t="s">
        <v>275</v>
      </c>
      <c r="E88" s="78" t="s">
        <v>276</v>
      </c>
      <c r="F88" s="78" t="s">
        <v>274</v>
      </c>
      <c r="G88" s="78" t="s">
        <v>190</v>
      </c>
      <c r="H88" s="78" t="s">
        <v>276</v>
      </c>
      <c r="I88" s="78" t="s">
        <v>276</v>
      </c>
      <c r="J88" s="98"/>
      <c r="K88" s="228">
        <f t="shared" si="19"/>
        <v>90</v>
      </c>
      <c r="L88" s="269">
        <v>90</v>
      </c>
      <c r="M88" s="269">
        <v>900</v>
      </c>
      <c r="N88" s="269">
        <v>90</v>
      </c>
      <c r="O88" s="269">
        <v>13</v>
      </c>
      <c r="P88" s="269">
        <v>1</v>
      </c>
      <c r="Q88" s="269">
        <v>1</v>
      </c>
      <c r="R88" s="269"/>
      <c r="S88" s="81" t="s">
        <v>255</v>
      </c>
      <c r="T88" s="99"/>
      <c r="U88" s="238">
        <f t="shared" si="20"/>
        <v>0.64</v>
      </c>
      <c r="V88" s="238">
        <f t="shared" si="21"/>
        <v>0</v>
      </c>
      <c r="W88" s="238">
        <f t="shared" si="22"/>
        <v>0.14000000000000001</v>
      </c>
      <c r="X88" s="238">
        <f t="shared" si="23"/>
        <v>0.5</v>
      </c>
      <c r="Y88" s="238">
        <f t="shared" si="24"/>
        <v>0</v>
      </c>
      <c r="Z88" s="91">
        <v>0.64</v>
      </c>
      <c r="AA88" s="91"/>
      <c r="AB88" s="91">
        <v>0.14000000000000001</v>
      </c>
      <c r="AC88" s="91">
        <v>0.5</v>
      </c>
      <c r="AD88" s="92"/>
      <c r="AE88" s="81"/>
      <c r="AF88" s="84"/>
      <c r="AG88" s="78">
        <v>3.8</v>
      </c>
      <c r="AH88" s="101">
        <v>2.4319999999999999</v>
      </c>
      <c r="AI88" s="101">
        <v>0</v>
      </c>
      <c r="AJ88" s="101">
        <v>0.53200000000000003</v>
      </c>
      <c r="AK88" s="101">
        <v>1.9</v>
      </c>
      <c r="AL88" s="102">
        <v>0</v>
      </c>
      <c r="AM88" s="202">
        <f t="shared" si="25"/>
        <v>1.4713444773157644E-4</v>
      </c>
      <c r="AN88" s="202">
        <f t="shared" si="26"/>
        <v>0</v>
      </c>
      <c r="AO88" s="202">
        <f t="shared" si="27"/>
        <v>3.2185660441282349E-5</v>
      </c>
      <c r="AP88" s="202">
        <f t="shared" si="28"/>
        <v>1.1494878729029409E-4</v>
      </c>
      <c r="AQ88" s="202">
        <f t="shared" si="29"/>
        <v>0</v>
      </c>
      <c r="AR88" s="212" t="s">
        <v>249</v>
      </c>
      <c r="AS88" s="216" t="s">
        <v>1659</v>
      </c>
      <c r="AT88" s="234">
        <v>327211</v>
      </c>
      <c r="AU88" s="244">
        <f t="shared" si="30"/>
        <v>2.4319999999999999</v>
      </c>
      <c r="AV88" s="244">
        <f t="shared" si="31"/>
        <v>0</v>
      </c>
      <c r="AW88" s="244">
        <f t="shared" si="32"/>
        <v>0.53200000000000003</v>
      </c>
      <c r="AX88" s="244">
        <f t="shared" si="33"/>
        <v>1.9</v>
      </c>
      <c r="AY88" s="244">
        <f t="shared" si="34"/>
        <v>0</v>
      </c>
      <c r="AZ88">
        <v>1.9864412317242507E-3</v>
      </c>
    </row>
    <row r="89" spans="1:52" ht="15" customHeight="1" x14ac:dyDescent="0.35">
      <c r="A89" s="67" t="s">
        <v>277</v>
      </c>
      <c r="B89" s="57" t="s">
        <v>278</v>
      </c>
      <c r="C89" s="67" t="s">
        <v>154</v>
      </c>
      <c r="D89" s="67" t="s">
        <v>279</v>
      </c>
      <c r="E89" s="67" t="s">
        <v>280</v>
      </c>
      <c r="F89" s="67" t="s">
        <v>281</v>
      </c>
      <c r="G89" s="67" t="s">
        <v>52</v>
      </c>
      <c r="H89" s="67" t="s">
        <v>282</v>
      </c>
      <c r="I89" s="106" t="s">
        <v>283</v>
      </c>
      <c r="J89" s="95"/>
      <c r="K89" s="228">
        <f t="shared" si="19"/>
        <v>25</v>
      </c>
      <c r="L89" s="269">
        <v>25</v>
      </c>
      <c r="M89" s="269"/>
      <c r="N89" s="269"/>
      <c r="O89" s="269"/>
      <c r="P89" s="269"/>
      <c r="Q89" s="269"/>
      <c r="R89" s="269" t="s">
        <v>284</v>
      </c>
      <c r="S89" s="67" t="s">
        <v>285</v>
      </c>
      <c r="T89" s="70">
        <v>1.7</v>
      </c>
      <c r="U89" s="238">
        <f t="shared" si="20"/>
        <v>0.20688311688311686</v>
      </c>
      <c r="V89" s="238">
        <f t="shared" si="21"/>
        <v>0</v>
      </c>
      <c r="W89" s="238">
        <f t="shared" si="22"/>
        <v>0.20688311688311686</v>
      </c>
      <c r="X89" s="238">
        <f t="shared" si="23"/>
        <v>0</v>
      </c>
      <c r="Y89" s="238">
        <f t="shared" si="24"/>
        <v>0</v>
      </c>
      <c r="Z89" s="99">
        <v>0.20688311688311686</v>
      </c>
      <c r="AA89" s="99"/>
      <c r="AB89" s="99">
        <v>0.20688311688311686</v>
      </c>
      <c r="AC89" s="99"/>
      <c r="AD89" s="100"/>
      <c r="AE89" s="233"/>
      <c r="AF89" s="72"/>
      <c r="AG89" s="73">
        <v>2.5481653685622168</v>
      </c>
      <c r="AH89" s="93">
        <v>0.52717239378176761</v>
      </c>
      <c r="AI89" s="93">
        <v>0</v>
      </c>
      <c r="AJ89" s="93">
        <v>0.52717239378176761</v>
      </c>
      <c r="AK89" s="93">
        <v>0</v>
      </c>
      <c r="AL89" s="94">
        <v>0</v>
      </c>
      <c r="AM89" s="202">
        <f t="shared" si="25"/>
        <v>3.1893593346387141E-5</v>
      </c>
      <c r="AN89" s="202">
        <f t="shared" si="26"/>
        <v>0</v>
      </c>
      <c r="AO89" s="202">
        <f t="shared" si="27"/>
        <v>3.1893593346387141E-5</v>
      </c>
      <c r="AP89" s="202">
        <f t="shared" si="28"/>
        <v>0</v>
      </c>
      <c r="AQ89" s="202">
        <f t="shared" si="29"/>
        <v>0</v>
      </c>
      <c r="AR89" s="209" t="s">
        <v>277</v>
      </c>
      <c r="AS89" s="223" t="s">
        <v>1658</v>
      </c>
      <c r="AT89" s="234">
        <v>325180</v>
      </c>
      <c r="AU89" s="244">
        <f t="shared" si="30"/>
        <v>0.52717239378176761</v>
      </c>
      <c r="AV89" s="244">
        <f t="shared" si="31"/>
        <v>0</v>
      </c>
      <c r="AW89" s="244">
        <f t="shared" si="32"/>
        <v>0.52717239378176761</v>
      </c>
      <c r="AX89" s="244">
        <f t="shared" si="33"/>
        <v>0</v>
      </c>
      <c r="AY89" s="244">
        <f t="shared" si="34"/>
        <v>0</v>
      </c>
      <c r="AZ89">
        <v>1.2627488593028831E-4</v>
      </c>
    </row>
    <row r="90" spans="1:52" ht="15" customHeight="1" x14ac:dyDescent="0.35">
      <c r="A90" s="67" t="s">
        <v>277</v>
      </c>
      <c r="B90" s="67" t="s">
        <v>278</v>
      </c>
      <c r="C90" s="67" t="s">
        <v>92</v>
      </c>
      <c r="D90" s="67" t="s">
        <v>229</v>
      </c>
      <c r="E90" s="67" t="s">
        <v>286</v>
      </c>
      <c r="F90" s="67" t="s">
        <v>281</v>
      </c>
      <c r="G90" s="67" t="s">
        <v>52</v>
      </c>
      <c r="H90" s="67" t="s">
        <v>95</v>
      </c>
      <c r="I90" s="106" t="s">
        <v>287</v>
      </c>
      <c r="J90" s="95"/>
      <c r="K90" s="228">
        <f t="shared" si="19"/>
        <v>90</v>
      </c>
      <c r="L90" s="269">
        <v>90</v>
      </c>
      <c r="M90" s="269">
        <v>25</v>
      </c>
      <c r="N90" s="269">
        <v>90</v>
      </c>
      <c r="O90" s="269"/>
      <c r="P90" s="269"/>
      <c r="Q90" s="269"/>
      <c r="R90" s="269"/>
      <c r="S90" s="67" t="s">
        <v>285</v>
      </c>
      <c r="T90" s="70"/>
      <c r="U90" s="238">
        <f t="shared" si="20"/>
        <v>0.93039985144897808</v>
      </c>
      <c r="V90" s="238">
        <f t="shared" si="21"/>
        <v>0</v>
      </c>
      <c r="W90" s="238">
        <f t="shared" si="22"/>
        <v>0</v>
      </c>
      <c r="X90" s="238">
        <f t="shared" si="23"/>
        <v>0</v>
      </c>
      <c r="Y90" s="238">
        <f t="shared" si="24"/>
        <v>0.93039985144897808</v>
      </c>
      <c r="Z90" s="91">
        <v>0.93039985144897808</v>
      </c>
      <c r="AA90" s="70"/>
      <c r="AB90" s="70"/>
      <c r="AC90" s="70"/>
      <c r="AD90" s="71">
        <v>0.93039985144897808</v>
      </c>
      <c r="AE90" s="233">
        <v>208</v>
      </c>
      <c r="AF90" s="72">
        <v>9.1999999999999993</v>
      </c>
      <c r="AG90" s="73">
        <v>2.5481653685622168</v>
      </c>
      <c r="AH90" s="93">
        <v>2.3708126803777168</v>
      </c>
      <c r="AI90" s="93">
        <v>0</v>
      </c>
      <c r="AJ90" s="93">
        <v>0</v>
      </c>
      <c r="AK90" s="93">
        <v>0</v>
      </c>
      <c r="AL90" s="94">
        <v>2.3708126803777168</v>
      </c>
      <c r="AM90" s="202">
        <f t="shared" si="25"/>
        <v>1.4343265394835272E-4</v>
      </c>
      <c r="AN90" s="202">
        <f t="shared" si="26"/>
        <v>0</v>
      </c>
      <c r="AO90" s="202">
        <f t="shared" si="27"/>
        <v>0</v>
      </c>
      <c r="AP90" s="202">
        <f t="shared" si="28"/>
        <v>0</v>
      </c>
      <c r="AQ90" s="202">
        <f t="shared" si="29"/>
        <v>1.4343265394835272E-4</v>
      </c>
      <c r="AR90" s="209" t="s">
        <v>277</v>
      </c>
      <c r="AS90" s="223" t="s">
        <v>1658</v>
      </c>
      <c r="AT90" s="234">
        <v>325180</v>
      </c>
      <c r="AU90" s="244">
        <f t="shared" si="30"/>
        <v>2.3708126803777168</v>
      </c>
      <c r="AV90" s="244">
        <f t="shared" si="31"/>
        <v>0</v>
      </c>
      <c r="AW90" s="244">
        <f t="shared" si="32"/>
        <v>0</v>
      </c>
      <c r="AX90" s="244">
        <f t="shared" si="33"/>
        <v>0</v>
      </c>
      <c r="AY90" s="244">
        <f t="shared" si="34"/>
        <v>2.3708126803777168</v>
      </c>
      <c r="AZ90">
        <v>5.6788652878646078E-4</v>
      </c>
    </row>
    <row r="91" spans="1:52" ht="15" customHeight="1" x14ac:dyDescent="0.35">
      <c r="A91" s="67" t="s">
        <v>277</v>
      </c>
      <c r="B91" s="67" t="s">
        <v>278</v>
      </c>
      <c r="C91" s="67" t="s">
        <v>48</v>
      </c>
      <c r="D91" s="67" t="s">
        <v>288</v>
      </c>
      <c r="E91" s="67" t="s">
        <v>288</v>
      </c>
      <c r="F91" s="67" t="s">
        <v>289</v>
      </c>
      <c r="G91" s="67" t="s">
        <v>52</v>
      </c>
      <c r="H91" s="67" t="s">
        <v>290</v>
      </c>
      <c r="I91" s="67" t="s">
        <v>291</v>
      </c>
      <c r="J91" s="108"/>
      <c r="K91" s="228">
        <f t="shared" si="19"/>
        <v>90</v>
      </c>
      <c r="L91" s="269">
        <v>90</v>
      </c>
      <c r="M91" s="269"/>
      <c r="N91" s="269"/>
      <c r="O91" s="269">
        <v>1</v>
      </c>
      <c r="P91" s="269"/>
      <c r="Q91" s="269"/>
      <c r="R91" s="269"/>
      <c r="S91" s="67" t="s">
        <v>285</v>
      </c>
      <c r="T91" s="70"/>
      <c r="U91" s="238">
        <f t="shared" si="20"/>
        <v>9.9719999999999995</v>
      </c>
      <c r="V91" s="238">
        <f t="shared" si="21"/>
        <v>0</v>
      </c>
      <c r="W91" s="238">
        <f t="shared" si="22"/>
        <v>9.9719999999999995</v>
      </c>
      <c r="X91" s="238">
        <f t="shared" si="23"/>
        <v>0</v>
      </c>
      <c r="Y91" s="238">
        <f t="shared" si="24"/>
        <v>0</v>
      </c>
      <c r="Z91" s="91">
        <v>9.9719999999999995</v>
      </c>
      <c r="AA91" s="70"/>
      <c r="AB91" s="70">
        <v>9.9719999999999995</v>
      </c>
      <c r="AC91" s="70"/>
      <c r="AD91" s="71"/>
      <c r="AE91" s="233"/>
      <c r="AF91" s="72"/>
      <c r="AG91" s="73">
        <v>2.5481653685622168</v>
      </c>
      <c r="AH91" s="93">
        <v>25.410305055302423</v>
      </c>
      <c r="AI91" s="93">
        <v>0</v>
      </c>
      <c r="AJ91" s="93">
        <v>25.410305055302423</v>
      </c>
      <c r="AK91" s="93">
        <v>0</v>
      </c>
      <c r="AL91" s="94">
        <v>0</v>
      </c>
      <c r="AM91" s="202">
        <f t="shared" si="25"/>
        <v>1.5373072372544436E-3</v>
      </c>
      <c r="AN91" s="202">
        <f t="shared" si="26"/>
        <v>0</v>
      </c>
      <c r="AO91" s="202">
        <f t="shared" si="27"/>
        <v>1.5373072372544436E-3</v>
      </c>
      <c r="AP91" s="202">
        <f t="shared" si="28"/>
        <v>0</v>
      </c>
      <c r="AQ91" s="202">
        <f t="shared" si="29"/>
        <v>0</v>
      </c>
      <c r="AR91" s="209" t="s">
        <v>277</v>
      </c>
      <c r="AS91" s="223" t="s">
        <v>1658</v>
      </c>
      <c r="AT91" s="234">
        <v>325180</v>
      </c>
      <c r="AU91" s="244">
        <f t="shared" si="30"/>
        <v>25.410305055302423</v>
      </c>
      <c r="AV91" s="244">
        <f t="shared" si="31"/>
        <v>0</v>
      </c>
      <c r="AW91" s="244">
        <f t="shared" si="32"/>
        <v>25.410305055302423</v>
      </c>
      <c r="AX91" s="244">
        <f t="shared" si="33"/>
        <v>0</v>
      </c>
      <c r="AY91" s="244">
        <f t="shared" si="34"/>
        <v>0</v>
      </c>
      <c r="AZ91">
        <v>6.0865921853268234E-3</v>
      </c>
    </row>
    <row r="92" spans="1:52" ht="15" customHeight="1" x14ac:dyDescent="0.35">
      <c r="A92" s="67" t="s">
        <v>277</v>
      </c>
      <c r="B92" s="67" t="s">
        <v>278</v>
      </c>
      <c r="C92" s="67" t="s">
        <v>67</v>
      </c>
      <c r="D92" s="67" t="s">
        <v>67</v>
      </c>
      <c r="E92" s="67" t="s">
        <v>292</v>
      </c>
      <c r="F92" s="67" t="s">
        <v>293</v>
      </c>
      <c r="G92" s="67" t="s">
        <v>52</v>
      </c>
      <c r="H92" s="67" t="s">
        <v>294</v>
      </c>
      <c r="I92" s="109" t="s">
        <v>295</v>
      </c>
      <c r="J92" s="68" t="s">
        <v>87</v>
      </c>
      <c r="K92" s="228">
        <f t="shared" si="19"/>
        <v>25</v>
      </c>
      <c r="L92" s="269">
        <v>25</v>
      </c>
      <c r="M92" s="269">
        <v>95</v>
      </c>
      <c r="N92" s="269">
        <v>25</v>
      </c>
      <c r="O92" s="269"/>
      <c r="P92" s="269"/>
      <c r="Q92" s="269"/>
      <c r="R92" s="269"/>
      <c r="S92" s="67" t="s">
        <v>285</v>
      </c>
      <c r="T92" s="70"/>
      <c r="U92" s="238">
        <f t="shared" si="20"/>
        <v>9.7000000000000003E-2</v>
      </c>
      <c r="V92" s="238">
        <f t="shared" si="21"/>
        <v>0</v>
      </c>
      <c r="W92" s="238">
        <f t="shared" si="22"/>
        <v>9.7000000000000003E-2</v>
      </c>
      <c r="X92" s="238">
        <f t="shared" si="23"/>
        <v>0</v>
      </c>
      <c r="Y92" s="238">
        <f t="shared" si="24"/>
        <v>0</v>
      </c>
      <c r="Z92" s="91">
        <v>9.7000000000000003E-2</v>
      </c>
      <c r="AA92" s="70"/>
      <c r="AB92" s="70">
        <v>9.7000000000000003E-2</v>
      </c>
      <c r="AC92" s="70"/>
      <c r="AD92" s="71"/>
      <c r="AE92" s="233"/>
      <c r="AF92" s="72"/>
      <c r="AG92" s="73">
        <v>2.5481653685622168</v>
      </c>
      <c r="AH92" s="93">
        <v>0.24717204075053503</v>
      </c>
      <c r="AI92" s="93">
        <v>0</v>
      </c>
      <c r="AJ92" s="93">
        <v>0.24717204075053503</v>
      </c>
      <c r="AK92" s="93">
        <v>0</v>
      </c>
      <c r="AL92" s="94">
        <v>0</v>
      </c>
      <c r="AM92" s="202">
        <f t="shared" si="25"/>
        <v>1.4953750703337451E-5</v>
      </c>
      <c r="AN92" s="202">
        <f t="shared" si="26"/>
        <v>0</v>
      </c>
      <c r="AO92" s="202">
        <f t="shared" si="27"/>
        <v>1.4953750703337451E-5</v>
      </c>
      <c r="AP92" s="202">
        <f t="shared" si="28"/>
        <v>0</v>
      </c>
      <c r="AQ92" s="202">
        <f t="shared" si="29"/>
        <v>0</v>
      </c>
      <c r="AR92" s="209" t="s">
        <v>277</v>
      </c>
      <c r="AS92" s="223" t="s">
        <v>1658</v>
      </c>
      <c r="AT92" s="234">
        <v>325180</v>
      </c>
      <c r="AU92" s="244">
        <f t="shared" si="30"/>
        <v>0.24717204075053503</v>
      </c>
      <c r="AV92" s="244">
        <f t="shared" si="31"/>
        <v>0</v>
      </c>
      <c r="AW92" s="244">
        <f t="shared" si="32"/>
        <v>0.24717204075053503</v>
      </c>
      <c r="AX92" s="244">
        <f t="shared" si="33"/>
        <v>0</v>
      </c>
      <c r="AY92" s="244">
        <f t="shared" si="34"/>
        <v>0</v>
      </c>
      <c r="AZ92">
        <v>5.9205720214270153E-5</v>
      </c>
    </row>
    <row r="93" spans="1:52" ht="15" customHeight="1" x14ac:dyDescent="0.35">
      <c r="A93" s="67" t="s">
        <v>277</v>
      </c>
      <c r="B93" s="67" t="s">
        <v>278</v>
      </c>
      <c r="C93" s="67" t="s">
        <v>74</v>
      </c>
      <c r="D93" s="67" t="s">
        <v>75</v>
      </c>
      <c r="E93" s="67" t="s">
        <v>296</v>
      </c>
      <c r="F93" s="67" t="s">
        <v>293</v>
      </c>
      <c r="G93" s="67" t="s">
        <v>52</v>
      </c>
      <c r="H93" s="67" t="s">
        <v>297</v>
      </c>
      <c r="I93" s="67" t="s">
        <v>298</v>
      </c>
      <c r="J93" s="76" t="s">
        <v>78</v>
      </c>
      <c r="K93" s="228">
        <f t="shared" si="19"/>
        <v>25</v>
      </c>
      <c r="L93" s="269">
        <v>25</v>
      </c>
      <c r="M93" s="269"/>
      <c r="N93" s="269"/>
      <c r="O93" s="269"/>
      <c r="P93" s="269"/>
      <c r="Q93" s="269"/>
      <c r="R93" s="269"/>
      <c r="S93" s="67" t="s">
        <v>285</v>
      </c>
      <c r="T93" s="70"/>
      <c r="U93" s="238">
        <f t="shared" si="20"/>
        <v>0</v>
      </c>
      <c r="V93" s="238">
        <f t="shared" si="21"/>
        <v>0</v>
      </c>
      <c r="W93" s="238">
        <f t="shared" si="22"/>
        <v>0</v>
      </c>
      <c r="X93" s="238">
        <f t="shared" si="23"/>
        <v>0</v>
      </c>
      <c r="Y93" s="238">
        <f t="shared" si="24"/>
        <v>0</v>
      </c>
      <c r="Z93" s="91">
        <v>0</v>
      </c>
      <c r="AA93" s="70"/>
      <c r="AB93" s="70"/>
      <c r="AC93" s="70"/>
      <c r="AD93" s="71"/>
      <c r="AE93" s="233"/>
      <c r="AF93" s="72"/>
      <c r="AG93" s="73">
        <v>2.5481653685622168</v>
      </c>
      <c r="AH93" s="93">
        <v>0</v>
      </c>
      <c r="AI93" s="93">
        <v>0</v>
      </c>
      <c r="AJ93" s="93">
        <v>0</v>
      </c>
      <c r="AK93" s="93">
        <v>0</v>
      </c>
      <c r="AL93" s="94">
        <v>0</v>
      </c>
      <c r="AM93" s="202">
        <f t="shared" si="25"/>
        <v>0</v>
      </c>
      <c r="AN93" s="202">
        <f t="shared" si="26"/>
        <v>0</v>
      </c>
      <c r="AO93" s="202">
        <f t="shared" si="27"/>
        <v>0</v>
      </c>
      <c r="AP93" s="202">
        <f t="shared" si="28"/>
        <v>0</v>
      </c>
      <c r="AQ93" s="202">
        <f t="shared" si="29"/>
        <v>0</v>
      </c>
      <c r="AR93" s="209" t="s">
        <v>277</v>
      </c>
      <c r="AS93" s="223" t="s">
        <v>1658</v>
      </c>
      <c r="AT93" s="234">
        <v>325180</v>
      </c>
      <c r="AU93" s="244">
        <f t="shared" si="30"/>
        <v>0</v>
      </c>
      <c r="AV93" s="244">
        <f t="shared" si="31"/>
        <v>0</v>
      </c>
      <c r="AW93" s="244">
        <f t="shared" si="32"/>
        <v>0</v>
      </c>
      <c r="AX93" s="244">
        <f t="shared" si="33"/>
        <v>0</v>
      </c>
      <c r="AY93" s="244">
        <f t="shared" si="34"/>
        <v>0</v>
      </c>
      <c r="AZ93">
        <v>0</v>
      </c>
    </row>
    <row r="94" spans="1:52" ht="15" customHeight="1" x14ac:dyDescent="0.35">
      <c r="A94" s="67" t="s">
        <v>277</v>
      </c>
      <c r="B94" s="67" t="s">
        <v>278</v>
      </c>
      <c r="C94" s="67" t="s">
        <v>71</v>
      </c>
      <c r="D94" s="67" t="s">
        <v>71</v>
      </c>
      <c r="E94" s="67" t="s">
        <v>299</v>
      </c>
      <c r="F94" s="67" t="s">
        <v>293</v>
      </c>
      <c r="G94" s="67" t="s">
        <v>52</v>
      </c>
      <c r="H94" s="67" t="s">
        <v>300</v>
      </c>
      <c r="I94" s="110" t="s">
        <v>301</v>
      </c>
      <c r="J94" s="105">
        <v>0.45</v>
      </c>
      <c r="K94" s="228">
        <v>80</v>
      </c>
      <c r="L94" s="269"/>
      <c r="M94" s="269"/>
      <c r="N94" s="269"/>
      <c r="O94" s="269"/>
      <c r="P94" s="269">
        <v>1</v>
      </c>
      <c r="Q94" s="269">
        <v>8</v>
      </c>
      <c r="R94" s="269"/>
      <c r="S94" s="67" t="s">
        <v>285</v>
      </c>
      <c r="T94" s="70"/>
      <c r="U94" s="238">
        <f t="shared" si="20"/>
        <v>8.2799999999999999E-2</v>
      </c>
      <c r="V94" s="238">
        <f t="shared" si="21"/>
        <v>0</v>
      </c>
      <c r="W94" s="238">
        <f t="shared" si="22"/>
        <v>8.2799999999999999E-2</v>
      </c>
      <c r="X94" s="238">
        <f t="shared" si="23"/>
        <v>0</v>
      </c>
      <c r="Y94" s="238">
        <f t="shared" si="24"/>
        <v>0</v>
      </c>
      <c r="Z94" s="91">
        <v>8.2799999999999999E-2</v>
      </c>
      <c r="AA94" s="70"/>
      <c r="AB94" s="70">
        <v>8.2799999999999999E-2</v>
      </c>
      <c r="AC94" s="70"/>
      <c r="AD94" s="71"/>
      <c r="AE94" s="233"/>
      <c r="AF94" s="72"/>
      <c r="AG94" s="73">
        <v>2.5481653685622168</v>
      </c>
      <c r="AH94" s="93">
        <v>0.21098809251695155</v>
      </c>
      <c r="AI94" s="93">
        <v>0</v>
      </c>
      <c r="AJ94" s="93">
        <v>0.21098809251695155</v>
      </c>
      <c r="AK94" s="93">
        <v>0</v>
      </c>
      <c r="AL94" s="94">
        <v>0</v>
      </c>
      <c r="AM94" s="202">
        <f t="shared" si="25"/>
        <v>1.2764644930271556E-5</v>
      </c>
      <c r="AN94" s="202">
        <f t="shared" si="26"/>
        <v>0</v>
      </c>
      <c r="AO94" s="202">
        <f t="shared" si="27"/>
        <v>1.2764644930271556E-5</v>
      </c>
      <c r="AP94" s="202">
        <f t="shared" si="28"/>
        <v>0</v>
      </c>
      <c r="AQ94" s="202">
        <f t="shared" si="29"/>
        <v>0</v>
      </c>
      <c r="AR94" s="209" t="s">
        <v>277</v>
      </c>
      <c r="AS94" s="223" t="s">
        <v>1658</v>
      </c>
      <c r="AT94" s="234">
        <v>325180</v>
      </c>
      <c r="AU94" s="244">
        <f t="shared" si="30"/>
        <v>0.21098809251695155</v>
      </c>
      <c r="AV94" s="244">
        <f t="shared" si="31"/>
        <v>0</v>
      </c>
      <c r="AW94" s="244">
        <f t="shared" si="32"/>
        <v>0.21098809251695155</v>
      </c>
      <c r="AX94" s="244">
        <f t="shared" si="33"/>
        <v>0</v>
      </c>
      <c r="AY94" s="244">
        <f t="shared" si="34"/>
        <v>0</v>
      </c>
      <c r="AZ94">
        <v>5.0538491069500706E-5</v>
      </c>
    </row>
    <row r="95" spans="1:52" ht="15" customHeight="1" x14ac:dyDescent="0.35">
      <c r="A95" s="67" t="s">
        <v>277</v>
      </c>
      <c r="B95" s="67" t="s">
        <v>278</v>
      </c>
      <c r="C95" s="67" t="s">
        <v>67</v>
      </c>
      <c r="D95" s="67" t="s">
        <v>188</v>
      </c>
      <c r="E95" s="67" t="s">
        <v>302</v>
      </c>
      <c r="F95" s="67" t="s">
        <v>293</v>
      </c>
      <c r="G95" s="67" t="s">
        <v>52</v>
      </c>
      <c r="H95" s="67" t="s">
        <v>303</v>
      </c>
      <c r="I95" s="67" t="s">
        <v>304</v>
      </c>
      <c r="J95" s="95"/>
      <c r="K95" s="228">
        <f t="shared" si="19"/>
        <v>14</v>
      </c>
      <c r="L95" s="269">
        <v>14</v>
      </c>
      <c r="M95" s="269">
        <v>25</v>
      </c>
      <c r="N95" s="269">
        <v>14</v>
      </c>
      <c r="O95" s="269">
        <v>8</v>
      </c>
      <c r="P95" s="269"/>
      <c r="Q95" s="269"/>
      <c r="R95" s="269"/>
      <c r="S95" s="67" t="s">
        <v>285</v>
      </c>
      <c r="T95" s="70"/>
      <c r="U95" s="238">
        <f t="shared" si="20"/>
        <v>0.24479999999999999</v>
      </c>
      <c r="V95" s="238">
        <f t="shared" si="21"/>
        <v>0</v>
      </c>
      <c r="W95" s="238">
        <f t="shared" si="22"/>
        <v>0.24479999999999999</v>
      </c>
      <c r="X95" s="238">
        <f t="shared" si="23"/>
        <v>0</v>
      </c>
      <c r="Y95" s="238">
        <f t="shared" si="24"/>
        <v>0</v>
      </c>
      <c r="Z95" s="91">
        <v>0.24479999999999999</v>
      </c>
      <c r="AA95" s="70"/>
      <c r="AB95" s="70">
        <v>0.24479999999999999</v>
      </c>
      <c r="AC95" s="70"/>
      <c r="AD95" s="71"/>
      <c r="AE95" s="233"/>
      <c r="AF95" s="72"/>
      <c r="AG95" s="73">
        <v>2.0385322948497735</v>
      </c>
      <c r="AH95" s="93">
        <v>0.49903270577922454</v>
      </c>
      <c r="AI95" s="93">
        <v>0</v>
      </c>
      <c r="AJ95" s="93">
        <v>0.49903270577922454</v>
      </c>
      <c r="AK95" s="93">
        <v>0</v>
      </c>
      <c r="AL95" s="94">
        <v>0</v>
      </c>
      <c r="AM95" s="202">
        <f t="shared" si="25"/>
        <v>3.0191160182903159E-5</v>
      </c>
      <c r="AN95" s="202">
        <f t="shared" si="26"/>
        <v>0</v>
      </c>
      <c r="AO95" s="202">
        <f t="shared" si="27"/>
        <v>3.0191160182903159E-5</v>
      </c>
      <c r="AP95" s="202">
        <f t="shared" si="28"/>
        <v>0</v>
      </c>
      <c r="AQ95" s="202">
        <f t="shared" si="29"/>
        <v>0</v>
      </c>
      <c r="AR95" s="209" t="s">
        <v>277</v>
      </c>
      <c r="AS95" s="223" t="s">
        <v>1658</v>
      </c>
      <c r="AT95" s="234">
        <v>325180</v>
      </c>
      <c r="AU95" s="244">
        <f t="shared" si="30"/>
        <v>0.49903270577922454</v>
      </c>
      <c r="AV95" s="244">
        <f t="shared" si="31"/>
        <v>0</v>
      </c>
      <c r="AW95" s="244">
        <f t="shared" si="32"/>
        <v>0.49903270577922454</v>
      </c>
      <c r="AX95" s="244">
        <f t="shared" si="33"/>
        <v>0</v>
      </c>
      <c r="AY95" s="244">
        <f t="shared" si="34"/>
        <v>0</v>
      </c>
      <c r="AZ95">
        <v>1.1953451800786254E-4</v>
      </c>
    </row>
    <row r="96" spans="1:52" ht="15" customHeight="1" x14ac:dyDescent="0.35">
      <c r="A96" s="67" t="s">
        <v>277</v>
      </c>
      <c r="B96" s="67" t="s">
        <v>278</v>
      </c>
      <c r="C96" s="67" t="s">
        <v>74</v>
      </c>
      <c r="D96" s="67" t="s">
        <v>140</v>
      </c>
      <c r="E96" s="67" t="s">
        <v>305</v>
      </c>
      <c r="F96" s="67" t="s">
        <v>306</v>
      </c>
      <c r="G96" s="67" t="s">
        <v>52</v>
      </c>
      <c r="H96" s="67" t="s">
        <v>143</v>
      </c>
      <c r="I96" s="67" t="s">
        <v>307</v>
      </c>
      <c r="J96" s="105">
        <v>0.8</v>
      </c>
      <c r="K96" s="228">
        <f t="shared" si="19"/>
        <v>160</v>
      </c>
      <c r="L96" s="269">
        <v>160</v>
      </c>
      <c r="M96" s="269">
        <v>90</v>
      </c>
      <c r="N96" s="269">
        <v>160</v>
      </c>
      <c r="O96" s="269"/>
      <c r="P96" s="269"/>
      <c r="Q96" s="269"/>
      <c r="R96" s="269"/>
      <c r="S96" s="67" t="s">
        <v>285</v>
      </c>
      <c r="T96" s="70"/>
      <c r="U96" s="238">
        <f t="shared" si="20"/>
        <v>6.0975609756097562</v>
      </c>
      <c r="V96" s="238">
        <f t="shared" si="21"/>
        <v>0</v>
      </c>
      <c r="W96" s="238">
        <f t="shared" si="22"/>
        <v>0</v>
      </c>
      <c r="X96" s="238">
        <f t="shared" si="23"/>
        <v>0</v>
      </c>
      <c r="Y96" s="238">
        <f t="shared" si="24"/>
        <v>6.0975609756097562</v>
      </c>
      <c r="Z96" s="91">
        <v>6.0975609756097562</v>
      </c>
      <c r="AA96" s="70"/>
      <c r="AB96" s="70"/>
      <c r="AC96" s="70"/>
      <c r="AD96" s="71">
        <v>6.0975609756097562</v>
      </c>
      <c r="AE96" s="107">
        <v>245</v>
      </c>
      <c r="AF96" s="72">
        <v>15.3</v>
      </c>
      <c r="AG96" s="73">
        <v>2.5481653685622168</v>
      </c>
      <c r="AH96" s="93">
        <v>15.537593710745224</v>
      </c>
      <c r="AI96" s="93">
        <v>0</v>
      </c>
      <c r="AJ96" s="93">
        <v>0</v>
      </c>
      <c r="AK96" s="93">
        <v>0</v>
      </c>
      <c r="AL96" s="94">
        <v>15.537593710745224</v>
      </c>
      <c r="AM96" s="202">
        <f t="shared" si="25"/>
        <v>9.4001450234708632E-4</v>
      </c>
      <c r="AN96" s="202">
        <f t="shared" si="26"/>
        <v>0</v>
      </c>
      <c r="AO96" s="202">
        <f t="shared" si="27"/>
        <v>0</v>
      </c>
      <c r="AP96" s="202">
        <f t="shared" si="28"/>
        <v>0</v>
      </c>
      <c r="AQ96" s="202">
        <f t="shared" si="29"/>
        <v>9.4001450234708632E-4</v>
      </c>
      <c r="AR96" s="209" t="s">
        <v>277</v>
      </c>
      <c r="AS96" s="223" t="s">
        <v>1658</v>
      </c>
      <c r="AT96" s="234">
        <v>325180</v>
      </c>
      <c r="AU96" s="244">
        <f t="shared" si="30"/>
        <v>15.537593710745224</v>
      </c>
      <c r="AV96" s="244">
        <f t="shared" si="31"/>
        <v>0</v>
      </c>
      <c r="AW96" s="244">
        <f t="shared" si="32"/>
        <v>0</v>
      </c>
      <c r="AX96" s="244">
        <f t="shared" si="33"/>
        <v>0</v>
      </c>
      <c r="AY96" s="244">
        <f t="shared" si="34"/>
        <v>15.537593710745224</v>
      </c>
      <c r="AZ96">
        <v>3.7217576197051891E-3</v>
      </c>
    </row>
    <row r="97" spans="1:52" ht="15" customHeight="1" x14ac:dyDescent="0.35">
      <c r="A97" s="67" t="s">
        <v>277</v>
      </c>
      <c r="B97" s="67" t="s">
        <v>278</v>
      </c>
      <c r="C97" s="67" t="s">
        <v>67</v>
      </c>
      <c r="D97" s="67" t="s">
        <v>67</v>
      </c>
      <c r="E97" s="67" t="s">
        <v>308</v>
      </c>
      <c r="F97" s="67" t="s">
        <v>306</v>
      </c>
      <c r="G97" s="67" t="s">
        <v>52</v>
      </c>
      <c r="H97" s="67" t="s">
        <v>95</v>
      </c>
      <c r="I97" s="67" t="s">
        <v>309</v>
      </c>
      <c r="J97" s="68" t="s">
        <v>87</v>
      </c>
      <c r="K97" s="228">
        <f t="shared" si="19"/>
        <v>45</v>
      </c>
      <c r="L97" s="269">
        <v>45</v>
      </c>
      <c r="M97" s="269">
        <v>160</v>
      </c>
      <c r="N97" s="269">
        <v>45</v>
      </c>
      <c r="O97" s="269"/>
      <c r="P97" s="269"/>
      <c r="Q97" s="269"/>
      <c r="R97" s="269"/>
      <c r="S97" s="67" t="s">
        <v>285</v>
      </c>
      <c r="T97" s="70"/>
      <c r="U97" s="238">
        <f t="shared" si="20"/>
        <v>0.27</v>
      </c>
      <c r="V97" s="238">
        <f t="shared" si="21"/>
        <v>0</v>
      </c>
      <c r="W97" s="238">
        <f t="shared" si="22"/>
        <v>0.27</v>
      </c>
      <c r="X97" s="238">
        <f t="shared" si="23"/>
        <v>0</v>
      </c>
      <c r="Y97" s="238">
        <f t="shared" si="24"/>
        <v>0</v>
      </c>
      <c r="Z97" s="91">
        <v>0.27</v>
      </c>
      <c r="AA97" s="70"/>
      <c r="AB97" s="70">
        <v>0.27</v>
      </c>
      <c r="AC97" s="70"/>
      <c r="AD97" s="71"/>
      <c r="AE97" s="233"/>
      <c r="AF97" s="72"/>
      <c r="AG97" s="73">
        <v>2.5481653685622168</v>
      </c>
      <c r="AH97" s="93">
        <v>0.68800464951179852</v>
      </c>
      <c r="AI97" s="93">
        <v>0</v>
      </c>
      <c r="AJ97" s="93">
        <v>0.68800464951179852</v>
      </c>
      <c r="AK97" s="93">
        <v>0</v>
      </c>
      <c r="AL97" s="94">
        <v>0</v>
      </c>
      <c r="AM97" s="202">
        <f t="shared" si="25"/>
        <v>4.1623842163928984E-5</v>
      </c>
      <c r="AN97" s="202">
        <f t="shared" si="26"/>
        <v>0</v>
      </c>
      <c r="AO97" s="202">
        <f t="shared" si="27"/>
        <v>4.1623842163928984E-5</v>
      </c>
      <c r="AP97" s="202">
        <f t="shared" si="28"/>
        <v>0</v>
      </c>
      <c r="AQ97" s="202">
        <f t="shared" si="29"/>
        <v>0</v>
      </c>
      <c r="AR97" s="209" t="s">
        <v>277</v>
      </c>
      <c r="AS97" s="223" t="s">
        <v>1658</v>
      </c>
      <c r="AT97" s="234">
        <v>325180</v>
      </c>
      <c r="AU97" s="244">
        <f t="shared" si="30"/>
        <v>0.68800464951179852</v>
      </c>
      <c r="AV97" s="244">
        <f t="shared" si="31"/>
        <v>0</v>
      </c>
      <c r="AW97" s="244">
        <f t="shared" si="32"/>
        <v>0.68800464951179852</v>
      </c>
      <c r="AX97" s="244">
        <f t="shared" si="33"/>
        <v>0</v>
      </c>
      <c r="AY97" s="244">
        <f t="shared" si="34"/>
        <v>0</v>
      </c>
      <c r="AZ97">
        <v>1.6479942740054576E-4</v>
      </c>
    </row>
    <row r="98" spans="1:52" ht="15" customHeight="1" x14ac:dyDescent="0.35">
      <c r="A98" s="67" t="s">
        <v>277</v>
      </c>
      <c r="B98" s="67" t="s">
        <v>278</v>
      </c>
      <c r="C98" s="67" t="s">
        <v>67</v>
      </c>
      <c r="D98" s="67" t="s">
        <v>67</v>
      </c>
      <c r="E98" s="67" t="s">
        <v>310</v>
      </c>
      <c r="F98" s="67" t="s">
        <v>311</v>
      </c>
      <c r="G98" s="67" t="s">
        <v>52</v>
      </c>
      <c r="H98" s="67" t="s">
        <v>95</v>
      </c>
      <c r="I98" s="67" t="s">
        <v>312</v>
      </c>
      <c r="J98" s="68" t="s">
        <v>87</v>
      </c>
      <c r="K98" s="228">
        <f t="shared" si="19"/>
        <v>25</v>
      </c>
      <c r="L98" s="269">
        <v>25</v>
      </c>
      <c r="M98" s="269">
        <v>95</v>
      </c>
      <c r="N98" s="269">
        <v>25</v>
      </c>
      <c r="O98" s="269"/>
      <c r="P98" s="269"/>
      <c r="Q98" s="269"/>
      <c r="R98" s="269"/>
      <c r="S98" s="67" t="s">
        <v>285</v>
      </c>
      <c r="T98" s="70"/>
      <c r="U98" s="238">
        <f t="shared" si="20"/>
        <v>8.8133399999999989E-4</v>
      </c>
      <c r="V98" s="238">
        <f t="shared" si="21"/>
        <v>0</v>
      </c>
      <c r="W98" s="238">
        <f t="shared" si="22"/>
        <v>8.8133399999999989E-4</v>
      </c>
      <c r="X98" s="238">
        <f t="shared" si="23"/>
        <v>0</v>
      </c>
      <c r="Y98" s="238">
        <f t="shared" si="24"/>
        <v>0</v>
      </c>
      <c r="Z98" s="91">
        <v>8.8133399999999989E-4</v>
      </c>
      <c r="AA98" s="70"/>
      <c r="AB98" s="70">
        <v>8.8133399999999989E-4</v>
      </c>
      <c r="AC98" s="70"/>
      <c r="AD98" s="71"/>
      <c r="AE98" s="233"/>
      <c r="AF98" s="72"/>
      <c r="AG98" s="73">
        <v>2.5481653685622168</v>
      </c>
      <c r="AH98" s="93">
        <v>2.2457847769364126E-3</v>
      </c>
      <c r="AI98" s="93">
        <v>0</v>
      </c>
      <c r="AJ98" s="93">
        <v>2.2457847769364126E-3</v>
      </c>
      <c r="AK98" s="93">
        <v>0</v>
      </c>
      <c r="AL98" s="94">
        <v>0</v>
      </c>
      <c r="AM98" s="202">
        <f t="shared" si="25"/>
        <v>1.3586854559149698E-7</v>
      </c>
      <c r="AN98" s="202">
        <f t="shared" si="26"/>
        <v>0</v>
      </c>
      <c r="AO98" s="202">
        <f t="shared" si="27"/>
        <v>1.3586854559149698E-7</v>
      </c>
      <c r="AP98" s="202">
        <f t="shared" si="28"/>
        <v>0</v>
      </c>
      <c r="AQ98" s="202">
        <f t="shared" si="29"/>
        <v>0</v>
      </c>
      <c r="AR98" s="209" t="s">
        <v>277</v>
      </c>
      <c r="AS98" s="223" t="s">
        <v>1658</v>
      </c>
      <c r="AT98" s="234">
        <v>325180</v>
      </c>
      <c r="AU98" s="244">
        <f t="shared" si="30"/>
        <v>2.2457847769364126E-3</v>
      </c>
      <c r="AV98" s="244">
        <f t="shared" si="31"/>
        <v>0</v>
      </c>
      <c r="AW98" s="244">
        <f t="shared" si="32"/>
        <v>2.2457847769364126E-3</v>
      </c>
      <c r="AX98" s="244">
        <f t="shared" si="33"/>
        <v>0</v>
      </c>
      <c r="AY98" s="244">
        <f t="shared" si="34"/>
        <v>0</v>
      </c>
      <c r="AZ98">
        <v>5.3793829092086145E-7</v>
      </c>
    </row>
    <row r="99" spans="1:52" ht="15" customHeight="1" x14ac:dyDescent="0.35">
      <c r="A99" s="78" t="s">
        <v>277</v>
      </c>
      <c r="B99" s="78" t="s">
        <v>278</v>
      </c>
      <c r="C99" s="78" t="s">
        <v>71</v>
      </c>
      <c r="D99" s="78" t="s">
        <v>71</v>
      </c>
      <c r="E99" s="78" t="s">
        <v>313</v>
      </c>
      <c r="F99" s="78" t="s">
        <v>311</v>
      </c>
      <c r="G99" s="78" t="s">
        <v>52</v>
      </c>
      <c r="H99" s="78" t="s">
        <v>300</v>
      </c>
      <c r="I99" s="78" t="s">
        <v>314</v>
      </c>
      <c r="J99" s="111">
        <v>0.65</v>
      </c>
      <c r="K99" s="228">
        <v>80</v>
      </c>
      <c r="L99" s="269"/>
      <c r="M99" s="269"/>
      <c r="N99" s="269"/>
      <c r="O99" s="269"/>
      <c r="P99" s="269">
        <v>1.3</v>
      </c>
      <c r="Q99" s="269">
        <v>20</v>
      </c>
      <c r="R99" s="269"/>
      <c r="S99" s="77" t="s">
        <v>285</v>
      </c>
      <c r="T99" s="82"/>
      <c r="U99" s="238">
        <f t="shared" si="20"/>
        <v>0.17647199999999999</v>
      </c>
      <c r="V99" s="238">
        <f t="shared" si="21"/>
        <v>0</v>
      </c>
      <c r="W99" s="238">
        <f t="shared" si="22"/>
        <v>0.17647199999999999</v>
      </c>
      <c r="X99" s="238">
        <f t="shared" si="23"/>
        <v>0</v>
      </c>
      <c r="Y99" s="238">
        <f t="shared" si="24"/>
        <v>0</v>
      </c>
      <c r="Z99" s="91">
        <v>0.17647199999999999</v>
      </c>
      <c r="AA99" s="70"/>
      <c r="AB99" s="70">
        <v>0.17647199999999999</v>
      </c>
      <c r="AC99" s="70"/>
      <c r="AD99" s="71"/>
      <c r="AE99" s="81"/>
      <c r="AF99" s="84"/>
      <c r="AG99" s="85">
        <v>2.5481653685622168</v>
      </c>
      <c r="AH99" s="101">
        <v>0.44967983892091151</v>
      </c>
      <c r="AI99" s="101">
        <v>0</v>
      </c>
      <c r="AJ99" s="101">
        <v>0.44967983892091151</v>
      </c>
      <c r="AK99" s="101">
        <v>0</v>
      </c>
      <c r="AL99" s="102">
        <v>0</v>
      </c>
      <c r="AM99" s="202">
        <f t="shared" si="25"/>
        <v>2.7205343238343985E-5</v>
      </c>
      <c r="AN99" s="202">
        <f t="shared" si="26"/>
        <v>0</v>
      </c>
      <c r="AO99" s="202">
        <f t="shared" si="27"/>
        <v>2.7205343238343985E-5</v>
      </c>
      <c r="AP99" s="202">
        <f t="shared" si="28"/>
        <v>0</v>
      </c>
      <c r="AQ99" s="202">
        <f t="shared" si="29"/>
        <v>0</v>
      </c>
      <c r="AR99" s="213" t="s">
        <v>277</v>
      </c>
      <c r="AS99" s="223" t="s">
        <v>1658</v>
      </c>
      <c r="AT99" s="234">
        <v>325180</v>
      </c>
      <c r="AU99" s="244">
        <f t="shared" si="30"/>
        <v>0.44967983892091151</v>
      </c>
      <c r="AV99" s="244">
        <f t="shared" si="31"/>
        <v>0</v>
      </c>
      <c r="AW99" s="244">
        <f t="shared" si="32"/>
        <v>0.44967983892091151</v>
      </c>
      <c r="AX99" s="244">
        <f t="shared" si="33"/>
        <v>0</v>
      </c>
      <c r="AY99" s="244">
        <f t="shared" si="34"/>
        <v>0</v>
      </c>
      <c r="AZ99">
        <v>1.0771290574899672E-4</v>
      </c>
    </row>
    <row r="100" spans="1:52" ht="15" customHeight="1" x14ac:dyDescent="0.35">
      <c r="A100" s="67" t="s">
        <v>277</v>
      </c>
      <c r="B100" s="67" t="s">
        <v>315</v>
      </c>
      <c r="C100" s="67" t="s">
        <v>154</v>
      </c>
      <c r="D100" s="67" t="s">
        <v>279</v>
      </c>
      <c r="E100" s="67" t="s">
        <v>280</v>
      </c>
      <c r="F100" s="67" t="s">
        <v>281</v>
      </c>
      <c r="G100" s="67" t="s">
        <v>52</v>
      </c>
      <c r="H100" s="67" t="s">
        <v>282</v>
      </c>
      <c r="I100" s="106" t="s">
        <v>283</v>
      </c>
      <c r="J100" s="95"/>
      <c r="K100" s="228">
        <f t="shared" si="19"/>
        <v>25</v>
      </c>
      <c r="L100" s="269">
        <v>25</v>
      </c>
      <c r="M100" s="269"/>
      <c r="N100" s="269"/>
      <c r="O100" s="269"/>
      <c r="P100" s="269"/>
      <c r="Q100" s="269"/>
      <c r="R100" s="269" t="s">
        <v>284</v>
      </c>
      <c r="S100" s="67" t="s">
        <v>285</v>
      </c>
      <c r="T100" s="70">
        <v>1.7</v>
      </c>
      <c r="U100" s="238">
        <f t="shared" si="20"/>
        <v>0.20688311688311686</v>
      </c>
      <c r="V100" s="238">
        <f t="shared" si="21"/>
        <v>0</v>
      </c>
      <c r="W100" s="238">
        <f t="shared" si="22"/>
        <v>0.20688311688311686</v>
      </c>
      <c r="X100" s="238">
        <f t="shared" si="23"/>
        <v>0</v>
      </c>
      <c r="Y100" s="238">
        <f t="shared" si="24"/>
        <v>0</v>
      </c>
      <c r="Z100" s="99">
        <v>0.20688311688311686</v>
      </c>
      <c r="AA100" s="82"/>
      <c r="AB100" s="82">
        <v>0.20688311688311686</v>
      </c>
      <c r="AC100" s="82"/>
      <c r="AD100" s="83"/>
      <c r="AE100" s="233"/>
      <c r="AF100" s="72"/>
      <c r="AG100" s="73">
        <v>2.9718346314377837</v>
      </c>
      <c r="AH100" s="93">
        <v>0.61482241141303751</v>
      </c>
      <c r="AI100" s="93">
        <v>0</v>
      </c>
      <c r="AJ100" s="93">
        <v>0.61482241141303751</v>
      </c>
      <c r="AK100" s="93">
        <v>0</v>
      </c>
      <c r="AL100" s="94">
        <v>0</v>
      </c>
      <c r="AM100" s="202">
        <f t="shared" si="25"/>
        <v>3.7196363468854177E-5</v>
      </c>
      <c r="AN100" s="202">
        <f t="shared" si="26"/>
        <v>0</v>
      </c>
      <c r="AO100" s="202">
        <f t="shared" si="27"/>
        <v>3.7196363468854177E-5</v>
      </c>
      <c r="AP100" s="202">
        <f t="shared" si="28"/>
        <v>0</v>
      </c>
      <c r="AQ100" s="202">
        <f t="shared" si="29"/>
        <v>0</v>
      </c>
      <c r="AR100" s="209" t="s">
        <v>277</v>
      </c>
      <c r="AS100" s="223" t="s">
        <v>1658</v>
      </c>
      <c r="AT100" s="234">
        <v>325180</v>
      </c>
      <c r="AU100" s="244">
        <f t="shared" si="30"/>
        <v>0.61482241141303751</v>
      </c>
      <c r="AV100" s="244">
        <f t="shared" si="31"/>
        <v>0</v>
      </c>
      <c r="AW100" s="244">
        <f t="shared" si="32"/>
        <v>0.61482241141303751</v>
      </c>
      <c r="AX100" s="244">
        <f t="shared" si="33"/>
        <v>0</v>
      </c>
      <c r="AY100" s="244">
        <f t="shared" si="34"/>
        <v>0</v>
      </c>
      <c r="AZ100">
        <v>1.4726990787894929E-4</v>
      </c>
    </row>
    <row r="101" spans="1:52" ht="15" customHeight="1" x14ac:dyDescent="0.35">
      <c r="A101" s="67" t="s">
        <v>277</v>
      </c>
      <c r="B101" s="67" t="s">
        <v>315</v>
      </c>
      <c r="C101" s="67" t="s">
        <v>92</v>
      </c>
      <c r="D101" s="67" t="s">
        <v>229</v>
      </c>
      <c r="E101" s="67" t="s">
        <v>286</v>
      </c>
      <c r="F101" s="67" t="s">
        <v>281</v>
      </c>
      <c r="G101" s="67" t="s">
        <v>52</v>
      </c>
      <c r="H101" s="67" t="s">
        <v>95</v>
      </c>
      <c r="I101" s="106" t="s">
        <v>287</v>
      </c>
      <c r="J101" s="95"/>
      <c r="K101" s="228">
        <f t="shared" si="19"/>
        <v>90</v>
      </c>
      <c r="L101" s="269">
        <v>90</v>
      </c>
      <c r="M101" s="269">
        <v>25</v>
      </c>
      <c r="N101" s="269">
        <v>90</v>
      </c>
      <c r="O101" s="269"/>
      <c r="P101" s="269"/>
      <c r="Q101" s="269"/>
      <c r="R101" s="269"/>
      <c r="S101" s="67" t="s">
        <v>285</v>
      </c>
      <c r="T101" s="70"/>
      <c r="U101" s="238">
        <f t="shared" si="20"/>
        <v>0.76292787818816199</v>
      </c>
      <c r="V101" s="238">
        <f t="shared" si="21"/>
        <v>0</v>
      </c>
      <c r="W101" s="238">
        <f t="shared" si="22"/>
        <v>0</v>
      </c>
      <c r="X101" s="238">
        <f t="shared" si="23"/>
        <v>0</v>
      </c>
      <c r="Y101" s="238">
        <f t="shared" si="24"/>
        <v>0.76292787818816199</v>
      </c>
      <c r="Z101" s="91">
        <v>0.76292787818816199</v>
      </c>
      <c r="AA101" s="70"/>
      <c r="AB101" s="70"/>
      <c r="AC101" s="70"/>
      <c r="AD101" s="71">
        <v>0.76292787818816199</v>
      </c>
      <c r="AE101" s="233">
        <v>208</v>
      </c>
      <c r="AF101" s="72">
        <v>9.1999999999999993</v>
      </c>
      <c r="AG101" s="73">
        <v>2.9718346314377837</v>
      </c>
      <c r="AH101" s="93">
        <v>2.2672954896889266</v>
      </c>
      <c r="AI101" s="93">
        <v>0</v>
      </c>
      <c r="AJ101" s="93">
        <v>0</v>
      </c>
      <c r="AK101" s="93">
        <v>0</v>
      </c>
      <c r="AL101" s="94">
        <v>2.2672954896889266</v>
      </c>
      <c r="AM101" s="202">
        <f t="shared" si="25"/>
        <v>1.3716992998341875E-4</v>
      </c>
      <c r="AN101" s="202">
        <f t="shared" si="26"/>
        <v>0</v>
      </c>
      <c r="AO101" s="202">
        <f t="shared" si="27"/>
        <v>0</v>
      </c>
      <c r="AP101" s="202">
        <f t="shared" si="28"/>
        <v>0</v>
      </c>
      <c r="AQ101" s="202">
        <f t="shared" si="29"/>
        <v>1.3716992998341875E-4</v>
      </c>
      <c r="AR101" s="209" t="s">
        <v>277</v>
      </c>
      <c r="AS101" s="223" t="s">
        <v>1658</v>
      </c>
      <c r="AT101" s="234">
        <v>325180</v>
      </c>
      <c r="AU101" s="244">
        <f t="shared" si="30"/>
        <v>2.2672954896889266</v>
      </c>
      <c r="AV101" s="244">
        <f t="shared" si="31"/>
        <v>0</v>
      </c>
      <c r="AW101" s="244">
        <f t="shared" si="32"/>
        <v>0</v>
      </c>
      <c r="AX101" s="244">
        <f t="shared" si="33"/>
        <v>0</v>
      </c>
      <c r="AY101" s="244">
        <f t="shared" si="34"/>
        <v>2.2672954896889266</v>
      </c>
      <c r="AZ101">
        <v>5.430908042753968E-4</v>
      </c>
    </row>
    <row r="102" spans="1:52" ht="15" customHeight="1" x14ac:dyDescent="0.35">
      <c r="A102" s="67" t="s">
        <v>277</v>
      </c>
      <c r="B102" s="67" t="s">
        <v>315</v>
      </c>
      <c r="C102" s="67" t="s">
        <v>48</v>
      </c>
      <c r="D102" s="67" t="s">
        <v>288</v>
      </c>
      <c r="E102" s="67" t="s">
        <v>288</v>
      </c>
      <c r="F102" s="67" t="s">
        <v>289</v>
      </c>
      <c r="G102" s="67" t="s">
        <v>52</v>
      </c>
      <c r="H102" s="67" t="s">
        <v>290</v>
      </c>
      <c r="I102" s="67" t="s">
        <v>291</v>
      </c>
      <c r="J102" s="95"/>
      <c r="K102" s="228">
        <f t="shared" si="19"/>
        <v>90</v>
      </c>
      <c r="L102" s="269">
        <v>90</v>
      </c>
      <c r="M102" s="269"/>
      <c r="N102" s="269"/>
      <c r="O102" s="269">
        <v>1</v>
      </c>
      <c r="P102" s="269"/>
      <c r="Q102" s="269"/>
      <c r="R102" s="269"/>
      <c r="S102" s="67" t="s">
        <v>285</v>
      </c>
      <c r="T102" s="70"/>
      <c r="U102" s="238">
        <f t="shared" si="20"/>
        <v>9.9719999999999995</v>
      </c>
      <c r="V102" s="238">
        <f t="shared" si="21"/>
        <v>0</v>
      </c>
      <c r="W102" s="238">
        <f t="shared" si="22"/>
        <v>9.9719999999999995</v>
      </c>
      <c r="X102" s="238">
        <f t="shared" si="23"/>
        <v>0</v>
      </c>
      <c r="Y102" s="238">
        <f t="shared" si="24"/>
        <v>0</v>
      </c>
      <c r="Z102" s="91">
        <v>9.9719999999999995</v>
      </c>
      <c r="AA102" s="70"/>
      <c r="AB102" s="70">
        <v>9.9719999999999995</v>
      </c>
      <c r="AC102" s="70"/>
      <c r="AD102" s="71"/>
      <c r="AE102" s="233"/>
      <c r="AF102" s="72"/>
      <c r="AG102" s="73">
        <v>2.9718346314377837</v>
      </c>
      <c r="AH102" s="93">
        <v>29.635134944697576</v>
      </c>
      <c r="AI102" s="93">
        <v>0</v>
      </c>
      <c r="AJ102" s="93">
        <v>29.635134944697576</v>
      </c>
      <c r="AK102" s="93">
        <v>0</v>
      </c>
      <c r="AL102" s="94">
        <v>0</v>
      </c>
      <c r="AM102" s="202">
        <f t="shared" si="25"/>
        <v>1.7929067489880018E-3</v>
      </c>
      <c r="AN102" s="202">
        <f t="shared" si="26"/>
        <v>0</v>
      </c>
      <c r="AO102" s="202">
        <f t="shared" si="27"/>
        <v>1.7929067489880018E-3</v>
      </c>
      <c r="AP102" s="202">
        <f t="shared" si="28"/>
        <v>0</v>
      </c>
      <c r="AQ102" s="202">
        <f t="shared" si="29"/>
        <v>0</v>
      </c>
      <c r="AR102" s="209" t="s">
        <v>277</v>
      </c>
      <c r="AS102" s="223" t="s">
        <v>1658</v>
      </c>
      <c r="AT102" s="234">
        <v>325180</v>
      </c>
      <c r="AU102" s="244">
        <f t="shared" si="30"/>
        <v>29.635134944697576</v>
      </c>
      <c r="AV102" s="244">
        <f t="shared" si="31"/>
        <v>0</v>
      </c>
      <c r="AW102" s="244">
        <f t="shared" si="32"/>
        <v>29.635134944697576</v>
      </c>
      <c r="AX102" s="244">
        <f t="shared" si="33"/>
        <v>0</v>
      </c>
      <c r="AY102" s="244">
        <f t="shared" si="34"/>
        <v>0</v>
      </c>
      <c r="AZ102">
        <v>7.0985759664409249E-3</v>
      </c>
    </row>
    <row r="103" spans="1:52" ht="15" customHeight="1" x14ac:dyDescent="0.35">
      <c r="A103" s="67" t="s">
        <v>277</v>
      </c>
      <c r="B103" s="67" t="s">
        <v>315</v>
      </c>
      <c r="C103" s="67" t="s">
        <v>67</v>
      </c>
      <c r="D103" s="67" t="s">
        <v>67</v>
      </c>
      <c r="E103" s="67" t="s">
        <v>292</v>
      </c>
      <c r="F103" s="67" t="s">
        <v>293</v>
      </c>
      <c r="G103" s="67" t="s">
        <v>52</v>
      </c>
      <c r="H103" s="67" t="s">
        <v>294</v>
      </c>
      <c r="I103" s="109" t="s">
        <v>295</v>
      </c>
      <c r="J103" s="68" t="s">
        <v>87</v>
      </c>
      <c r="K103" s="228">
        <f t="shared" si="19"/>
        <v>25</v>
      </c>
      <c r="L103" s="269">
        <v>25</v>
      </c>
      <c r="M103" s="269">
        <v>95</v>
      </c>
      <c r="N103" s="269">
        <v>25</v>
      </c>
      <c r="O103" s="269"/>
      <c r="P103" s="269"/>
      <c r="Q103" s="269"/>
      <c r="R103" s="269"/>
      <c r="S103" s="67" t="s">
        <v>285</v>
      </c>
      <c r="T103" s="70"/>
      <c r="U103" s="238">
        <f t="shared" si="20"/>
        <v>9.7000000000000003E-2</v>
      </c>
      <c r="V103" s="238">
        <f t="shared" si="21"/>
        <v>0</v>
      </c>
      <c r="W103" s="238">
        <f t="shared" si="22"/>
        <v>9.7000000000000003E-2</v>
      </c>
      <c r="X103" s="238">
        <f t="shared" si="23"/>
        <v>0</v>
      </c>
      <c r="Y103" s="238">
        <f t="shared" si="24"/>
        <v>0</v>
      </c>
      <c r="Z103" s="91">
        <v>9.7000000000000003E-2</v>
      </c>
      <c r="AA103" s="70"/>
      <c r="AB103" s="70">
        <v>9.7000000000000003E-2</v>
      </c>
      <c r="AC103" s="70"/>
      <c r="AD103" s="71"/>
      <c r="AE103" s="233"/>
      <c r="AF103" s="72"/>
      <c r="AG103" s="73">
        <v>2.9718346314377837</v>
      </c>
      <c r="AH103" s="93">
        <v>0.28826795924946502</v>
      </c>
      <c r="AI103" s="93">
        <v>0</v>
      </c>
      <c r="AJ103" s="93">
        <v>0.28826795924946502</v>
      </c>
      <c r="AK103" s="93">
        <v>0</v>
      </c>
      <c r="AL103" s="94">
        <v>0</v>
      </c>
      <c r="AM103" s="202">
        <f t="shared" si="25"/>
        <v>1.7440027542302063E-5</v>
      </c>
      <c r="AN103" s="202">
        <f t="shared" si="26"/>
        <v>0</v>
      </c>
      <c r="AO103" s="202">
        <f t="shared" si="27"/>
        <v>1.7440027542302063E-5</v>
      </c>
      <c r="AP103" s="202">
        <f t="shared" si="28"/>
        <v>0</v>
      </c>
      <c r="AQ103" s="202">
        <f t="shared" si="29"/>
        <v>0</v>
      </c>
      <c r="AR103" s="209" t="s">
        <v>277</v>
      </c>
      <c r="AS103" s="223" t="s">
        <v>1658</v>
      </c>
      <c r="AT103" s="234">
        <v>325180</v>
      </c>
      <c r="AU103" s="244">
        <f t="shared" si="30"/>
        <v>0.28826795924946502</v>
      </c>
      <c r="AV103" s="244">
        <f t="shared" si="31"/>
        <v>0</v>
      </c>
      <c r="AW103" s="244">
        <f t="shared" si="32"/>
        <v>0.28826795924946502</v>
      </c>
      <c r="AX103" s="244">
        <f t="shared" si="33"/>
        <v>0</v>
      </c>
      <c r="AY103" s="244">
        <f t="shared" si="34"/>
        <v>0</v>
      </c>
      <c r="AZ103">
        <v>6.9049525546005798E-5</v>
      </c>
    </row>
    <row r="104" spans="1:52" ht="15" customHeight="1" x14ac:dyDescent="0.35">
      <c r="A104" s="67" t="s">
        <v>277</v>
      </c>
      <c r="B104" s="67" t="s">
        <v>315</v>
      </c>
      <c r="C104" s="67" t="s">
        <v>74</v>
      </c>
      <c r="D104" s="67" t="s">
        <v>75</v>
      </c>
      <c r="E104" s="67" t="s">
        <v>296</v>
      </c>
      <c r="F104" s="67" t="s">
        <v>293</v>
      </c>
      <c r="G104" s="67" t="s">
        <v>52</v>
      </c>
      <c r="H104" s="67" t="s">
        <v>297</v>
      </c>
      <c r="I104" s="67" t="s">
        <v>298</v>
      </c>
      <c r="J104" s="76" t="s">
        <v>78</v>
      </c>
      <c r="K104" s="228">
        <f t="shared" si="19"/>
        <v>25</v>
      </c>
      <c r="L104" s="269">
        <v>25</v>
      </c>
      <c r="M104" s="269"/>
      <c r="N104" s="269"/>
      <c r="O104" s="269"/>
      <c r="P104" s="269"/>
      <c r="Q104" s="269"/>
      <c r="R104" s="269"/>
      <c r="S104" s="67" t="s">
        <v>285</v>
      </c>
      <c r="T104" s="70"/>
      <c r="U104" s="238">
        <f t="shared" si="20"/>
        <v>0</v>
      </c>
      <c r="V104" s="238">
        <f t="shared" si="21"/>
        <v>0</v>
      </c>
      <c r="W104" s="238">
        <f t="shared" si="22"/>
        <v>0</v>
      </c>
      <c r="X104" s="238">
        <f t="shared" si="23"/>
        <v>0</v>
      </c>
      <c r="Y104" s="238">
        <f t="shared" si="24"/>
        <v>0</v>
      </c>
      <c r="Z104" s="91">
        <v>0</v>
      </c>
      <c r="AA104" s="70"/>
      <c r="AB104" s="70"/>
      <c r="AC104" s="70"/>
      <c r="AD104" s="71"/>
      <c r="AE104" s="233"/>
      <c r="AF104" s="72"/>
      <c r="AG104" s="73">
        <v>2.9718346314377837</v>
      </c>
      <c r="AH104" s="93">
        <v>0</v>
      </c>
      <c r="AI104" s="93">
        <v>0</v>
      </c>
      <c r="AJ104" s="93">
        <v>0</v>
      </c>
      <c r="AK104" s="93">
        <v>0</v>
      </c>
      <c r="AL104" s="94">
        <v>0</v>
      </c>
      <c r="AM104" s="202">
        <f t="shared" si="25"/>
        <v>0</v>
      </c>
      <c r="AN104" s="202">
        <f t="shared" si="26"/>
        <v>0</v>
      </c>
      <c r="AO104" s="202">
        <f t="shared" si="27"/>
        <v>0</v>
      </c>
      <c r="AP104" s="202">
        <f t="shared" si="28"/>
        <v>0</v>
      </c>
      <c r="AQ104" s="202">
        <f t="shared" si="29"/>
        <v>0</v>
      </c>
      <c r="AR104" s="209" t="s">
        <v>277</v>
      </c>
      <c r="AS104" s="223" t="s">
        <v>1658</v>
      </c>
      <c r="AT104" s="234">
        <v>325180</v>
      </c>
      <c r="AU104" s="244">
        <f t="shared" si="30"/>
        <v>0</v>
      </c>
      <c r="AV104" s="244">
        <f t="shared" si="31"/>
        <v>0</v>
      </c>
      <c r="AW104" s="244">
        <f t="shared" si="32"/>
        <v>0</v>
      </c>
      <c r="AX104" s="244">
        <f t="shared" si="33"/>
        <v>0</v>
      </c>
      <c r="AY104" s="244">
        <f t="shared" si="34"/>
        <v>0</v>
      </c>
      <c r="AZ104">
        <v>0</v>
      </c>
    </row>
    <row r="105" spans="1:52" ht="15" customHeight="1" x14ac:dyDescent="0.35">
      <c r="A105" s="67" t="s">
        <v>277</v>
      </c>
      <c r="B105" s="67" t="s">
        <v>315</v>
      </c>
      <c r="C105" s="67" t="s">
        <v>71</v>
      </c>
      <c r="D105" s="67" t="s">
        <v>71</v>
      </c>
      <c r="E105" s="67" t="s">
        <v>299</v>
      </c>
      <c r="F105" s="67" t="s">
        <v>293</v>
      </c>
      <c r="G105" s="67" t="s">
        <v>52</v>
      </c>
      <c r="H105" s="67" t="s">
        <v>300</v>
      </c>
      <c r="I105" s="110" t="s">
        <v>301</v>
      </c>
      <c r="J105" s="105">
        <v>0.45</v>
      </c>
      <c r="K105" s="228">
        <v>80</v>
      </c>
      <c r="L105" s="269"/>
      <c r="M105" s="269"/>
      <c r="N105" s="269"/>
      <c r="O105" s="269"/>
      <c r="P105" s="269">
        <v>1</v>
      </c>
      <c r="Q105" s="269">
        <v>8</v>
      </c>
      <c r="R105" s="269"/>
      <c r="S105" s="67" t="s">
        <v>285</v>
      </c>
      <c r="T105" s="70"/>
      <c r="U105" s="238">
        <f t="shared" si="20"/>
        <v>8.2799999999999999E-2</v>
      </c>
      <c r="V105" s="238">
        <f t="shared" si="21"/>
        <v>0</v>
      </c>
      <c r="W105" s="238">
        <f t="shared" si="22"/>
        <v>8.2799999999999999E-2</v>
      </c>
      <c r="X105" s="238">
        <f t="shared" si="23"/>
        <v>0</v>
      </c>
      <c r="Y105" s="238">
        <f t="shared" si="24"/>
        <v>0</v>
      </c>
      <c r="Z105" s="91">
        <v>8.2799999999999999E-2</v>
      </c>
      <c r="AA105" s="70"/>
      <c r="AB105" s="70">
        <v>8.2799999999999999E-2</v>
      </c>
      <c r="AC105" s="70"/>
      <c r="AD105" s="71"/>
      <c r="AE105" s="233"/>
      <c r="AF105" s="72"/>
      <c r="AG105" s="73">
        <v>2.9718346314377837</v>
      </c>
      <c r="AH105" s="93">
        <v>0.24606790748304849</v>
      </c>
      <c r="AI105" s="93">
        <v>0</v>
      </c>
      <c r="AJ105" s="93">
        <v>0.24606790748304849</v>
      </c>
      <c r="AK105" s="93">
        <v>0</v>
      </c>
      <c r="AL105" s="94">
        <v>0</v>
      </c>
      <c r="AM105" s="202">
        <f t="shared" si="25"/>
        <v>1.4886951345387741E-5</v>
      </c>
      <c r="AN105" s="202">
        <f t="shared" si="26"/>
        <v>0</v>
      </c>
      <c r="AO105" s="202">
        <f t="shared" si="27"/>
        <v>1.4886951345387741E-5</v>
      </c>
      <c r="AP105" s="202">
        <f t="shared" si="28"/>
        <v>0</v>
      </c>
      <c r="AQ105" s="202">
        <f t="shared" si="29"/>
        <v>0</v>
      </c>
      <c r="AR105" s="209" t="s">
        <v>277</v>
      </c>
      <c r="AS105" s="223" t="s">
        <v>1658</v>
      </c>
      <c r="AT105" s="234">
        <v>325180</v>
      </c>
      <c r="AU105" s="244">
        <f t="shared" si="30"/>
        <v>0.24606790748304849</v>
      </c>
      <c r="AV105" s="244">
        <f t="shared" si="31"/>
        <v>0</v>
      </c>
      <c r="AW105" s="244">
        <f t="shared" si="32"/>
        <v>0.24606790748304849</v>
      </c>
      <c r="AX105" s="244">
        <f t="shared" si="33"/>
        <v>0</v>
      </c>
      <c r="AY105" s="244">
        <f t="shared" si="34"/>
        <v>0</v>
      </c>
      <c r="AZ105">
        <v>5.894124448669361E-5</v>
      </c>
    </row>
    <row r="106" spans="1:52" ht="15" customHeight="1" x14ac:dyDescent="0.35">
      <c r="A106" s="67" t="s">
        <v>277</v>
      </c>
      <c r="B106" s="67" t="s">
        <v>315</v>
      </c>
      <c r="C106" s="67" t="s">
        <v>67</v>
      </c>
      <c r="D106" s="67" t="s">
        <v>188</v>
      </c>
      <c r="E106" s="67" t="s">
        <v>302</v>
      </c>
      <c r="F106" s="67" t="s">
        <v>293</v>
      </c>
      <c r="G106" s="67" t="s">
        <v>52</v>
      </c>
      <c r="H106" s="67" t="s">
        <v>303</v>
      </c>
      <c r="I106" s="67" t="s">
        <v>304</v>
      </c>
      <c r="J106" s="95"/>
      <c r="K106" s="228">
        <f t="shared" si="19"/>
        <v>14</v>
      </c>
      <c r="L106" s="269">
        <v>14</v>
      </c>
      <c r="M106" s="269">
        <v>25</v>
      </c>
      <c r="N106" s="269">
        <v>14</v>
      </c>
      <c r="O106" s="269">
        <v>8</v>
      </c>
      <c r="P106" s="269"/>
      <c r="Q106" s="269"/>
      <c r="R106" s="269"/>
      <c r="S106" s="67" t="s">
        <v>285</v>
      </c>
      <c r="T106" s="70"/>
      <c r="U106" s="238">
        <f t="shared" si="20"/>
        <v>0.24479999999999999</v>
      </c>
      <c r="V106" s="238">
        <f t="shared" si="21"/>
        <v>0</v>
      </c>
      <c r="W106" s="238">
        <f t="shared" si="22"/>
        <v>0.24479999999999999</v>
      </c>
      <c r="X106" s="238">
        <f t="shared" si="23"/>
        <v>0</v>
      </c>
      <c r="Y106" s="238">
        <f t="shared" si="24"/>
        <v>0</v>
      </c>
      <c r="Z106" s="91">
        <v>0.24479999999999999</v>
      </c>
      <c r="AA106" s="70"/>
      <c r="AB106" s="70">
        <v>0.24479999999999999</v>
      </c>
      <c r="AC106" s="70"/>
      <c r="AD106" s="71"/>
      <c r="AE106" s="233"/>
      <c r="AF106" s="72"/>
      <c r="AG106" s="73">
        <v>2.3774677051502269</v>
      </c>
      <c r="AH106" s="93">
        <v>0.58200409422077548</v>
      </c>
      <c r="AI106" s="93">
        <v>0</v>
      </c>
      <c r="AJ106" s="93">
        <v>0.58200409422077548</v>
      </c>
      <c r="AK106" s="93">
        <v>0</v>
      </c>
      <c r="AL106" s="94">
        <v>0</v>
      </c>
      <c r="AM106" s="202">
        <f t="shared" si="25"/>
        <v>3.5210876225612741E-5</v>
      </c>
      <c r="AN106" s="202">
        <f t="shared" si="26"/>
        <v>0</v>
      </c>
      <c r="AO106" s="202">
        <f t="shared" si="27"/>
        <v>3.5210876225612741E-5</v>
      </c>
      <c r="AP106" s="202">
        <f t="shared" si="28"/>
        <v>0</v>
      </c>
      <c r="AQ106" s="202">
        <f t="shared" si="29"/>
        <v>0</v>
      </c>
      <c r="AR106" s="209" t="s">
        <v>277</v>
      </c>
      <c r="AS106" s="223" t="s">
        <v>1658</v>
      </c>
      <c r="AT106" s="234">
        <v>325180</v>
      </c>
      <c r="AU106" s="244">
        <f t="shared" si="30"/>
        <v>0.58200409422077548</v>
      </c>
      <c r="AV106" s="244">
        <f t="shared" si="31"/>
        <v>0</v>
      </c>
      <c r="AW106" s="244">
        <f t="shared" si="32"/>
        <v>0.58200409422077548</v>
      </c>
      <c r="AX106" s="244">
        <f t="shared" si="33"/>
        <v>0</v>
      </c>
      <c r="AY106" s="244">
        <f t="shared" si="34"/>
        <v>0</v>
      </c>
      <c r="AZ106">
        <v>1.394088565250492E-4</v>
      </c>
    </row>
    <row r="107" spans="1:52" ht="15" customHeight="1" x14ac:dyDescent="0.35">
      <c r="A107" s="67" t="s">
        <v>277</v>
      </c>
      <c r="B107" s="67" t="s">
        <v>315</v>
      </c>
      <c r="C107" s="67" t="s">
        <v>74</v>
      </c>
      <c r="D107" s="67" t="s">
        <v>140</v>
      </c>
      <c r="E107" s="67" t="s">
        <v>305</v>
      </c>
      <c r="F107" s="67" t="s">
        <v>306</v>
      </c>
      <c r="G107" s="67" t="s">
        <v>52</v>
      </c>
      <c r="H107" s="67" t="s">
        <v>143</v>
      </c>
      <c r="I107" s="67" t="s">
        <v>307</v>
      </c>
      <c r="J107" s="105">
        <v>0.8</v>
      </c>
      <c r="K107" s="228">
        <f t="shared" si="19"/>
        <v>160</v>
      </c>
      <c r="L107" s="269">
        <v>160</v>
      </c>
      <c r="M107" s="269">
        <v>90</v>
      </c>
      <c r="N107" s="269">
        <v>160</v>
      </c>
      <c r="O107" s="269"/>
      <c r="P107" s="269"/>
      <c r="Q107" s="269"/>
      <c r="R107" s="269"/>
      <c r="S107" s="67" t="s">
        <v>285</v>
      </c>
      <c r="T107" s="70"/>
      <c r="U107" s="238">
        <f t="shared" si="20"/>
        <v>5</v>
      </c>
      <c r="V107" s="238">
        <f t="shared" si="21"/>
        <v>0</v>
      </c>
      <c r="W107" s="238">
        <f t="shared" si="22"/>
        <v>0</v>
      </c>
      <c r="X107" s="238">
        <f t="shared" si="23"/>
        <v>0</v>
      </c>
      <c r="Y107" s="238">
        <f t="shared" si="24"/>
        <v>5</v>
      </c>
      <c r="Z107" s="91">
        <v>5</v>
      </c>
      <c r="AA107" s="70"/>
      <c r="AB107" s="70"/>
      <c r="AC107" s="70"/>
      <c r="AD107" s="71">
        <v>5</v>
      </c>
      <c r="AE107" s="233">
        <v>245</v>
      </c>
      <c r="AF107" s="72">
        <v>15.3</v>
      </c>
      <c r="AG107" s="73">
        <v>2.9718346314377837</v>
      </c>
      <c r="AH107" s="93">
        <v>14.859173157188918</v>
      </c>
      <c r="AI107" s="93">
        <v>0</v>
      </c>
      <c r="AJ107" s="93">
        <v>0</v>
      </c>
      <c r="AK107" s="93">
        <v>0</v>
      </c>
      <c r="AL107" s="94">
        <v>14.859173157188918</v>
      </c>
      <c r="AM107" s="202">
        <f t="shared" si="25"/>
        <v>8.9897049187124037E-4</v>
      </c>
      <c r="AN107" s="202">
        <f t="shared" si="26"/>
        <v>0</v>
      </c>
      <c r="AO107" s="202">
        <f t="shared" si="27"/>
        <v>0</v>
      </c>
      <c r="AP107" s="202">
        <f t="shared" si="28"/>
        <v>0</v>
      </c>
      <c r="AQ107" s="202">
        <f t="shared" si="29"/>
        <v>8.9897049187124037E-4</v>
      </c>
      <c r="AR107" s="209" t="s">
        <v>277</v>
      </c>
      <c r="AS107" s="223" t="s">
        <v>1658</v>
      </c>
      <c r="AT107" s="234">
        <v>325180</v>
      </c>
      <c r="AU107" s="244">
        <f t="shared" si="30"/>
        <v>14.859173157188918</v>
      </c>
      <c r="AV107" s="244">
        <f t="shared" si="31"/>
        <v>0</v>
      </c>
      <c r="AW107" s="244">
        <f t="shared" si="32"/>
        <v>0</v>
      </c>
      <c r="AX107" s="244">
        <f t="shared" si="33"/>
        <v>0</v>
      </c>
      <c r="AY107" s="244">
        <f t="shared" si="34"/>
        <v>14.859173157188918</v>
      </c>
      <c r="AZ107">
        <v>3.5592538941240101E-3</v>
      </c>
    </row>
    <row r="108" spans="1:52" ht="15" customHeight="1" x14ac:dyDescent="0.35">
      <c r="A108" s="67" t="s">
        <v>277</v>
      </c>
      <c r="B108" s="67" t="s">
        <v>315</v>
      </c>
      <c r="C108" s="67" t="s">
        <v>67</v>
      </c>
      <c r="D108" s="67" t="s">
        <v>67</v>
      </c>
      <c r="E108" s="67" t="s">
        <v>308</v>
      </c>
      <c r="F108" s="67" t="s">
        <v>306</v>
      </c>
      <c r="G108" s="67" t="s">
        <v>52</v>
      </c>
      <c r="H108" s="67" t="s">
        <v>95</v>
      </c>
      <c r="I108" s="67" t="s">
        <v>309</v>
      </c>
      <c r="J108" s="113">
        <v>0.53569999999999995</v>
      </c>
      <c r="K108" s="228">
        <f t="shared" si="19"/>
        <v>45</v>
      </c>
      <c r="L108" s="269">
        <v>45</v>
      </c>
      <c r="M108" s="269">
        <v>160</v>
      </c>
      <c r="N108" s="269">
        <v>45</v>
      </c>
      <c r="O108" s="269"/>
      <c r="P108" s="269"/>
      <c r="Q108" s="269"/>
      <c r="R108" s="269"/>
      <c r="S108" s="67" t="s">
        <v>285</v>
      </c>
      <c r="T108" s="70"/>
      <c r="U108" s="238">
        <f t="shared" si="20"/>
        <v>0.27</v>
      </c>
      <c r="V108" s="238">
        <f t="shared" si="21"/>
        <v>0</v>
      </c>
      <c r="W108" s="238">
        <f t="shared" si="22"/>
        <v>0.27</v>
      </c>
      <c r="X108" s="238">
        <f t="shared" si="23"/>
        <v>0</v>
      </c>
      <c r="Y108" s="238">
        <f t="shared" si="24"/>
        <v>0</v>
      </c>
      <c r="Z108" s="91">
        <v>0.27</v>
      </c>
      <c r="AA108" s="70"/>
      <c r="AB108" s="70">
        <v>0.27</v>
      </c>
      <c r="AC108" s="70"/>
      <c r="AD108" s="71"/>
      <c r="AE108" s="233"/>
      <c r="AF108" s="72"/>
      <c r="AG108" s="73">
        <v>2.9718346314377837</v>
      </c>
      <c r="AH108" s="93">
        <v>0.80239535048820165</v>
      </c>
      <c r="AI108" s="93">
        <v>0</v>
      </c>
      <c r="AJ108" s="93">
        <v>0.80239535048820165</v>
      </c>
      <c r="AK108" s="93">
        <v>0</v>
      </c>
      <c r="AL108" s="94">
        <v>0</v>
      </c>
      <c r="AM108" s="202">
        <f t="shared" si="25"/>
        <v>4.8544406561046983E-5</v>
      </c>
      <c r="AN108" s="202">
        <f t="shared" si="26"/>
        <v>0</v>
      </c>
      <c r="AO108" s="202">
        <f t="shared" si="27"/>
        <v>4.8544406561046983E-5</v>
      </c>
      <c r="AP108" s="202">
        <f t="shared" si="28"/>
        <v>0</v>
      </c>
      <c r="AQ108" s="202">
        <f t="shared" si="29"/>
        <v>0</v>
      </c>
      <c r="AR108" s="209" t="s">
        <v>277</v>
      </c>
      <c r="AS108" s="223" t="s">
        <v>1658</v>
      </c>
      <c r="AT108" s="234">
        <v>325180</v>
      </c>
      <c r="AU108" s="244">
        <f t="shared" si="30"/>
        <v>0.80239535048820165</v>
      </c>
      <c r="AV108" s="244">
        <f t="shared" si="31"/>
        <v>0</v>
      </c>
      <c r="AW108" s="244">
        <f t="shared" si="32"/>
        <v>0.80239535048820165</v>
      </c>
      <c r="AX108" s="244">
        <f t="shared" si="33"/>
        <v>0</v>
      </c>
      <c r="AY108" s="244">
        <f t="shared" si="34"/>
        <v>0</v>
      </c>
      <c r="AZ108">
        <v>1.9219971028269656E-4</v>
      </c>
    </row>
    <row r="109" spans="1:52" ht="15" customHeight="1" x14ac:dyDescent="0.35">
      <c r="A109" s="67" t="s">
        <v>277</v>
      </c>
      <c r="B109" s="67" t="s">
        <v>315</v>
      </c>
      <c r="C109" s="67" t="s">
        <v>67</v>
      </c>
      <c r="D109" s="67" t="s">
        <v>67</v>
      </c>
      <c r="E109" s="67" t="s">
        <v>310</v>
      </c>
      <c r="F109" s="67" t="s">
        <v>311</v>
      </c>
      <c r="G109" s="67" t="s">
        <v>52</v>
      </c>
      <c r="H109" s="67" t="s">
        <v>95</v>
      </c>
      <c r="I109" s="67" t="s">
        <v>316</v>
      </c>
      <c r="J109" s="68" t="s">
        <v>87</v>
      </c>
      <c r="K109" s="228">
        <f t="shared" si="19"/>
        <v>25</v>
      </c>
      <c r="L109" s="269">
        <v>25</v>
      </c>
      <c r="M109" s="269">
        <v>95</v>
      </c>
      <c r="N109" s="269">
        <v>25</v>
      </c>
      <c r="O109" s="269"/>
      <c r="P109" s="269"/>
      <c r="Q109" s="269"/>
      <c r="R109" s="269"/>
      <c r="S109" s="67" t="s">
        <v>285</v>
      </c>
      <c r="T109" s="70"/>
      <c r="U109" s="238">
        <f t="shared" si="20"/>
        <v>8.8133399999999989E-4</v>
      </c>
      <c r="V109" s="238">
        <f t="shared" si="21"/>
        <v>0</v>
      </c>
      <c r="W109" s="238">
        <f t="shared" si="22"/>
        <v>8.8133399999999989E-4</v>
      </c>
      <c r="X109" s="238">
        <f t="shared" si="23"/>
        <v>0</v>
      </c>
      <c r="Y109" s="238">
        <f t="shared" si="24"/>
        <v>0</v>
      </c>
      <c r="Z109" s="91">
        <v>8.8133399999999989E-4</v>
      </c>
      <c r="AA109" s="70"/>
      <c r="AB109" s="70">
        <v>8.8133399999999989E-4</v>
      </c>
      <c r="AC109" s="70"/>
      <c r="AD109" s="71"/>
      <c r="AE109" s="233"/>
      <c r="AF109" s="72"/>
      <c r="AG109" s="73">
        <v>2.9718346314377837</v>
      </c>
      <c r="AH109" s="93">
        <v>2.6191789030635872E-3</v>
      </c>
      <c r="AI109" s="93">
        <v>0</v>
      </c>
      <c r="AJ109" s="93">
        <v>2.6191789030635872E-3</v>
      </c>
      <c r="AK109" s="93">
        <v>0</v>
      </c>
      <c r="AL109" s="94">
        <v>0</v>
      </c>
      <c r="AM109" s="202">
        <f t="shared" si="25"/>
        <v>1.5845865189656953E-7</v>
      </c>
      <c r="AN109" s="202">
        <f t="shared" si="26"/>
        <v>0</v>
      </c>
      <c r="AO109" s="202">
        <f t="shared" si="27"/>
        <v>1.5845865189656953E-7</v>
      </c>
      <c r="AP109" s="202">
        <f t="shared" si="28"/>
        <v>0</v>
      </c>
      <c r="AQ109" s="202">
        <f t="shared" si="29"/>
        <v>0</v>
      </c>
      <c r="AR109" s="209" t="s">
        <v>277</v>
      </c>
      <c r="AS109" s="223" t="s">
        <v>1658</v>
      </c>
      <c r="AT109" s="234">
        <v>325180</v>
      </c>
      <c r="AU109" s="244">
        <f t="shared" si="30"/>
        <v>2.6191789030635872E-3</v>
      </c>
      <c r="AV109" s="244">
        <f t="shared" si="31"/>
        <v>0</v>
      </c>
      <c r="AW109" s="244">
        <f t="shared" si="32"/>
        <v>2.6191789030635872E-3</v>
      </c>
      <c r="AX109" s="244">
        <f t="shared" si="33"/>
        <v>0</v>
      </c>
      <c r="AY109" s="244">
        <f t="shared" si="34"/>
        <v>0</v>
      </c>
      <c r="AZ109">
        <v>6.2737829430477797E-7</v>
      </c>
    </row>
    <row r="110" spans="1:52" ht="15" customHeight="1" x14ac:dyDescent="0.35">
      <c r="A110" s="67" t="s">
        <v>277</v>
      </c>
      <c r="B110" s="67" t="s">
        <v>315</v>
      </c>
      <c r="C110" s="67" t="s">
        <v>71</v>
      </c>
      <c r="D110" s="67" t="s">
        <v>71</v>
      </c>
      <c r="E110" s="67" t="s">
        <v>313</v>
      </c>
      <c r="F110" s="67" t="s">
        <v>311</v>
      </c>
      <c r="G110" s="67" t="s">
        <v>52</v>
      </c>
      <c r="H110" s="67" t="s">
        <v>300</v>
      </c>
      <c r="I110" s="67" t="s">
        <v>314</v>
      </c>
      <c r="J110" s="105">
        <v>0.65</v>
      </c>
      <c r="K110" s="228">
        <v>80</v>
      </c>
      <c r="L110" s="269"/>
      <c r="M110" s="269"/>
      <c r="N110" s="269"/>
      <c r="O110" s="269"/>
      <c r="P110" s="269">
        <v>1.3</v>
      </c>
      <c r="Q110" s="269">
        <v>20</v>
      </c>
      <c r="R110" s="269"/>
      <c r="S110" s="67" t="s">
        <v>285</v>
      </c>
      <c r="T110" s="70"/>
      <c r="U110" s="238">
        <f t="shared" si="20"/>
        <v>0.17647199999999999</v>
      </c>
      <c r="V110" s="238">
        <f t="shared" si="21"/>
        <v>0</v>
      </c>
      <c r="W110" s="238">
        <f t="shared" si="22"/>
        <v>0.17647199999999999</v>
      </c>
      <c r="X110" s="238">
        <f t="shared" si="23"/>
        <v>0</v>
      </c>
      <c r="Y110" s="238">
        <f t="shared" si="24"/>
        <v>0</v>
      </c>
      <c r="Z110" s="91">
        <v>0.17647199999999999</v>
      </c>
      <c r="AA110" s="70"/>
      <c r="AB110" s="70">
        <v>0.17647199999999999</v>
      </c>
      <c r="AC110" s="70"/>
      <c r="AD110" s="71"/>
      <c r="AE110" s="233"/>
      <c r="AF110" s="72"/>
      <c r="AG110" s="73">
        <v>2.9718346314377837</v>
      </c>
      <c r="AH110" s="93">
        <v>0.52444560107908855</v>
      </c>
      <c r="AI110" s="93">
        <v>0</v>
      </c>
      <c r="AJ110" s="93">
        <v>0.52444560107908855</v>
      </c>
      <c r="AK110" s="93">
        <v>0</v>
      </c>
      <c r="AL110" s="94">
        <v>0</v>
      </c>
      <c r="AM110" s="202">
        <f t="shared" si="25"/>
        <v>3.172862412830031E-5</v>
      </c>
      <c r="AN110" s="202">
        <f t="shared" si="26"/>
        <v>0</v>
      </c>
      <c r="AO110" s="202">
        <f t="shared" si="27"/>
        <v>3.172862412830031E-5</v>
      </c>
      <c r="AP110" s="202">
        <f t="shared" si="28"/>
        <v>0</v>
      </c>
      <c r="AQ110" s="202">
        <f t="shared" si="29"/>
        <v>0</v>
      </c>
      <c r="AR110" s="209" t="s">
        <v>277</v>
      </c>
      <c r="AS110" s="223" t="s">
        <v>1658</v>
      </c>
      <c r="AT110" s="234">
        <v>325180</v>
      </c>
      <c r="AU110" s="244">
        <f t="shared" si="30"/>
        <v>0.52444560107908855</v>
      </c>
      <c r="AV110" s="244">
        <f t="shared" si="31"/>
        <v>0</v>
      </c>
      <c r="AW110" s="244">
        <f t="shared" si="32"/>
        <v>0.52444560107908855</v>
      </c>
      <c r="AX110" s="244">
        <f t="shared" si="33"/>
        <v>0</v>
      </c>
      <c r="AY110" s="244">
        <f t="shared" si="34"/>
        <v>0</v>
      </c>
      <c r="AZ110">
        <v>1.2562173064077046E-4</v>
      </c>
    </row>
    <row r="111" spans="1:52" ht="15" customHeight="1" x14ac:dyDescent="0.35">
      <c r="A111" s="78" t="s">
        <v>277</v>
      </c>
      <c r="B111" s="78" t="s">
        <v>315</v>
      </c>
      <c r="C111" s="78" t="s">
        <v>62</v>
      </c>
      <c r="D111" s="78" t="s">
        <v>317</v>
      </c>
      <c r="E111" s="78" t="s">
        <v>317</v>
      </c>
      <c r="F111" s="78" t="s">
        <v>318</v>
      </c>
      <c r="G111" s="78" t="s">
        <v>52</v>
      </c>
      <c r="H111" s="78" t="s">
        <v>319</v>
      </c>
      <c r="I111" s="78" t="s">
        <v>320</v>
      </c>
      <c r="J111" s="111">
        <v>0.56999999999999995</v>
      </c>
      <c r="K111" s="228">
        <v>350</v>
      </c>
      <c r="L111" s="269"/>
      <c r="M111" s="269"/>
      <c r="N111" s="269"/>
      <c r="O111" s="269"/>
      <c r="P111" s="269"/>
      <c r="Q111" s="269"/>
      <c r="R111" s="269"/>
      <c r="S111" s="77" t="s">
        <v>285</v>
      </c>
      <c r="T111" s="82"/>
      <c r="U111" s="238">
        <f t="shared" si="20"/>
        <v>13.39491344659951</v>
      </c>
      <c r="V111" s="238">
        <f t="shared" si="21"/>
        <v>0</v>
      </c>
      <c r="W111" s="238">
        <f t="shared" si="22"/>
        <v>11.99312017893212</v>
      </c>
      <c r="X111" s="238">
        <f t="shared" si="23"/>
        <v>31.150961503719792</v>
      </c>
      <c r="Y111" s="238">
        <f t="shared" si="24"/>
        <v>5.7629278781881617</v>
      </c>
      <c r="Z111" s="91">
        <v>13.39491344659951</v>
      </c>
      <c r="AA111" s="70"/>
      <c r="AB111" s="70">
        <v>-11.99312017893212</v>
      </c>
      <c r="AC111" s="70">
        <v>31.150961503719792</v>
      </c>
      <c r="AD111" s="71">
        <v>-5.7629278781881617</v>
      </c>
      <c r="AE111" s="81">
        <v>400</v>
      </c>
      <c r="AF111" s="84">
        <v>45</v>
      </c>
      <c r="AG111" s="85">
        <v>2.9718346314377837</v>
      </c>
      <c r="AH111" s="101">
        <v>39.807467665716068</v>
      </c>
      <c r="AI111" s="101">
        <v>0</v>
      </c>
      <c r="AJ111" s="101">
        <v>-35.641569886745785</v>
      </c>
      <c r="AK111" s="101">
        <v>92.575506199339699</v>
      </c>
      <c r="AL111" s="102">
        <v>-17.126468646877843</v>
      </c>
      <c r="AM111" s="202">
        <f t="shared" si="25"/>
        <v>2.4083263859324506E-3</v>
      </c>
      <c r="AN111" s="202">
        <f t="shared" si="26"/>
        <v>0</v>
      </c>
      <c r="AO111" s="202">
        <f t="shared" si="27"/>
        <v>-2.1562922292651015E-3</v>
      </c>
      <c r="AP111" s="202">
        <f t="shared" si="28"/>
        <v>5.6007590370522114E-3</v>
      </c>
      <c r="AQ111" s="202">
        <f t="shared" si="29"/>
        <v>-1.0361404218546591E-3</v>
      </c>
      <c r="AR111" s="213" t="s">
        <v>277</v>
      </c>
      <c r="AS111" s="223" t="s">
        <v>1658</v>
      </c>
      <c r="AT111" s="234">
        <v>325180</v>
      </c>
      <c r="AU111" s="244">
        <f t="shared" si="30"/>
        <v>39.807467665716068</v>
      </c>
      <c r="AV111" s="244">
        <f t="shared" si="31"/>
        <v>0</v>
      </c>
      <c r="AW111" s="244">
        <f t="shared" si="32"/>
        <v>35.641569886745785</v>
      </c>
      <c r="AX111" s="244">
        <f t="shared" si="33"/>
        <v>92.575506199339699</v>
      </c>
      <c r="AY111" s="244">
        <f t="shared" si="34"/>
        <v>17.126468646877843</v>
      </c>
      <c r="AZ111">
        <v>9.535179569252674E-3</v>
      </c>
    </row>
    <row r="112" spans="1:52" ht="15" customHeight="1" x14ac:dyDescent="0.35">
      <c r="A112" s="67" t="s">
        <v>277</v>
      </c>
      <c r="B112" s="67" t="s">
        <v>321</v>
      </c>
      <c r="C112" s="67" t="s">
        <v>154</v>
      </c>
      <c r="D112" s="67" t="s">
        <v>279</v>
      </c>
      <c r="E112" s="67" t="s">
        <v>280</v>
      </c>
      <c r="F112" s="67" t="s">
        <v>281</v>
      </c>
      <c r="G112" s="67" t="s">
        <v>52</v>
      </c>
      <c r="H112" s="67" t="s">
        <v>282</v>
      </c>
      <c r="I112" s="114" t="s">
        <v>283</v>
      </c>
      <c r="J112" s="95"/>
      <c r="K112" s="228">
        <f t="shared" si="19"/>
        <v>25</v>
      </c>
      <c r="L112" s="269">
        <v>25</v>
      </c>
      <c r="M112" s="269"/>
      <c r="N112" s="269"/>
      <c r="O112" s="269"/>
      <c r="P112" s="269"/>
      <c r="Q112" s="269"/>
      <c r="R112" s="269" t="s">
        <v>284</v>
      </c>
      <c r="S112" s="67" t="s">
        <v>285</v>
      </c>
      <c r="T112" s="70">
        <v>1.7</v>
      </c>
      <c r="U112" s="238">
        <f t="shared" si="20"/>
        <v>0.20688311688311686</v>
      </c>
      <c r="V112" s="238">
        <f t="shared" si="21"/>
        <v>0</v>
      </c>
      <c r="W112" s="238">
        <f t="shared" si="22"/>
        <v>0.20688311688311686</v>
      </c>
      <c r="X112" s="238">
        <f t="shared" si="23"/>
        <v>0</v>
      </c>
      <c r="Y112" s="238">
        <f t="shared" si="24"/>
        <v>0</v>
      </c>
      <c r="Z112" s="99">
        <v>0.20688311688311686</v>
      </c>
      <c r="AA112" s="82"/>
      <c r="AB112" s="82">
        <v>0.20688311688311686</v>
      </c>
      <c r="AC112" s="82"/>
      <c r="AD112" s="83"/>
      <c r="AE112" s="233"/>
      <c r="AF112" s="72"/>
      <c r="AG112" s="73">
        <v>4.7415185504090056</v>
      </c>
      <c r="AH112" s="93">
        <v>0.98094013646773315</v>
      </c>
      <c r="AI112" s="93">
        <v>0</v>
      </c>
      <c r="AJ112" s="93">
        <v>0.98094013646773315</v>
      </c>
      <c r="AK112" s="93">
        <v>0</v>
      </c>
      <c r="AL112" s="94">
        <v>0</v>
      </c>
      <c r="AM112" s="202">
        <f t="shared" si="25"/>
        <v>5.9346252153337643E-5</v>
      </c>
      <c r="AN112" s="202">
        <f t="shared" si="26"/>
        <v>0</v>
      </c>
      <c r="AO112" s="202">
        <f t="shared" si="27"/>
        <v>5.9346252153337643E-5</v>
      </c>
      <c r="AP112" s="202">
        <f t="shared" si="28"/>
        <v>0</v>
      </c>
      <c r="AQ112" s="202">
        <f t="shared" si="29"/>
        <v>0</v>
      </c>
      <c r="AR112" s="209" t="s">
        <v>277</v>
      </c>
      <c r="AS112" s="223" t="s">
        <v>1658</v>
      </c>
      <c r="AT112" s="234">
        <v>325180</v>
      </c>
      <c r="AU112" s="244">
        <f t="shared" si="30"/>
        <v>0.98094013646773315</v>
      </c>
      <c r="AV112" s="244">
        <f t="shared" si="31"/>
        <v>0</v>
      </c>
      <c r="AW112" s="244">
        <f t="shared" si="32"/>
        <v>0.98094013646773315</v>
      </c>
      <c r="AX112" s="244">
        <f t="shared" si="33"/>
        <v>0</v>
      </c>
      <c r="AY112" s="244">
        <f t="shared" si="34"/>
        <v>0</v>
      </c>
      <c r="AZ112">
        <v>2.3496697721273667E-4</v>
      </c>
    </row>
    <row r="113" spans="1:52" ht="15" customHeight="1" x14ac:dyDescent="0.35">
      <c r="A113" s="67" t="s">
        <v>277</v>
      </c>
      <c r="B113" s="67" t="s">
        <v>321</v>
      </c>
      <c r="C113" s="67" t="s">
        <v>92</v>
      </c>
      <c r="D113" s="67" t="s">
        <v>229</v>
      </c>
      <c r="E113" s="67" t="s">
        <v>286</v>
      </c>
      <c r="F113" s="67" t="s">
        <v>281</v>
      </c>
      <c r="G113" s="67" t="s">
        <v>52</v>
      </c>
      <c r="H113" s="67" t="s">
        <v>95</v>
      </c>
      <c r="I113" s="114" t="s">
        <v>287</v>
      </c>
      <c r="J113" s="95"/>
      <c r="K113" s="228">
        <f t="shared" si="19"/>
        <v>90</v>
      </c>
      <c r="L113" s="269">
        <v>90</v>
      </c>
      <c r="M113" s="269">
        <v>25</v>
      </c>
      <c r="N113" s="269">
        <v>90</v>
      </c>
      <c r="O113" s="269"/>
      <c r="P113" s="269"/>
      <c r="Q113" s="269"/>
      <c r="R113" s="269"/>
      <c r="S113" s="67" t="s">
        <v>285</v>
      </c>
      <c r="T113" s="70"/>
      <c r="U113" s="238">
        <f t="shared" si="20"/>
        <v>0.93039985144897808</v>
      </c>
      <c r="V113" s="238">
        <f t="shared" si="21"/>
        <v>0</v>
      </c>
      <c r="W113" s="238">
        <f t="shared" si="22"/>
        <v>0</v>
      </c>
      <c r="X113" s="238">
        <f t="shared" si="23"/>
        <v>0</v>
      </c>
      <c r="Y113" s="238">
        <f t="shared" si="24"/>
        <v>0.93039985144897808</v>
      </c>
      <c r="Z113" s="91">
        <v>0.93039985144897808</v>
      </c>
      <c r="AA113" s="70"/>
      <c r="AB113" s="70"/>
      <c r="AC113" s="70"/>
      <c r="AD113" s="71">
        <v>0.93039985144897808</v>
      </c>
      <c r="AE113" s="233">
        <v>208</v>
      </c>
      <c r="AF113" s="72">
        <v>9.1999999999999993</v>
      </c>
      <c r="AG113" s="73">
        <v>4.7415185504090056</v>
      </c>
      <c r="AH113" s="93">
        <v>4.411508154943113</v>
      </c>
      <c r="AI113" s="93">
        <v>0</v>
      </c>
      <c r="AJ113" s="93">
        <v>0</v>
      </c>
      <c r="AK113" s="93">
        <v>0</v>
      </c>
      <c r="AL113" s="94">
        <v>4.411508154943113</v>
      </c>
      <c r="AM113" s="202">
        <f t="shared" si="25"/>
        <v>2.6689342764839666E-4</v>
      </c>
      <c r="AN113" s="202">
        <f t="shared" si="26"/>
        <v>0</v>
      </c>
      <c r="AO113" s="202">
        <f t="shared" si="27"/>
        <v>0</v>
      </c>
      <c r="AP113" s="202">
        <f t="shared" si="28"/>
        <v>0</v>
      </c>
      <c r="AQ113" s="202">
        <f t="shared" si="29"/>
        <v>2.6689342764839666E-4</v>
      </c>
      <c r="AR113" s="209" t="s">
        <v>277</v>
      </c>
      <c r="AS113" s="223" t="s">
        <v>1658</v>
      </c>
      <c r="AT113" s="234">
        <v>325180</v>
      </c>
      <c r="AU113" s="244">
        <f t="shared" si="30"/>
        <v>4.411508154943113</v>
      </c>
      <c r="AV113" s="244">
        <f t="shared" si="31"/>
        <v>0</v>
      </c>
      <c r="AW113" s="244">
        <f t="shared" si="32"/>
        <v>0</v>
      </c>
      <c r="AX113" s="244">
        <f t="shared" si="33"/>
        <v>0</v>
      </c>
      <c r="AY113" s="244">
        <f t="shared" si="34"/>
        <v>4.411508154943113</v>
      </c>
      <c r="AZ113">
        <v>1.0566992801914134E-3</v>
      </c>
    </row>
    <row r="114" spans="1:52" ht="15" customHeight="1" x14ac:dyDescent="0.35">
      <c r="A114" s="67" t="s">
        <v>277</v>
      </c>
      <c r="B114" s="67" t="s">
        <v>321</v>
      </c>
      <c r="C114" s="67" t="s">
        <v>48</v>
      </c>
      <c r="D114" s="67" t="s">
        <v>288</v>
      </c>
      <c r="E114" s="67" t="s">
        <v>288</v>
      </c>
      <c r="F114" s="67" t="s">
        <v>289</v>
      </c>
      <c r="G114" s="67" t="s">
        <v>52</v>
      </c>
      <c r="H114" s="67" t="s">
        <v>290</v>
      </c>
      <c r="I114" s="67" t="s">
        <v>291</v>
      </c>
      <c r="J114" s="95"/>
      <c r="K114" s="228">
        <f t="shared" si="19"/>
        <v>90</v>
      </c>
      <c r="L114" s="269">
        <v>90</v>
      </c>
      <c r="M114" s="269"/>
      <c r="N114" s="269"/>
      <c r="O114" s="269">
        <v>1</v>
      </c>
      <c r="P114" s="269"/>
      <c r="Q114" s="269"/>
      <c r="R114" s="269"/>
      <c r="S114" s="67" t="s">
        <v>285</v>
      </c>
      <c r="T114" s="70"/>
      <c r="U114" s="238">
        <f t="shared" si="20"/>
        <v>9.36</v>
      </c>
      <c r="V114" s="238">
        <f t="shared" si="21"/>
        <v>0</v>
      </c>
      <c r="W114" s="238">
        <f t="shared" si="22"/>
        <v>9.36</v>
      </c>
      <c r="X114" s="238">
        <f t="shared" si="23"/>
        <v>0</v>
      </c>
      <c r="Y114" s="238">
        <f t="shared" si="24"/>
        <v>0</v>
      </c>
      <c r="Z114" s="91">
        <v>9.36</v>
      </c>
      <c r="AA114" s="70"/>
      <c r="AB114" s="70">
        <v>9.36</v>
      </c>
      <c r="AC114" s="70"/>
      <c r="AD114" s="71"/>
      <c r="AE114" s="233"/>
      <c r="AF114" s="72"/>
      <c r="AG114" s="73">
        <v>4.7415185504090056</v>
      </c>
      <c r="AH114" s="93">
        <v>44.38061363182829</v>
      </c>
      <c r="AI114" s="93">
        <v>0</v>
      </c>
      <c r="AJ114" s="93">
        <v>44.38061363182829</v>
      </c>
      <c r="AK114" s="93">
        <v>0</v>
      </c>
      <c r="AL114" s="94">
        <v>0</v>
      </c>
      <c r="AM114" s="202">
        <f t="shared" si="25"/>
        <v>2.6849987979882931E-3</v>
      </c>
      <c r="AN114" s="202">
        <f t="shared" si="26"/>
        <v>0</v>
      </c>
      <c r="AO114" s="202">
        <f t="shared" si="27"/>
        <v>2.6849987979882931E-3</v>
      </c>
      <c r="AP114" s="202">
        <f t="shared" si="28"/>
        <v>0</v>
      </c>
      <c r="AQ114" s="202">
        <f t="shared" si="29"/>
        <v>0</v>
      </c>
      <c r="AR114" s="209" t="s">
        <v>277</v>
      </c>
      <c r="AS114" s="223" t="s">
        <v>1658</v>
      </c>
      <c r="AT114" s="234">
        <v>325180</v>
      </c>
      <c r="AU114" s="244">
        <f t="shared" si="30"/>
        <v>44.38061363182829</v>
      </c>
      <c r="AV114" s="244">
        <f t="shared" si="31"/>
        <v>0</v>
      </c>
      <c r="AW114" s="244">
        <f t="shared" si="32"/>
        <v>44.38061363182829</v>
      </c>
      <c r="AX114" s="244">
        <f t="shared" si="33"/>
        <v>0</v>
      </c>
      <c r="AY114" s="244">
        <f t="shared" si="34"/>
        <v>0</v>
      </c>
      <c r="AZ114">
        <v>1.0630596347568336E-2</v>
      </c>
    </row>
    <row r="115" spans="1:52" ht="15" customHeight="1" x14ac:dyDescent="0.35">
      <c r="A115" s="67" t="s">
        <v>277</v>
      </c>
      <c r="B115" s="67" t="s">
        <v>321</v>
      </c>
      <c r="C115" s="67" t="s">
        <v>67</v>
      </c>
      <c r="D115" s="67" t="s">
        <v>67</v>
      </c>
      <c r="E115" s="67" t="s">
        <v>292</v>
      </c>
      <c r="F115" s="67" t="s">
        <v>293</v>
      </c>
      <c r="G115" s="67" t="s">
        <v>52</v>
      </c>
      <c r="H115" s="67" t="s">
        <v>294</v>
      </c>
      <c r="I115" s="109" t="s">
        <v>295</v>
      </c>
      <c r="J115" s="68" t="s">
        <v>87</v>
      </c>
      <c r="K115" s="228">
        <f t="shared" si="19"/>
        <v>25</v>
      </c>
      <c r="L115" s="269">
        <v>25</v>
      </c>
      <c r="M115" s="269">
        <v>95</v>
      </c>
      <c r="N115" s="269">
        <v>25</v>
      </c>
      <c r="O115" s="269"/>
      <c r="P115" s="269"/>
      <c r="Q115" s="269"/>
      <c r="R115" s="269"/>
      <c r="S115" s="67" t="s">
        <v>285</v>
      </c>
      <c r="T115" s="70"/>
      <c r="U115" s="238">
        <f t="shared" si="20"/>
        <v>9.7000000000000003E-2</v>
      </c>
      <c r="V115" s="238">
        <f t="shared" si="21"/>
        <v>0</v>
      </c>
      <c r="W115" s="238">
        <f t="shared" si="22"/>
        <v>9.7000000000000003E-2</v>
      </c>
      <c r="X115" s="238">
        <f t="shared" si="23"/>
        <v>0</v>
      </c>
      <c r="Y115" s="238">
        <f t="shared" si="24"/>
        <v>0</v>
      </c>
      <c r="Z115" s="91">
        <v>9.7000000000000003E-2</v>
      </c>
      <c r="AA115" s="70"/>
      <c r="AB115" s="70">
        <v>9.7000000000000003E-2</v>
      </c>
      <c r="AC115" s="70"/>
      <c r="AD115" s="71"/>
      <c r="AE115" s="233"/>
      <c r="AF115" s="72"/>
      <c r="AG115" s="73">
        <v>4.7415185504090056</v>
      </c>
      <c r="AH115" s="93">
        <v>0.45992729938967358</v>
      </c>
      <c r="AI115" s="93">
        <v>0</v>
      </c>
      <c r="AJ115" s="93">
        <v>0.45992729938967358</v>
      </c>
      <c r="AK115" s="93">
        <v>0</v>
      </c>
      <c r="AL115" s="94">
        <v>0</v>
      </c>
      <c r="AM115" s="202">
        <f t="shared" si="25"/>
        <v>2.7825308056075263E-5</v>
      </c>
      <c r="AN115" s="202">
        <f t="shared" si="26"/>
        <v>0</v>
      </c>
      <c r="AO115" s="202">
        <f t="shared" si="27"/>
        <v>2.7825308056075263E-5</v>
      </c>
      <c r="AP115" s="202">
        <f t="shared" si="28"/>
        <v>0</v>
      </c>
      <c r="AQ115" s="202">
        <f t="shared" si="29"/>
        <v>0</v>
      </c>
      <c r="AR115" s="209" t="s">
        <v>277</v>
      </c>
      <c r="AS115" s="223" t="s">
        <v>1658</v>
      </c>
      <c r="AT115" s="234">
        <v>325180</v>
      </c>
      <c r="AU115" s="244">
        <f t="shared" si="30"/>
        <v>0.45992729938967358</v>
      </c>
      <c r="AV115" s="244">
        <f t="shared" si="31"/>
        <v>0</v>
      </c>
      <c r="AW115" s="244">
        <f t="shared" si="32"/>
        <v>0.45992729938967358</v>
      </c>
      <c r="AX115" s="244">
        <f t="shared" si="33"/>
        <v>0</v>
      </c>
      <c r="AY115" s="244">
        <f t="shared" si="34"/>
        <v>0</v>
      </c>
      <c r="AZ115">
        <v>1.1016750488398811E-4</v>
      </c>
    </row>
    <row r="116" spans="1:52" ht="15" customHeight="1" x14ac:dyDescent="0.35">
      <c r="A116" s="67" t="s">
        <v>277</v>
      </c>
      <c r="B116" s="67" t="s">
        <v>321</v>
      </c>
      <c r="C116" s="67" t="s">
        <v>74</v>
      </c>
      <c r="D116" s="67" t="s">
        <v>75</v>
      </c>
      <c r="E116" s="67" t="s">
        <v>296</v>
      </c>
      <c r="F116" s="67" t="s">
        <v>293</v>
      </c>
      <c r="G116" s="67" t="s">
        <v>52</v>
      </c>
      <c r="H116" s="67" t="s">
        <v>297</v>
      </c>
      <c r="I116" s="67" t="s">
        <v>298</v>
      </c>
      <c r="J116" s="76" t="s">
        <v>78</v>
      </c>
      <c r="K116" s="228">
        <f t="shared" si="19"/>
        <v>25</v>
      </c>
      <c r="L116" s="269">
        <v>25</v>
      </c>
      <c r="M116" s="269"/>
      <c r="N116" s="269"/>
      <c r="O116" s="269"/>
      <c r="P116" s="269"/>
      <c r="Q116" s="269"/>
      <c r="R116" s="269"/>
      <c r="S116" s="67" t="s">
        <v>285</v>
      </c>
      <c r="T116" s="70"/>
      <c r="U116" s="238">
        <f t="shared" si="20"/>
        <v>0</v>
      </c>
      <c r="V116" s="238">
        <f t="shared" si="21"/>
        <v>0</v>
      </c>
      <c r="W116" s="238">
        <f t="shared" si="22"/>
        <v>0</v>
      </c>
      <c r="X116" s="238">
        <f t="shared" si="23"/>
        <v>0</v>
      </c>
      <c r="Y116" s="238">
        <f t="shared" si="24"/>
        <v>0</v>
      </c>
      <c r="Z116" s="91">
        <v>0</v>
      </c>
      <c r="AA116" s="70"/>
      <c r="AB116" s="70"/>
      <c r="AC116" s="70"/>
      <c r="AD116" s="71"/>
      <c r="AE116" s="233"/>
      <c r="AF116" s="72"/>
      <c r="AG116" s="73">
        <v>4.7415185504090056</v>
      </c>
      <c r="AH116" s="93">
        <v>0</v>
      </c>
      <c r="AI116" s="93">
        <v>0</v>
      </c>
      <c r="AJ116" s="93">
        <v>0</v>
      </c>
      <c r="AK116" s="93">
        <v>0</v>
      </c>
      <c r="AL116" s="94">
        <v>0</v>
      </c>
      <c r="AM116" s="202">
        <f t="shared" si="25"/>
        <v>0</v>
      </c>
      <c r="AN116" s="202">
        <f t="shared" si="26"/>
        <v>0</v>
      </c>
      <c r="AO116" s="202">
        <f t="shared" si="27"/>
        <v>0</v>
      </c>
      <c r="AP116" s="202">
        <f t="shared" si="28"/>
        <v>0</v>
      </c>
      <c r="AQ116" s="202">
        <f t="shared" si="29"/>
        <v>0</v>
      </c>
      <c r="AR116" s="209" t="s">
        <v>277</v>
      </c>
      <c r="AS116" s="223" t="s">
        <v>1658</v>
      </c>
      <c r="AT116" s="234">
        <v>325180</v>
      </c>
      <c r="AU116" s="244">
        <f t="shared" si="30"/>
        <v>0</v>
      </c>
      <c r="AV116" s="244">
        <f t="shared" si="31"/>
        <v>0</v>
      </c>
      <c r="AW116" s="244">
        <f t="shared" si="32"/>
        <v>0</v>
      </c>
      <c r="AX116" s="244">
        <f t="shared" si="33"/>
        <v>0</v>
      </c>
      <c r="AY116" s="244">
        <f t="shared" si="34"/>
        <v>0</v>
      </c>
      <c r="AZ116">
        <v>0</v>
      </c>
    </row>
    <row r="117" spans="1:52" ht="15" customHeight="1" x14ac:dyDescent="0.35">
      <c r="A117" s="67" t="s">
        <v>277</v>
      </c>
      <c r="B117" s="67" t="s">
        <v>321</v>
      </c>
      <c r="C117" s="67" t="s">
        <v>71</v>
      </c>
      <c r="D117" s="67" t="s">
        <v>71</v>
      </c>
      <c r="E117" s="67" t="s">
        <v>299</v>
      </c>
      <c r="F117" s="67" t="s">
        <v>293</v>
      </c>
      <c r="G117" s="67" t="s">
        <v>52</v>
      </c>
      <c r="H117" s="67" t="s">
        <v>300</v>
      </c>
      <c r="I117" s="110" t="s">
        <v>301</v>
      </c>
      <c r="J117" s="105">
        <v>0.45</v>
      </c>
      <c r="K117" s="228">
        <v>80</v>
      </c>
      <c r="L117" s="269"/>
      <c r="M117" s="269"/>
      <c r="N117" s="269"/>
      <c r="O117" s="269"/>
      <c r="P117" s="269">
        <v>1</v>
      </c>
      <c r="Q117" s="269">
        <v>8</v>
      </c>
      <c r="R117" s="269"/>
      <c r="S117" s="67" t="s">
        <v>285</v>
      </c>
      <c r="T117" s="70"/>
      <c r="U117" s="238">
        <f t="shared" si="20"/>
        <v>8.2799999999999999E-2</v>
      </c>
      <c r="V117" s="238">
        <f t="shared" si="21"/>
        <v>0</v>
      </c>
      <c r="W117" s="238">
        <f t="shared" si="22"/>
        <v>8.2799999999999999E-2</v>
      </c>
      <c r="X117" s="238">
        <f t="shared" si="23"/>
        <v>0</v>
      </c>
      <c r="Y117" s="238">
        <f t="shared" si="24"/>
        <v>0</v>
      </c>
      <c r="Z117" s="91">
        <v>8.2799999999999999E-2</v>
      </c>
      <c r="AA117" s="70"/>
      <c r="AB117" s="70">
        <v>8.2799999999999999E-2</v>
      </c>
      <c r="AC117" s="70"/>
      <c r="AD117" s="71"/>
      <c r="AE117" s="233"/>
      <c r="AF117" s="72"/>
      <c r="AG117" s="73">
        <v>4.7415185504090056</v>
      </c>
      <c r="AH117" s="93">
        <v>0.39259773597386566</v>
      </c>
      <c r="AI117" s="93">
        <v>0</v>
      </c>
      <c r="AJ117" s="93">
        <v>0.39259773597386566</v>
      </c>
      <c r="AK117" s="93">
        <v>0</v>
      </c>
      <c r="AL117" s="94">
        <v>0</v>
      </c>
      <c r="AM117" s="202">
        <f t="shared" si="25"/>
        <v>2.3751912443742592E-5</v>
      </c>
      <c r="AN117" s="202">
        <f t="shared" si="26"/>
        <v>0</v>
      </c>
      <c r="AO117" s="202">
        <f t="shared" si="27"/>
        <v>2.3751912443742592E-5</v>
      </c>
      <c r="AP117" s="202">
        <f t="shared" si="28"/>
        <v>0</v>
      </c>
      <c r="AQ117" s="202">
        <f t="shared" si="29"/>
        <v>0</v>
      </c>
      <c r="AR117" s="209" t="s">
        <v>277</v>
      </c>
      <c r="AS117" s="223" t="s">
        <v>1658</v>
      </c>
      <c r="AT117" s="234">
        <v>325180</v>
      </c>
      <c r="AU117" s="244">
        <f t="shared" si="30"/>
        <v>0.39259773597386566</v>
      </c>
      <c r="AV117" s="244">
        <f t="shared" si="31"/>
        <v>0</v>
      </c>
      <c r="AW117" s="244">
        <f t="shared" si="32"/>
        <v>0.39259773597386566</v>
      </c>
      <c r="AX117" s="244">
        <f t="shared" si="33"/>
        <v>0</v>
      </c>
      <c r="AY117" s="244">
        <f t="shared" si="34"/>
        <v>0</v>
      </c>
      <c r="AZ117">
        <v>9.4039890766950664E-5</v>
      </c>
    </row>
    <row r="118" spans="1:52" ht="15" customHeight="1" x14ac:dyDescent="0.35">
      <c r="A118" s="67" t="s">
        <v>277</v>
      </c>
      <c r="B118" s="67" t="s">
        <v>321</v>
      </c>
      <c r="C118" s="67" t="s">
        <v>67</v>
      </c>
      <c r="D118" s="67" t="s">
        <v>188</v>
      </c>
      <c r="E118" s="67" t="s">
        <v>302</v>
      </c>
      <c r="F118" s="67" t="s">
        <v>293</v>
      </c>
      <c r="G118" s="67" t="s">
        <v>52</v>
      </c>
      <c r="H118" s="67" t="s">
        <v>303</v>
      </c>
      <c r="I118" s="67" t="s">
        <v>304</v>
      </c>
      <c r="J118" s="95"/>
      <c r="K118" s="228">
        <f t="shared" si="19"/>
        <v>14</v>
      </c>
      <c r="L118" s="269">
        <v>14</v>
      </c>
      <c r="M118" s="269">
        <v>25</v>
      </c>
      <c r="N118" s="269">
        <v>14</v>
      </c>
      <c r="O118" s="269">
        <v>8</v>
      </c>
      <c r="P118" s="269"/>
      <c r="Q118" s="269"/>
      <c r="R118" s="269"/>
      <c r="S118" s="67" t="s">
        <v>285</v>
      </c>
      <c r="T118" s="70"/>
      <c r="U118" s="238">
        <f t="shared" si="20"/>
        <v>0.24479999999999999</v>
      </c>
      <c r="V118" s="238">
        <f t="shared" si="21"/>
        <v>0</v>
      </c>
      <c r="W118" s="238">
        <f t="shared" si="22"/>
        <v>0.24479999999999999</v>
      </c>
      <c r="X118" s="238">
        <f t="shared" si="23"/>
        <v>0</v>
      </c>
      <c r="Y118" s="238">
        <f t="shared" si="24"/>
        <v>0</v>
      </c>
      <c r="Z118" s="91">
        <v>0.24479999999999999</v>
      </c>
      <c r="AA118" s="70"/>
      <c r="AB118" s="70">
        <v>0.24479999999999999</v>
      </c>
      <c r="AC118" s="70"/>
      <c r="AD118" s="71"/>
      <c r="AE118" s="233"/>
      <c r="AF118" s="72"/>
      <c r="AG118" s="73">
        <v>3.7932148403272046</v>
      </c>
      <c r="AH118" s="93">
        <v>0.92857899291209967</v>
      </c>
      <c r="AI118" s="93">
        <v>0</v>
      </c>
      <c r="AJ118" s="93">
        <v>0.92857899291209967</v>
      </c>
      <c r="AK118" s="93">
        <v>0</v>
      </c>
      <c r="AL118" s="94">
        <v>0</v>
      </c>
      <c r="AM118" s="202">
        <f t="shared" si="25"/>
        <v>5.6178436388678133E-5</v>
      </c>
      <c r="AN118" s="202">
        <f t="shared" si="26"/>
        <v>0</v>
      </c>
      <c r="AO118" s="202">
        <f t="shared" si="27"/>
        <v>5.6178436388678133E-5</v>
      </c>
      <c r="AP118" s="202">
        <f t="shared" si="28"/>
        <v>0</v>
      </c>
      <c r="AQ118" s="202">
        <f t="shared" si="29"/>
        <v>0</v>
      </c>
      <c r="AR118" s="209" t="s">
        <v>277</v>
      </c>
      <c r="AS118" s="223" t="s">
        <v>1658</v>
      </c>
      <c r="AT118" s="234">
        <v>325180</v>
      </c>
      <c r="AU118" s="244">
        <f t="shared" si="30"/>
        <v>0.92857899291209967</v>
      </c>
      <c r="AV118" s="244">
        <f t="shared" si="31"/>
        <v>0</v>
      </c>
      <c r="AW118" s="244">
        <f t="shared" si="32"/>
        <v>0.92857899291209967</v>
      </c>
      <c r="AX118" s="244">
        <f t="shared" si="33"/>
        <v>0</v>
      </c>
      <c r="AY118" s="244">
        <f t="shared" si="34"/>
        <v>0</v>
      </c>
      <c r="AZ118">
        <v>2.2242478511835288E-4</v>
      </c>
    </row>
    <row r="119" spans="1:52" ht="15" customHeight="1" x14ac:dyDescent="0.35">
      <c r="A119" s="67" t="s">
        <v>277</v>
      </c>
      <c r="B119" s="67" t="s">
        <v>321</v>
      </c>
      <c r="C119" s="67" t="s">
        <v>74</v>
      </c>
      <c r="D119" s="67" t="s">
        <v>140</v>
      </c>
      <c r="E119" s="67" t="s">
        <v>305</v>
      </c>
      <c r="F119" s="67" t="s">
        <v>306</v>
      </c>
      <c r="G119" s="67" t="s">
        <v>52</v>
      </c>
      <c r="H119" s="67" t="s">
        <v>143</v>
      </c>
      <c r="I119" s="67" t="s">
        <v>309</v>
      </c>
      <c r="J119" s="105">
        <v>0.8</v>
      </c>
      <c r="K119" s="228">
        <f t="shared" si="19"/>
        <v>160</v>
      </c>
      <c r="L119" s="269">
        <v>160</v>
      </c>
      <c r="M119" s="269">
        <v>90</v>
      </c>
      <c r="N119" s="269">
        <v>160</v>
      </c>
      <c r="O119" s="269"/>
      <c r="P119" s="269"/>
      <c r="Q119" s="269"/>
      <c r="R119" s="269"/>
      <c r="S119" s="67" t="s">
        <v>285</v>
      </c>
      <c r="T119" s="70"/>
      <c r="U119" s="238">
        <f t="shared" si="20"/>
        <v>1.2195121951219512</v>
      </c>
      <c r="V119" s="238">
        <f t="shared" si="21"/>
        <v>0</v>
      </c>
      <c r="W119" s="238">
        <f t="shared" si="22"/>
        <v>0</v>
      </c>
      <c r="X119" s="238">
        <f t="shared" si="23"/>
        <v>0</v>
      </c>
      <c r="Y119" s="238">
        <f t="shared" si="24"/>
        <v>1.2195121951219512</v>
      </c>
      <c r="Z119" s="91">
        <v>1.2195121951219512</v>
      </c>
      <c r="AA119" s="70"/>
      <c r="AB119" s="70"/>
      <c r="AC119" s="70"/>
      <c r="AD119" s="71">
        <v>1.2195121951219512</v>
      </c>
      <c r="AE119" s="233">
        <v>199</v>
      </c>
      <c r="AF119" s="72">
        <v>10.4</v>
      </c>
      <c r="AG119" s="73">
        <v>4.7415185504090056</v>
      </c>
      <c r="AH119" s="93">
        <v>5.7823396956207382</v>
      </c>
      <c r="AI119" s="93">
        <v>0</v>
      </c>
      <c r="AJ119" s="93">
        <v>0</v>
      </c>
      <c r="AK119" s="93">
        <v>0</v>
      </c>
      <c r="AL119" s="94">
        <v>5.7823396956207382</v>
      </c>
      <c r="AM119" s="202">
        <f t="shared" si="25"/>
        <v>3.4982786090112218E-4</v>
      </c>
      <c r="AN119" s="202">
        <f t="shared" si="26"/>
        <v>0</v>
      </c>
      <c r="AO119" s="202">
        <f t="shared" si="27"/>
        <v>0</v>
      </c>
      <c r="AP119" s="202">
        <f t="shared" si="28"/>
        <v>0</v>
      </c>
      <c r="AQ119" s="202">
        <f t="shared" si="29"/>
        <v>3.4982786090112218E-4</v>
      </c>
      <c r="AR119" s="209" t="s">
        <v>277</v>
      </c>
      <c r="AS119" s="223" t="s">
        <v>1658</v>
      </c>
      <c r="AT119" s="234">
        <v>325180</v>
      </c>
      <c r="AU119" s="244">
        <f t="shared" si="30"/>
        <v>5.7823396956207382</v>
      </c>
      <c r="AV119" s="244">
        <f t="shared" si="31"/>
        <v>0</v>
      </c>
      <c r="AW119" s="244">
        <f t="shared" si="32"/>
        <v>0</v>
      </c>
      <c r="AX119" s="244">
        <f t="shared" si="33"/>
        <v>0</v>
      </c>
      <c r="AY119" s="244">
        <f t="shared" si="34"/>
        <v>5.7823396956207382</v>
      </c>
      <c r="AZ119">
        <v>1.3850578939400063E-3</v>
      </c>
    </row>
    <row r="120" spans="1:52" ht="15" customHeight="1" x14ac:dyDescent="0.35">
      <c r="A120" s="67" t="s">
        <v>277</v>
      </c>
      <c r="B120" s="67" t="s">
        <v>321</v>
      </c>
      <c r="C120" s="67" t="s">
        <v>67</v>
      </c>
      <c r="D120" s="67" t="s">
        <v>67</v>
      </c>
      <c r="E120" s="67" t="s">
        <v>308</v>
      </c>
      <c r="F120" s="67" t="s">
        <v>306</v>
      </c>
      <c r="G120" s="67" t="s">
        <v>52</v>
      </c>
      <c r="H120" s="67" t="s">
        <v>95</v>
      </c>
      <c r="I120" s="67" t="s">
        <v>309</v>
      </c>
      <c r="J120" s="113">
        <v>0.53569999999999995</v>
      </c>
      <c r="K120" s="228">
        <f t="shared" si="19"/>
        <v>45</v>
      </c>
      <c r="L120" s="269">
        <v>45</v>
      </c>
      <c r="M120" s="269">
        <v>160</v>
      </c>
      <c r="N120" s="269">
        <v>45</v>
      </c>
      <c r="O120" s="269"/>
      <c r="P120" s="269"/>
      <c r="Q120" s="269"/>
      <c r="R120" s="269"/>
      <c r="S120" s="67" t="s">
        <v>285</v>
      </c>
      <c r="T120" s="70"/>
      <c r="U120" s="238">
        <f t="shared" si="20"/>
        <v>0.27</v>
      </c>
      <c r="V120" s="238">
        <f t="shared" si="21"/>
        <v>0</v>
      </c>
      <c r="W120" s="238">
        <f t="shared" si="22"/>
        <v>0.27</v>
      </c>
      <c r="X120" s="238">
        <f t="shared" si="23"/>
        <v>0</v>
      </c>
      <c r="Y120" s="238">
        <f t="shared" si="24"/>
        <v>0</v>
      </c>
      <c r="Z120" s="91">
        <v>0.27</v>
      </c>
      <c r="AA120" s="70"/>
      <c r="AB120" s="70">
        <v>0.27</v>
      </c>
      <c r="AC120" s="70"/>
      <c r="AD120" s="71"/>
      <c r="AE120" s="233"/>
      <c r="AF120" s="72"/>
      <c r="AG120" s="73">
        <v>4.7415185504090056</v>
      </c>
      <c r="AH120" s="93">
        <v>1.2802100086104315</v>
      </c>
      <c r="AI120" s="93">
        <v>0</v>
      </c>
      <c r="AJ120" s="93">
        <v>1.2802100086104315</v>
      </c>
      <c r="AK120" s="93">
        <v>0</v>
      </c>
      <c r="AL120" s="94">
        <v>0</v>
      </c>
      <c r="AM120" s="202">
        <f t="shared" si="25"/>
        <v>7.7451888403508461E-5</v>
      </c>
      <c r="AN120" s="202">
        <f t="shared" si="26"/>
        <v>0</v>
      </c>
      <c r="AO120" s="202">
        <f t="shared" si="27"/>
        <v>7.7451888403508461E-5</v>
      </c>
      <c r="AP120" s="202">
        <f t="shared" si="28"/>
        <v>0</v>
      </c>
      <c r="AQ120" s="202">
        <f t="shared" si="29"/>
        <v>0</v>
      </c>
      <c r="AR120" s="209" t="s">
        <v>277</v>
      </c>
      <c r="AS120" s="223" t="s">
        <v>1658</v>
      </c>
      <c r="AT120" s="234">
        <v>325180</v>
      </c>
      <c r="AU120" s="244">
        <f t="shared" si="30"/>
        <v>1.2802100086104315</v>
      </c>
      <c r="AV120" s="244">
        <f t="shared" si="31"/>
        <v>0</v>
      </c>
      <c r="AW120" s="244">
        <f t="shared" si="32"/>
        <v>1.2802100086104315</v>
      </c>
      <c r="AX120" s="244">
        <f t="shared" si="33"/>
        <v>0</v>
      </c>
      <c r="AY120" s="244">
        <f t="shared" si="34"/>
        <v>0</v>
      </c>
      <c r="AZ120">
        <v>3.0665181771831739E-4</v>
      </c>
    </row>
    <row r="121" spans="1:52" ht="15" customHeight="1" x14ac:dyDescent="0.35">
      <c r="A121" s="67" t="s">
        <v>277</v>
      </c>
      <c r="B121" s="67" t="s">
        <v>321</v>
      </c>
      <c r="C121" s="67" t="s">
        <v>67</v>
      </c>
      <c r="D121" s="67" t="s">
        <v>67</v>
      </c>
      <c r="E121" s="67" t="s">
        <v>310</v>
      </c>
      <c r="F121" s="67" t="s">
        <v>311</v>
      </c>
      <c r="G121" s="67" t="s">
        <v>52</v>
      </c>
      <c r="H121" s="67" t="s">
        <v>95</v>
      </c>
      <c r="I121" s="67" t="s">
        <v>316</v>
      </c>
      <c r="J121" s="68" t="s">
        <v>87</v>
      </c>
      <c r="K121" s="228">
        <f t="shared" si="19"/>
        <v>25</v>
      </c>
      <c r="L121" s="269">
        <v>25</v>
      </c>
      <c r="M121" s="269">
        <v>95</v>
      </c>
      <c r="N121" s="269">
        <v>25</v>
      </c>
      <c r="O121" s="269"/>
      <c r="P121" s="269"/>
      <c r="Q121" s="269"/>
      <c r="R121" s="269"/>
      <c r="S121" s="67" t="s">
        <v>285</v>
      </c>
      <c r="T121" s="70"/>
      <c r="U121" s="238">
        <f t="shared" si="20"/>
        <v>8.8133399999999989E-4</v>
      </c>
      <c r="V121" s="238">
        <f t="shared" si="21"/>
        <v>0</v>
      </c>
      <c r="W121" s="238">
        <f t="shared" si="22"/>
        <v>8.8133399999999989E-4</v>
      </c>
      <c r="X121" s="238">
        <f t="shared" si="23"/>
        <v>0</v>
      </c>
      <c r="Y121" s="238">
        <f t="shared" si="24"/>
        <v>0</v>
      </c>
      <c r="Z121" s="91">
        <v>8.8133399999999989E-4</v>
      </c>
      <c r="AA121" s="70"/>
      <c r="AB121" s="70">
        <v>8.8133399999999989E-4</v>
      </c>
      <c r="AC121" s="70"/>
      <c r="AD121" s="71"/>
      <c r="AE121" s="233"/>
      <c r="AF121" s="72"/>
      <c r="AG121" s="73">
        <v>4.7415185504090056</v>
      </c>
      <c r="AH121" s="93">
        <v>4.1788615101061698E-3</v>
      </c>
      <c r="AI121" s="93">
        <v>0</v>
      </c>
      <c r="AJ121" s="93">
        <v>4.1788615101061698E-3</v>
      </c>
      <c r="AK121" s="93">
        <v>0</v>
      </c>
      <c r="AL121" s="94">
        <v>0</v>
      </c>
      <c r="AM121" s="202">
        <f t="shared" si="25"/>
        <v>2.5281845412673224E-7</v>
      </c>
      <c r="AN121" s="202">
        <f t="shared" si="26"/>
        <v>0</v>
      </c>
      <c r="AO121" s="202">
        <f t="shared" si="27"/>
        <v>2.5281845412673224E-7</v>
      </c>
      <c r="AP121" s="202">
        <f t="shared" si="28"/>
        <v>0</v>
      </c>
      <c r="AQ121" s="202">
        <f t="shared" si="29"/>
        <v>0</v>
      </c>
      <c r="AR121" s="209" t="s">
        <v>277</v>
      </c>
      <c r="AS121" s="223" t="s">
        <v>1658</v>
      </c>
      <c r="AT121" s="234">
        <v>325180</v>
      </c>
      <c r="AU121" s="244">
        <f t="shared" si="30"/>
        <v>4.1788615101061698E-3</v>
      </c>
      <c r="AV121" s="244">
        <f t="shared" si="31"/>
        <v>0</v>
      </c>
      <c r="AW121" s="244">
        <f t="shared" si="32"/>
        <v>4.1788615101061698E-3</v>
      </c>
      <c r="AX121" s="244">
        <f t="shared" si="33"/>
        <v>0</v>
      </c>
      <c r="AY121" s="244">
        <f t="shared" si="34"/>
        <v>0</v>
      </c>
      <c r="AZ121">
        <v>1.0009728633961314E-6</v>
      </c>
    </row>
    <row r="122" spans="1:52" ht="15" customHeight="1" x14ac:dyDescent="0.35">
      <c r="A122" s="78" t="s">
        <v>277</v>
      </c>
      <c r="B122" s="67" t="s">
        <v>321</v>
      </c>
      <c r="C122" s="78" t="s">
        <v>71</v>
      </c>
      <c r="D122" s="67" t="s">
        <v>71</v>
      </c>
      <c r="E122" s="67" t="s">
        <v>313</v>
      </c>
      <c r="F122" s="67" t="s">
        <v>311</v>
      </c>
      <c r="G122" s="67" t="s">
        <v>52</v>
      </c>
      <c r="H122" s="67" t="s">
        <v>300</v>
      </c>
      <c r="I122" s="67" t="s">
        <v>314</v>
      </c>
      <c r="J122" s="105">
        <v>0.65</v>
      </c>
      <c r="K122" s="228">
        <v>80</v>
      </c>
      <c r="L122" s="269"/>
      <c r="M122" s="269"/>
      <c r="N122" s="269"/>
      <c r="O122" s="269"/>
      <c r="P122" s="269">
        <v>1.3</v>
      </c>
      <c r="Q122" s="269">
        <v>20</v>
      </c>
      <c r="R122" s="269"/>
      <c r="S122" s="66" t="s">
        <v>285</v>
      </c>
      <c r="T122" s="70"/>
      <c r="U122" s="238">
        <f t="shared" si="20"/>
        <v>0.17647199999999999</v>
      </c>
      <c r="V122" s="238">
        <f t="shared" si="21"/>
        <v>0</v>
      </c>
      <c r="W122" s="238">
        <f t="shared" si="22"/>
        <v>0.17647199999999999</v>
      </c>
      <c r="X122" s="238">
        <f t="shared" si="23"/>
        <v>0</v>
      </c>
      <c r="Y122" s="238">
        <f t="shared" si="24"/>
        <v>0</v>
      </c>
      <c r="Z122" s="91">
        <v>0.17647199999999999</v>
      </c>
      <c r="AA122" s="70"/>
      <c r="AB122" s="70">
        <v>0.17647199999999999</v>
      </c>
      <c r="AC122" s="70"/>
      <c r="AD122" s="71"/>
      <c r="AE122" s="233"/>
      <c r="AF122" s="72"/>
      <c r="AG122" s="73">
        <v>4.7415185504090056</v>
      </c>
      <c r="AH122" s="93">
        <v>0.83674526162777796</v>
      </c>
      <c r="AI122" s="93">
        <v>0</v>
      </c>
      <c r="AJ122" s="93">
        <v>0.83674526162777796</v>
      </c>
      <c r="AK122" s="93">
        <v>0</v>
      </c>
      <c r="AL122" s="94">
        <v>0</v>
      </c>
      <c r="AM122" s="202">
        <f t="shared" si="25"/>
        <v>5.0622554260533124E-5</v>
      </c>
      <c r="AN122" s="202">
        <f t="shared" si="26"/>
        <v>0</v>
      </c>
      <c r="AO122" s="202">
        <f t="shared" si="27"/>
        <v>5.0622554260533124E-5</v>
      </c>
      <c r="AP122" s="202">
        <f t="shared" si="28"/>
        <v>0</v>
      </c>
      <c r="AQ122" s="202">
        <f t="shared" si="29"/>
        <v>0</v>
      </c>
      <c r="AR122" s="213" t="s">
        <v>277</v>
      </c>
      <c r="AS122" s="223" t="s">
        <v>1658</v>
      </c>
      <c r="AT122" s="234">
        <v>325180</v>
      </c>
      <c r="AU122" s="244">
        <f t="shared" si="30"/>
        <v>0.83674526162777796</v>
      </c>
      <c r="AV122" s="244">
        <f t="shared" si="31"/>
        <v>0</v>
      </c>
      <c r="AW122" s="244">
        <f t="shared" si="32"/>
        <v>0.83674526162777796</v>
      </c>
      <c r="AX122" s="244">
        <f t="shared" si="33"/>
        <v>0</v>
      </c>
      <c r="AY122" s="244">
        <f t="shared" si="34"/>
        <v>0</v>
      </c>
      <c r="AZ122">
        <v>2.0042762806069222E-4</v>
      </c>
    </row>
    <row r="123" spans="1:52" ht="15" customHeight="1" x14ac:dyDescent="0.35">
      <c r="A123" s="67" t="s">
        <v>277</v>
      </c>
      <c r="B123" s="57" t="s">
        <v>322</v>
      </c>
      <c r="C123" s="67" t="s">
        <v>154</v>
      </c>
      <c r="D123" s="57" t="s">
        <v>279</v>
      </c>
      <c r="E123" s="57" t="s">
        <v>280</v>
      </c>
      <c r="F123" s="57" t="s">
        <v>281</v>
      </c>
      <c r="G123" s="57" t="s">
        <v>52</v>
      </c>
      <c r="H123" s="57" t="s">
        <v>282</v>
      </c>
      <c r="I123" s="115" t="s">
        <v>283</v>
      </c>
      <c r="J123" s="90"/>
      <c r="K123" s="228">
        <f t="shared" si="19"/>
        <v>25</v>
      </c>
      <c r="L123" s="269">
        <v>25</v>
      </c>
      <c r="M123" s="269"/>
      <c r="N123" s="269"/>
      <c r="O123" s="269"/>
      <c r="P123" s="269"/>
      <c r="Q123" s="269"/>
      <c r="R123" s="269" t="s">
        <v>284</v>
      </c>
      <c r="S123" s="57" t="s">
        <v>285</v>
      </c>
      <c r="T123" s="60">
        <v>1.7</v>
      </c>
      <c r="U123" s="238">
        <f t="shared" si="20"/>
        <v>0.20688311688311686</v>
      </c>
      <c r="V123" s="238">
        <f t="shared" si="21"/>
        <v>0</v>
      </c>
      <c r="W123" s="238">
        <f t="shared" si="22"/>
        <v>0.20688311688311686</v>
      </c>
      <c r="X123" s="238">
        <f t="shared" si="23"/>
        <v>0</v>
      </c>
      <c r="Y123" s="238">
        <f t="shared" si="24"/>
        <v>0</v>
      </c>
      <c r="Z123" s="91">
        <v>0.20688311688311686</v>
      </c>
      <c r="AA123" s="70"/>
      <c r="AB123" s="70">
        <v>0.20688311688311686</v>
      </c>
      <c r="AC123" s="70"/>
      <c r="AD123" s="71"/>
      <c r="AE123" s="59"/>
      <c r="AF123" s="62"/>
      <c r="AG123" s="63">
        <v>1.7384814495909953</v>
      </c>
      <c r="AH123" s="118">
        <v>0.35966246093486431</v>
      </c>
      <c r="AI123" s="118">
        <v>0</v>
      </c>
      <c r="AJ123" s="118">
        <v>0.35966246093486431</v>
      </c>
      <c r="AK123" s="118">
        <v>0</v>
      </c>
      <c r="AL123" s="119">
        <v>0</v>
      </c>
      <c r="AM123" s="202">
        <f t="shared" si="25"/>
        <v>2.175934932542391E-5</v>
      </c>
      <c r="AN123" s="202">
        <f t="shared" si="26"/>
        <v>0</v>
      </c>
      <c r="AO123" s="202">
        <f t="shared" si="27"/>
        <v>2.175934932542391E-5</v>
      </c>
      <c r="AP123" s="202">
        <f t="shared" si="28"/>
        <v>0</v>
      </c>
      <c r="AQ123" s="202">
        <f t="shared" si="29"/>
        <v>0</v>
      </c>
      <c r="AR123" s="209" t="s">
        <v>277</v>
      </c>
      <c r="AS123" s="223" t="s">
        <v>1658</v>
      </c>
      <c r="AT123" s="234">
        <v>325180</v>
      </c>
      <c r="AU123" s="244">
        <f t="shared" si="30"/>
        <v>0.35966246093486431</v>
      </c>
      <c r="AV123" s="244">
        <f t="shared" si="31"/>
        <v>0</v>
      </c>
      <c r="AW123" s="244">
        <f t="shared" si="32"/>
        <v>0.35966246093486431</v>
      </c>
      <c r="AX123" s="244">
        <f t="shared" si="33"/>
        <v>0</v>
      </c>
      <c r="AY123" s="244">
        <f t="shared" si="34"/>
        <v>0</v>
      </c>
      <c r="AZ123">
        <v>8.6150824215498783E-5</v>
      </c>
    </row>
    <row r="124" spans="1:52" ht="15" customHeight="1" x14ac:dyDescent="0.35">
      <c r="A124" s="67" t="s">
        <v>277</v>
      </c>
      <c r="B124" s="67" t="s">
        <v>322</v>
      </c>
      <c r="C124" s="67" t="s">
        <v>92</v>
      </c>
      <c r="D124" s="67" t="s">
        <v>229</v>
      </c>
      <c r="E124" s="67" t="s">
        <v>286</v>
      </c>
      <c r="F124" s="67" t="s">
        <v>281</v>
      </c>
      <c r="G124" s="67" t="s">
        <v>52</v>
      </c>
      <c r="H124" s="67" t="s">
        <v>95</v>
      </c>
      <c r="I124" s="67" t="s">
        <v>287</v>
      </c>
      <c r="J124" s="95"/>
      <c r="K124" s="228">
        <f t="shared" si="19"/>
        <v>90</v>
      </c>
      <c r="L124" s="269">
        <v>90</v>
      </c>
      <c r="M124" s="269">
        <v>25</v>
      </c>
      <c r="N124" s="269">
        <v>90</v>
      </c>
      <c r="O124" s="269"/>
      <c r="P124" s="269"/>
      <c r="Q124" s="269"/>
      <c r="R124" s="269"/>
      <c r="S124" s="67" t="s">
        <v>285</v>
      </c>
      <c r="T124" s="70"/>
      <c r="U124" s="238">
        <f t="shared" si="20"/>
        <v>0.76292787818816199</v>
      </c>
      <c r="V124" s="238">
        <f t="shared" si="21"/>
        <v>0</v>
      </c>
      <c r="W124" s="238">
        <f t="shared" si="22"/>
        <v>0</v>
      </c>
      <c r="X124" s="238">
        <f t="shared" si="23"/>
        <v>0</v>
      </c>
      <c r="Y124" s="238">
        <f t="shared" si="24"/>
        <v>0.76292787818816199</v>
      </c>
      <c r="Z124" s="117">
        <v>0.76292787818816199</v>
      </c>
      <c r="AA124" s="60"/>
      <c r="AB124" s="60"/>
      <c r="AC124" s="60"/>
      <c r="AD124" s="61">
        <v>0.76292787818816199</v>
      </c>
      <c r="AE124" s="120">
        <v>180</v>
      </c>
      <c r="AF124" s="121">
        <v>3.5</v>
      </c>
      <c r="AG124" s="73">
        <v>1.7384814495909953</v>
      </c>
      <c r="AH124" s="93">
        <v>1.3263359636059382</v>
      </c>
      <c r="AI124" s="93">
        <v>0</v>
      </c>
      <c r="AJ124" s="93">
        <v>0</v>
      </c>
      <c r="AK124" s="93">
        <v>0</v>
      </c>
      <c r="AL124" s="94">
        <v>1.3263359636059382</v>
      </c>
      <c r="AM124" s="202">
        <f t="shared" si="25"/>
        <v>8.0242479240003281E-5</v>
      </c>
      <c r="AN124" s="202">
        <f t="shared" si="26"/>
        <v>0</v>
      </c>
      <c r="AO124" s="202">
        <f t="shared" si="27"/>
        <v>0</v>
      </c>
      <c r="AP124" s="202">
        <f t="shared" si="28"/>
        <v>0</v>
      </c>
      <c r="AQ124" s="202">
        <f t="shared" si="29"/>
        <v>8.0242479240003281E-5</v>
      </c>
      <c r="AR124" s="209" t="s">
        <v>277</v>
      </c>
      <c r="AS124" s="223" t="s">
        <v>1658</v>
      </c>
      <c r="AT124" s="234">
        <v>325180</v>
      </c>
      <c r="AU124" s="244">
        <f t="shared" si="30"/>
        <v>1.3263359636059382</v>
      </c>
      <c r="AV124" s="244">
        <f t="shared" si="31"/>
        <v>0</v>
      </c>
      <c r="AW124" s="244">
        <f t="shared" si="32"/>
        <v>0</v>
      </c>
      <c r="AX124" s="244">
        <f t="shared" si="33"/>
        <v>0</v>
      </c>
      <c r="AY124" s="244">
        <f t="shared" si="34"/>
        <v>1.3263359636059382</v>
      </c>
      <c r="AZ124">
        <v>3.1770047992860453E-4</v>
      </c>
    </row>
    <row r="125" spans="1:52" ht="15" customHeight="1" x14ac:dyDescent="0.35">
      <c r="A125" s="67" t="s">
        <v>277</v>
      </c>
      <c r="B125" s="67" t="s">
        <v>322</v>
      </c>
      <c r="C125" s="67" t="s">
        <v>48</v>
      </c>
      <c r="D125" s="67" t="s">
        <v>288</v>
      </c>
      <c r="E125" s="67" t="s">
        <v>288</v>
      </c>
      <c r="F125" s="67" t="s">
        <v>289</v>
      </c>
      <c r="G125" s="67" t="s">
        <v>52</v>
      </c>
      <c r="H125" s="67" t="s">
        <v>290</v>
      </c>
      <c r="I125" s="67" t="s">
        <v>291</v>
      </c>
      <c r="J125" s="95"/>
      <c r="K125" s="228">
        <f t="shared" si="19"/>
        <v>90</v>
      </c>
      <c r="L125" s="269">
        <v>90</v>
      </c>
      <c r="M125" s="269"/>
      <c r="N125" s="269"/>
      <c r="O125" s="269">
        <v>1</v>
      </c>
      <c r="P125" s="269"/>
      <c r="Q125" s="269"/>
      <c r="R125" s="269"/>
      <c r="S125" s="67" t="s">
        <v>285</v>
      </c>
      <c r="T125" s="70"/>
      <c r="U125" s="238">
        <f t="shared" si="20"/>
        <v>9.36</v>
      </c>
      <c r="V125" s="238">
        <f t="shared" si="21"/>
        <v>0</v>
      </c>
      <c r="W125" s="238">
        <f t="shared" si="22"/>
        <v>9.36</v>
      </c>
      <c r="X125" s="238">
        <f t="shared" si="23"/>
        <v>0</v>
      </c>
      <c r="Y125" s="238">
        <f t="shared" si="24"/>
        <v>0</v>
      </c>
      <c r="Z125" s="91">
        <v>9.36</v>
      </c>
      <c r="AA125" s="70"/>
      <c r="AB125" s="70">
        <v>9.36</v>
      </c>
      <c r="AC125" s="70"/>
      <c r="AD125" s="71"/>
      <c r="AE125" s="233"/>
      <c r="AF125" s="72"/>
      <c r="AG125" s="73">
        <v>1.7384814495909953</v>
      </c>
      <c r="AH125" s="93">
        <v>16.272186368171713</v>
      </c>
      <c r="AI125" s="93">
        <v>0</v>
      </c>
      <c r="AJ125" s="93">
        <v>16.272186368171713</v>
      </c>
      <c r="AK125" s="93">
        <v>0</v>
      </c>
      <c r="AL125" s="94">
        <v>0</v>
      </c>
      <c r="AM125" s="202">
        <f t="shared" si="25"/>
        <v>9.8445688925420704E-4</v>
      </c>
      <c r="AN125" s="202">
        <f t="shared" si="26"/>
        <v>0</v>
      </c>
      <c r="AO125" s="202">
        <f t="shared" si="27"/>
        <v>9.8445688925420704E-4</v>
      </c>
      <c r="AP125" s="202">
        <f t="shared" si="28"/>
        <v>0</v>
      </c>
      <c r="AQ125" s="202">
        <f t="shared" si="29"/>
        <v>0</v>
      </c>
      <c r="AR125" s="209" t="s">
        <v>277</v>
      </c>
      <c r="AS125" s="223" t="s">
        <v>1658</v>
      </c>
      <c r="AT125" s="234">
        <v>325180</v>
      </c>
      <c r="AU125" s="244">
        <f t="shared" si="30"/>
        <v>16.272186368171713</v>
      </c>
      <c r="AV125" s="244">
        <f t="shared" si="31"/>
        <v>0</v>
      </c>
      <c r="AW125" s="244">
        <f t="shared" si="32"/>
        <v>16.272186368171713</v>
      </c>
      <c r="AX125" s="244">
        <f t="shared" si="33"/>
        <v>0</v>
      </c>
      <c r="AY125" s="244">
        <f t="shared" si="34"/>
        <v>0</v>
      </c>
      <c r="AZ125">
        <v>3.8977163859757863E-3</v>
      </c>
    </row>
    <row r="126" spans="1:52" ht="15" customHeight="1" x14ac:dyDescent="0.35">
      <c r="A126" s="67" t="s">
        <v>277</v>
      </c>
      <c r="B126" s="67" t="s">
        <v>322</v>
      </c>
      <c r="C126" s="67" t="s">
        <v>67</v>
      </c>
      <c r="D126" s="67" t="s">
        <v>67</v>
      </c>
      <c r="E126" s="67" t="s">
        <v>292</v>
      </c>
      <c r="F126" s="67" t="s">
        <v>293</v>
      </c>
      <c r="G126" s="67" t="s">
        <v>52</v>
      </c>
      <c r="H126" s="67" t="s">
        <v>294</v>
      </c>
      <c r="I126" s="109" t="s">
        <v>295</v>
      </c>
      <c r="J126" s="68" t="s">
        <v>87</v>
      </c>
      <c r="K126" s="228">
        <f t="shared" si="19"/>
        <v>25</v>
      </c>
      <c r="L126" s="269">
        <v>25</v>
      </c>
      <c r="M126" s="269">
        <v>95</v>
      </c>
      <c r="N126" s="269">
        <v>25</v>
      </c>
      <c r="O126" s="269"/>
      <c r="P126" s="269"/>
      <c r="Q126" s="269"/>
      <c r="R126" s="269"/>
      <c r="S126" s="67" t="s">
        <v>285</v>
      </c>
      <c r="T126" s="70"/>
      <c r="U126" s="238">
        <f t="shared" si="20"/>
        <v>9.7000000000000003E-2</v>
      </c>
      <c r="V126" s="238">
        <f t="shared" si="21"/>
        <v>0</v>
      </c>
      <c r="W126" s="238">
        <f t="shared" si="22"/>
        <v>9.7000000000000003E-2</v>
      </c>
      <c r="X126" s="238">
        <f t="shared" si="23"/>
        <v>0</v>
      </c>
      <c r="Y126" s="238">
        <f t="shared" si="24"/>
        <v>0</v>
      </c>
      <c r="Z126" s="91">
        <v>9.7000000000000003E-2</v>
      </c>
      <c r="AA126" s="70"/>
      <c r="AB126" s="70">
        <v>9.7000000000000003E-2</v>
      </c>
      <c r="AC126" s="70"/>
      <c r="AD126" s="71"/>
      <c r="AE126" s="233"/>
      <c r="AF126" s="72"/>
      <c r="AG126" s="73">
        <v>1.7384814495909953</v>
      </c>
      <c r="AH126" s="93">
        <v>0.16863270061032654</v>
      </c>
      <c r="AI126" s="93">
        <v>0</v>
      </c>
      <c r="AJ126" s="93">
        <v>0.16863270061032654</v>
      </c>
      <c r="AK126" s="93">
        <v>0</v>
      </c>
      <c r="AL126" s="94">
        <v>0</v>
      </c>
      <c r="AM126" s="202">
        <f t="shared" si="25"/>
        <v>1.0202170754023302E-5</v>
      </c>
      <c r="AN126" s="202">
        <f t="shared" si="26"/>
        <v>0</v>
      </c>
      <c r="AO126" s="202">
        <f t="shared" si="27"/>
        <v>1.0202170754023302E-5</v>
      </c>
      <c r="AP126" s="202">
        <f t="shared" si="28"/>
        <v>0</v>
      </c>
      <c r="AQ126" s="202">
        <f t="shared" si="29"/>
        <v>0</v>
      </c>
      <c r="AR126" s="209" t="s">
        <v>277</v>
      </c>
      <c r="AS126" s="223" t="s">
        <v>1658</v>
      </c>
      <c r="AT126" s="234">
        <v>325180</v>
      </c>
      <c r="AU126" s="244">
        <f t="shared" si="30"/>
        <v>0.16863270061032654</v>
      </c>
      <c r="AV126" s="244">
        <f t="shared" si="31"/>
        <v>0</v>
      </c>
      <c r="AW126" s="244">
        <f t="shared" si="32"/>
        <v>0.16863270061032654</v>
      </c>
      <c r="AX126" s="244">
        <f t="shared" si="33"/>
        <v>0</v>
      </c>
      <c r="AY126" s="244">
        <f t="shared" si="34"/>
        <v>0</v>
      </c>
      <c r="AZ126">
        <v>4.0393001008509754E-5</v>
      </c>
    </row>
    <row r="127" spans="1:52" ht="15" customHeight="1" x14ac:dyDescent="0.35">
      <c r="A127" s="67" t="s">
        <v>277</v>
      </c>
      <c r="B127" s="67" t="s">
        <v>322</v>
      </c>
      <c r="C127" s="67" t="s">
        <v>74</v>
      </c>
      <c r="D127" s="67" t="s">
        <v>75</v>
      </c>
      <c r="E127" s="67" t="s">
        <v>296</v>
      </c>
      <c r="F127" s="67" t="s">
        <v>293</v>
      </c>
      <c r="G127" s="67" t="s">
        <v>52</v>
      </c>
      <c r="H127" s="67" t="s">
        <v>297</v>
      </c>
      <c r="I127" s="67" t="s">
        <v>298</v>
      </c>
      <c r="J127" s="76" t="s">
        <v>78</v>
      </c>
      <c r="K127" s="228">
        <f t="shared" si="19"/>
        <v>25</v>
      </c>
      <c r="L127" s="269">
        <v>25</v>
      </c>
      <c r="M127" s="269"/>
      <c r="N127" s="269"/>
      <c r="O127" s="269"/>
      <c r="P127" s="269"/>
      <c r="Q127" s="269"/>
      <c r="R127" s="269"/>
      <c r="S127" s="67" t="s">
        <v>285</v>
      </c>
      <c r="T127" s="70"/>
      <c r="U127" s="238">
        <f t="shared" si="20"/>
        <v>0</v>
      </c>
      <c r="V127" s="238">
        <f t="shared" si="21"/>
        <v>0</v>
      </c>
      <c r="W127" s="238">
        <f t="shared" si="22"/>
        <v>0</v>
      </c>
      <c r="X127" s="238">
        <f t="shared" si="23"/>
        <v>0</v>
      </c>
      <c r="Y127" s="238">
        <f t="shared" si="24"/>
        <v>0</v>
      </c>
      <c r="Z127" s="91">
        <v>0</v>
      </c>
      <c r="AA127" s="70"/>
      <c r="AB127" s="70"/>
      <c r="AC127" s="70"/>
      <c r="AD127" s="71"/>
      <c r="AE127" s="233"/>
      <c r="AF127" s="72"/>
      <c r="AG127" s="73">
        <v>1.7384814495909953</v>
      </c>
      <c r="AH127" s="93">
        <v>0</v>
      </c>
      <c r="AI127" s="93">
        <v>0</v>
      </c>
      <c r="AJ127" s="93">
        <v>0</v>
      </c>
      <c r="AK127" s="93">
        <v>0</v>
      </c>
      <c r="AL127" s="94">
        <v>0</v>
      </c>
      <c r="AM127" s="202">
        <f t="shared" si="25"/>
        <v>0</v>
      </c>
      <c r="AN127" s="202">
        <f t="shared" si="26"/>
        <v>0</v>
      </c>
      <c r="AO127" s="202">
        <f t="shared" si="27"/>
        <v>0</v>
      </c>
      <c r="AP127" s="202">
        <f t="shared" si="28"/>
        <v>0</v>
      </c>
      <c r="AQ127" s="202">
        <f t="shared" si="29"/>
        <v>0</v>
      </c>
      <c r="AR127" s="209" t="s">
        <v>277</v>
      </c>
      <c r="AS127" s="223" t="s">
        <v>1658</v>
      </c>
      <c r="AT127" s="234">
        <v>325180</v>
      </c>
      <c r="AU127" s="244">
        <f t="shared" si="30"/>
        <v>0</v>
      </c>
      <c r="AV127" s="244">
        <f t="shared" si="31"/>
        <v>0</v>
      </c>
      <c r="AW127" s="244">
        <f t="shared" si="32"/>
        <v>0</v>
      </c>
      <c r="AX127" s="244">
        <f t="shared" si="33"/>
        <v>0</v>
      </c>
      <c r="AY127" s="244">
        <f t="shared" si="34"/>
        <v>0</v>
      </c>
      <c r="AZ127">
        <v>0</v>
      </c>
    </row>
    <row r="128" spans="1:52" ht="15" customHeight="1" x14ac:dyDescent="0.35">
      <c r="A128" s="67" t="s">
        <v>277</v>
      </c>
      <c r="B128" s="67" t="s">
        <v>322</v>
      </c>
      <c r="C128" s="67" t="s">
        <v>71</v>
      </c>
      <c r="D128" s="67" t="s">
        <v>71</v>
      </c>
      <c r="E128" s="67" t="s">
        <v>299</v>
      </c>
      <c r="F128" s="67" t="s">
        <v>293</v>
      </c>
      <c r="G128" s="67" t="s">
        <v>52</v>
      </c>
      <c r="H128" s="67" t="s">
        <v>300</v>
      </c>
      <c r="I128" s="110" t="s">
        <v>301</v>
      </c>
      <c r="J128" s="105">
        <v>0.45</v>
      </c>
      <c r="K128" s="228">
        <v>80</v>
      </c>
      <c r="L128" s="269"/>
      <c r="M128" s="269"/>
      <c r="N128" s="269"/>
      <c r="O128" s="269"/>
      <c r="P128" s="269">
        <v>1</v>
      </c>
      <c r="Q128" s="269">
        <v>8</v>
      </c>
      <c r="R128" s="269"/>
      <c r="S128" s="67" t="s">
        <v>285</v>
      </c>
      <c r="T128" s="70"/>
      <c r="U128" s="238">
        <f t="shared" si="20"/>
        <v>8.2799999999999999E-2</v>
      </c>
      <c r="V128" s="238">
        <f t="shared" si="21"/>
        <v>0</v>
      </c>
      <c r="W128" s="238">
        <f t="shared" si="22"/>
        <v>8.2799999999999999E-2</v>
      </c>
      <c r="X128" s="238">
        <f t="shared" si="23"/>
        <v>0</v>
      </c>
      <c r="Y128" s="238">
        <f t="shared" si="24"/>
        <v>0</v>
      </c>
      <c r="Z128" s="91">
        <v>8.2799999999999999E-2</v>
      </c>
      <c r="AA128" s="70"/>
      <c r="AB128" s="70">
        <v>8.2799999999999999E-2</v>
      </c>
      <c r="AC128" s="70"/>
      <c r="AD128" s="71"/>
      <c r="AE128" s="233"/>
      <c r="AF128" s="72"/>
      <c r="AG128" s="73">
        <v>1.7384814495909953</v>
      </c>
      <c r="AH128" s="93">
        <v>0.14394626402613442</v>
      </c>
      <c r="AI128" s="93">
        <v>0</v>
      </c>
      <c r="AJ128" s="93">
        <v>0.14394626402613442</v>
      </c>
      <c r="AK128" s="93">
        <v>0</v>
      </c>
      <c r="AL128" s="94">
        <v>0</v>
      </c>
      <c r="AM128" s="202">
        <f t="shared" si="25"/>
        <v>8.7086570972487565E-6</v>
      </c>
      <c r="AN128" s="202">
        <f t="shared" si="26"/>
        <v>0</v>
      </c>
      <c r="AO128" s="202">
        <f t="shared" si="27"/>
        <v>8.7086570972487565E-6</v>
      </c>
      <c r="AP128" s="202">
        <f t="shared" si="28"/>
        <v>0</v>
      </c>
      <c r="AQ128" s="202">
        <f t="shared" si="29"/>
        <v>0</v>
      </c>
      <c r="AR128" s="209" t="s">
        <v>277</v>
      </c>
      <c r="AS128" s="223" t="s">
        <v>1658</v>
      </c>
      <c r="AT128" s="234">
        <v>325180</v>
      </c>
      <c r="AU128" s="244">
        <f t="shared" si="30"/>
        <v>0.14394626402613442</v>
      </c>
      <c r="AV128" s="244">
        <f t="shared" si="31"/>
        <v>0</v>
      </c>
      <c r="AW128" s="244">
        <f t="shared" si="32"/>
        <v>0.14394626402613442</v>
      </c>
      <c r="AX128" s="244">
        <f t="shared" si="33"/>
        <v>0</v>
      </c>
      <c r="AY128" s="244">
        <f t="shared" si="34"/>
        <v>0</v>
      </c>
      <c r="AZ128">
        <v>3.4479798799016577E-5</v>
      </c>
    </row>
    <row r="129" spans="1:52" ht="15" customHeight="1" x14ac:dyDescent="0.35">
      <c r="A129" s="67" t="s">
        <v>277</v>
      </c>
      <c r="B129" s="67" t="s">
        <v>322</v>
      </c>
      <c r="C129" s="67" t="s">
        <v>67</v>
      </c>
      <c r="D129" s="67" t="s">
        <v>188</v>
      </c>
      <c r="E129" s="67" t="s">
        <v>302</v>
      </c>
      <c r="F129" s="67" t="s">
        <v>293</v>
      </c>
      <c r="G129" s="67" t="s">
        <v>52</v>
      </c>
      <c r="H129" s="67" t="s">
        <v>303</v>
      </c>
      <c r="I129" s="67" t="s">
        <v>304</v>
      </c>
      <c r="J129" s="95"/>
      <c r="K129" s="228">
        <f t="shared" si="19"/>
        <v>14</v>
      </c>
      <c r="L129" s="269">
        <v>14</v>
      </c>
      <c r="M129" s="269">
        <v>25</v>
      </c>
      <c r="N129" s="269">
        <v>14</v>
      </c>
      <c r="O129" s="269">
        <v>8</v>
      </c>
      <c r="P129" s="269"/>
      <c r="Q129" s="269"/>
      <c r="R129" s="269"/>
      <c r="S129" s="67" t="s">
        <v>285</v>
      </c>
      <c r="T129" s="70"/>
      <c r="U129" s="238">
        <f t="shared" si="20"/>
        <v>0.24479999999999999</v>
      </c>
      <c r="V129" s="238">
        <f t="shared" si="21"/>
        <v>0</v>
      </c>
      <c r="W129" s="238">
        <f t="shared" si="22"/>
        <v>0.24479999999999999</v>
      </c>
      <c r="X129" s="238">
        <f t="shared" si="23"/>
        <v>0</v>
      </c>
      <c r="Y129" s="238">
        <f t="shared" si="24"/>
        <v>0</v>
      </c>
      <c r="Z129" s="91">
        <v>0.24479999999999999</v>
      </c>
      <c r="AA129" s="70"/>
      <c r="AB129" s="70">
        <v>0.24479999999999999</v>
      </c>
      <c r="AC129" s="70"/>
      <c r="AD129" s="71"/>
      <c r="AE129" s="233"/>
      <c r="AF129" s="72"/>
      <c r="AG129" s="73">
        <v>1.3907851596727963</v>
      </c>
      <c r="AH129" s="93">
        <v>0.34046420708790048</v>
      </c>
      <c r="AI129" s="93">
        <v>0</v>
      </c>
      <c r="AJ129" s="93">
        <v>0.34046420708790048</v>
      </c>
      <c r="AK129" s="93">
        <v>0</v>
      </c>
      <c r="AL129" s="94">
        <v>0</v>
      </c>
      <c r="AM129" s="202">
        <f t="shared" si="25"/>
        <v>2.0597867221318797E-5</v>
      </c>
      <c r="AN129" s="202">
        <f t="shared" si="26"/>
        <v>0</v>
      </c>
      <c r="AO129" s="202">
        <f t="shared" si="27"/>
        <v>2.0597867221318797E-5</v>
      </c>
      <c r="AP129" s="202">
        <f t="shared" si="28"/>
        <v>0</v>
      </c>
      <c r="AQ129" s="202">
        <f t="shared" si="29"/>
        <v>0</v>
      </c>
      <c r="AR129" s="209" t="s">
        <v>277</v>
      </c>
      <c r="AS129" s="223" t="s">
        <v>1658</v>
      </c>
      <c r="AT129" s="234">
        <v>325180</v>
      </c>
      <c r="AU129" s="244">
        <f t="shared" si="30"/>
        <v>0.34046420708790048</v>
      </c>
      <c r="AV129" s="244">
        <f t="shared" si="31"/>
        <v>0</v>
      </c>
      <c r="AW129" s="244">
        <f t="shared" si="32"/>
        <v>0.34046420708790048</v>
      </c>
      <c r="AX129" s="244">
        <f t="shared" si="33"/>
        <v>0</v>
      </c>
      <c r="AY129" s="244">
        <f t="shared" si="34"/>
        <v>0</v>
      </c>
      <c r="AZ129">
        <v>8.1552219768108762E-5</v>
      </c>
    </row>
    <row r="130" spans="1:52" ht="15" customHeight="1" x14ac:dyDescent="0.35">
      <c r="A130" s="67" t="s">
        <v>277</v>
      </c>
      <c r="B130" s="67" t="s">
        <v>322</v>
      </c>
      <c r="C130" s="67" t="s">
        <v>74</v>
      </c>
      <c r="D130" s="67" t="s">
        <v>140</v>
      </c>
      <c r="E130" s="67" t="s">
        <v>305</v>
      </c>
      <c r="F130" s="67" t="s">
        <v>306</v>
      </c>
      <c r="G130" s="67" t="s">
        <v>52</v>
      </c>
      <c r="H130" s="67" t="s">
        <v>143</v>
      </c>
      <c r="I130" s="67" t="s">
        <v>309</v>
      </c>
      <c r="J130" s="105">
        <v>0.8</v>
      </c>
      <c r="K130" s="228">
        <f t="shared" si="19"/>
        <v>160</v>
      </c>
      <c r="L130" s="269">
        <v>160</v>
      </c>
      <c r="M130" s="269">
        <v>90</v>
      </c>
      <c r="N130" s="269">
        <v>160</v>
      </c>
      <c r="O130" s="269"/>
      <c r="P130" s="269"/>
      <c r="Q130" s="269"/>
      <c r="R130" s="269"/>
      <c r="S130" s="67" t="s">
        <v>285</v>
      </c>
      <c r="T130" s="70"/>
      <c r="U130" s="238">
        <f t="shared" si="20"/>
        <v>1</v>
      </c>
      <c r="V130" s="238">
        <f t="shared" si="21"/>
        <v>0</v>
      </c>
      <c r="W130" s="238">
        <f t="shared" si="22"/>
        <v>0</v>
      </c>
      <c r="X130" s="238">
        <f t="shared" si="23"/>
        <v>0</v>
      </c>
      <c r="Y130" s="238">
        <f t="shared" si="24"/>
        <v>1</v>
      </c>
      <c r="Z130" s="91">
        <v>1</v>
      </c>
      <c r="AA130" s="70"/>
      <c r="AB130" s="70"/>
      <c r="AC130" s="70"/>
      <c r="AD130" s="71">
        <v>1</v>
      </c>
      <c r="AE130" s="233">
        <v>199</v>
      </c>
      <c r="AF130" s="72">
        <v>10.4</v>
      </c>
      <c r="AG130" s="73">
        <v>1.7384814495909953</v>
      </c>
      <c r="AH130" s="93">
        <v>1.7384814495909953</v>
      </c>
      <c r="AI130" s="93">
        <v>0</v>
      </c>
      <c r="AJ130" s="93">
        <v>0</v>
      </c>
      <c r="AK130" s="93">
        <v>0</v>
      </c>
      <c r="AL130" s="94">
        <v>1.7384814495909953</v>
      </c>
      <c r="AM130" s="202">
        <f t="shared" si="25"/>
        <v>1.0517701808271446E-4</v>
      </c>
      <c r="AN130" s="202">
        <f t="shared" si="26"/>
        <v>0</v>
      </c>
      <c r="AO130" s="202">
        <f t="shared" si="27"/>
        <v>0</v>
      </c>
      <c r="AP130" s="202">
        <f t="shared" si="28"/>
        <v>0</v>
      </c>
      <c r="AQ130" s="202">
        <f t="shared" si="29"/>
        <v>1.0517701808271446E-4</v>
      </c>
      <c r="AR130" s="209" t="s">
        <v>277</v>
      </c>
      <c r="AS130" s="223" t="s">
        <v>1658</v>
      </c>
      <c r="AT130" s="234">
        <v>325180</v>
      </c>
      <c r="AU130" s="244">
        <f t="shared" si="30"/>
        <v>1.7384814495909953</v>
      </c>
      <c r="AV130" s="244">
        <f t="shared" si="31"/>
        <v>0</v>
      </c>
      <c r="AW130" s="244">
        <f t="shared" si="32"/>
        <v>0</v>
      </c>
      <c r="AX130" s="244">
        <f t="shared" si="33"/>
        <v>0</v>
      </c>
      <c r="AY130" s="244">
        <f t="shared" si="34"/>
        <v>1.7384814495909953</v>
      </c>
      <c r="AZ130">
        <v>4.1642269080937894E-4</v>
      </c>
    </row>
    <row r="131" spans="1:52" ht="15" customHeight="1" x14ac:dyDescent="0.35">
      <c r="A131" s="67" t="s">
        <v>277</v>
      </c>
      <c r="B131" s="67" t="s">
        <v>322</v>
      </c>
      <c r="C131" s="67" t="s">
        <v>67</v>
      </c>
      <c r="D131" s="67" t="s">
        <v>67</v>
      </c>
      <c r="E131" s="67" t="s">
        <v>308</v>
      </c>
      <c r="F131" s="67" t="s">
        <v>306</v>
      </c>
      <c r="G131" s="67" t="s">
        <v>52</v>
      </c>
      <c r="H131" s="67" t="s">
        <v>95</v>
      </c>
      <c r="I131" s="67" t="s">
        <v>309</v>
      </c>
      <c r="J131" s="113">
        <v>0.53569999999999995</v>
      </c>
      <c r="K131" s="228">
        <f t="shared" si="19"/>
        <v>45</v>
      </c>
      <c r="L131" s="269">
        <v>45</v>
      </c>
      <c r="M131" s="269">
        <v>160</v>
      </c>
      <c r="N131" s="269">
        <v>45</v>
      </c>
      <c r="O131" s="269"/>
      <c r="P131" s="269"/>
      <c r="Q131" s="269"/>
      <c r="R131" s="269"/>
      <c r="S131" s="67" t="s">
        <v>285</v>
      </c>
      <c r="T131" s="70"/>
      <c r="U131" s="238">
        <f t="shared" si="20"/>
        <v>0.27</v>
      </c>
      <c r="V131" s="238">
        <f t="shared" si="21"/>
        <v>0</v>
      </c>
      <c r="W131" s="238">
        <f t="shared" si="22"/>
        <v>0.27</v>
      </c>
      <c r="X131" s="238">
        <f t="shared" si="23"/>
        <v>0</v>
      </c>
      <c r="Y131" s="238">
        <f t="shared" si="24"/>
        <v>0</v>
      </c>
      <c r="Z131" s="91">
        <v>0.27</v>
      </c>
      <c r="AA131" s="70"/>
      <c r="AB131" s="70">
        <v>0.27</v>
      </c>
      <c r="AC131" s="70"/>
      <c r="AD131" s="71"/>
      <c r="AE131" s="233"/>
      <c r="AF131" s="72"/>
      <c r="AG131" s="73">
        <v>1.7384814495909953</v>
      </c>
      <c r="AH131" s="93">
        <v>0.46938999138956877</v>
      </c>
      <c r="AI131" s="93">
        <v>0</v>
      </c>
      <c r="AJ131" s="93">
        <v>0.46938999138956877</v>
      </c>
      <c r="AK131" s="93">
        <v>0</v>
      </c>
      <c r="AL131" s="94">
        <v>0</v>
      </c>
      <c r="AM131" s="202">
        <f t="shared" si="25"/>
        <v>2.8397794882332904E-5</v>
      </c>
      <c r="AN131" s="202">
        <f t="shared" si="26"/>
        <v>0</v>
      </c>
      <c r="AO131" s="202">
        <f t="shared" si="27"/>
        <v>2.8397794882332904E-5</v>
      </c>
      <c r="AP131" s="202">
        <f t="shared" si="28"/>
        <v>0</v>
      </c>
      <c r="AQ131" s="202">
        <f t="shared" si="29"/>
        <v>0</v>
      </c>
      <c r="AR131" s="209" t="s">
        <v>277</v>
      </c>
      <c r="AS131" s="223" t="s">
        <v>1658</v>
      </c>
      <c r="AT131" s="234">
        <v>325180</v>
      </c>
      <c r="AU131" s="244">
        <f t="shared" si="30"/>
        <v>0.46938999138956877</v>
      </c>
      <c r="AV131" s="244">
        <f t="shared" si="31"/>
        <v>0</v>
      </c>
      <c r="AW131" s="244">
        <f t="shared" si="32"/>
        <v>0.46938999138956877</v>
      </c>
      <c r="AX131" s="244">
        <f t="shared" si="33"/>
        <v>0</v>
      </c>
      <c r="AY131" s="244">
        <f t="shared" si="34"/>
        <v>0</v>
      </c>
      <c r="AZ131">
        <v>1.1243412651853232E-4</v>
      </c>
    </row>
    <row r="132" spans="1:52" ht="15" customHeight="1" x14ac:dyDescent="0.35">
      <c r="A132" s="67" t="s">
        <v>277</v>
      </c>
      <c r="B132" s="67" t="s">
        <v>322</v>
      </c>
      <c r="C132" s="67" t="s">
        <v>67</v>
      </c>
      <c r="D132" s="67" t="s">
        <v>67</v>
      </c>
      <c r="E132" s="67" t="s">
        <v>310</v>
      </c>
      <c r="F132" s="67" t="s">
        <v>311</v>
      </c>
      <c r="G132" s="67" t="s">
        <v>52</v>
      </c>
      <c r="H132" s="67" t="s">
        <v>95</v>
      </c>
      <c r="I132" s="67" t="s">
        <v>316</v>
      </c>
      <c r="J132" s="68" t="s">
        <v>87</v>
      </c>
      <c r="K132" s="228">
        <f t="shared" si="19"/>
        <v>25</v>
      </c>
      <c r="L132" s="269">
        <v>25</v>
      </c>
      <c r="M132" s="269">
        <v>95</v>
      </c>
      <c r="N132" s="269">
        <v>25</v>
      </c>
      <c r="O132" s="269"/>
      <c r="P132" s="269"/>
      <c r="Q132" s="269"/>
      <c r="R132" s="269"/>
      <c r="S132" s="67" t="s">
        <v>285</v>
      </c>
      <c r="T132" s="70"/>
      <c r="U132" s="238">
        <f t="shared" si="20"/>
        <v>8.8133399999999989E-4</v>
      </c>
      <c r="V132" s="238">
        <f t="shared" si="21"/>
        <v>0</v>
      </c>
      <c r="W132" s="238">
        <f t="shared" si="22"/>
        <v>8.8133399999999989E-4</v>
      </c>
      <c r="X132" s="238">
        <f t="shared" si="23"/>
        <v>0</v>
      </c>
      <c r="Y132" s="238">
        <f t="shared" si="24"/>
        <v>0</v>
      </c>
      <c r="Z132" s="91">
        <v>8.8133399999999989E-4</v>
      </c>
      <c r="AA132" s="70"/>
      <c r="AB132" s="70">
        <v>8.8133399999999989E-4</v>
      </c>
      <c r="AC132" s="70"/>
      <c r="AD132" s="71"/>
      <c r="AE132" s="233"/>
      <c r="AF132" s="72"/>
      <c r="AG132" s="73">
        <v>1.7384814495909953</v>
      </c>
      <c r="AH132" s="93">
        <v>1.5321828098938299E-3</v>
      </c>
      <c r="AI132" s="93">
        <v>0</v>
      </c>
      <c r="AJ132" s="93">
        <v>1.5321828098938299E-3</v>
      </c>
      <c r="AK132" s="93">
        <v>0</v>
      </c>
      <c r="AL132" s="94">
        <v>0</v>
      </c>
      <c r="AM132" s="202">
        <f t="shared" si="25"/>
        <v>9.2696082054911046E-8</v>
      </c>
      <c r="AN132" s="202">
        <f t="shared" si="26"/>
        <v>0</v>
      </c>
      <c r="AO132" s="202">
        <f t="shared" si="27"/>
        <v>9.2696082054911046E-8</v>
      </c>
      <c r="AP132" s="202">
        <f t="shared" si="28"/>
        <v>0</v>
      </c>
      <c r="AQ132" s="202">
        <f t="shared" si="29"/>
        <v>0</v>
      </c>
      <c r="AR132" s="209" t="s">
        <v>277</v>
      </c>
      <c r="AS132" s="223" t="s">
        <v>1658</v>
      </c>
      <c r="AT132" s="234">
        <v>325180</v>
      </c>
      <c r="AU132" s="244">
        <f t="shared" si="30"/>
        <v>1.5321828098938299E-3</v>
      </c>
      <c r="AV132" s="244">
        <f t="shared" si="31"/>
        <v>0</v>
      </c>
      <c r="AW132" s="244">
        <f t="shared" si="32"/>
        <v>1.5321828098938299E-3</v>
      </c>
      <c r="AX132" s="244">
        <f t="shared" si="33"/>
        <v>0</v>
      </c>
      <c r="AY132" s="244">
        <f t="shared" si="34"/>
        <v>0</v>
      </c>
      <c r="AZ132">
        <v>3.6700747578179309E-7</v>
      </c>
    </row>
    <row r="133" spans="1:52" ht="15" customHeight="1" x14ac:dyDescent="0.35">
      <c r="A133" s="67" t="s">
        <v>277</v>
      </c>
      <c r="B133" s="67" t="s">
        <v>322</v>
      </c>
      <c r="C133" s="67" t="s">
        <v>71</v>
      </c>
      <c r="D133" s="67" t="s">
        <v>71</v>
      </c>
      <c r="E133" s="67" t="s">
        <v>313</v>
      </c>
      <c r="F133" s="67" t="s">
        <v>311</v>
      </c>
      <c r="G133" s="67" t="s">
        <v>52</v>
      </c>
      <c r="H133" s="67" t="s">
        <v>300</v>
      </c>
      <c r="I133" s="67" t="s">
        <v>314</v>
      </c>
      <c r="J133" s="105">
        <v>0.65</v>
      </c>
      <c r="K133" s="228">
        <v>80</v>
      </c>
      <c r="L133" s="269"/>
      <c r="M133" s="269"/>
      <c r="N133" s="269"/>
      <c r="O133" s="269"/>
      <c r="P133" s="269">
        <v>1.3</v>
      </c>
      <c r="Q133" s="269">
        <v>20</v>
      </c>
      <c r="R133" s="269"/>
      <c r="S133" s="67" t="s">
        <v>285</v>
      </c>
      <c r="T133" s="70"/>
      <c r="U133" s="238">
        <f t="shared" ref="U133:U196" si="35">ABS(Z133)</f>
        <v>0.17647199999999999</v>
      </c>
      <c r="V133" s="238">
        <f t="shared" ref="V133:V196" si="36">ABS(AA133)</f>
        <v>0</v>
      </c>
      <c r="W133" s="238">
        <f t="shared" ref="W133:W196" si="37">ABS(AB133)</f>
        <v>0.17647199999999999</v>
      </c>
      <c r="X133" s="238">
        <f t="shared" ref="X133:X196" si="38">ABS(AC133)</f>
        <v>0</v>
      </c>
      <c r="Y133" s="238">
        <f t="shared" ref="Y133:Y196" si="39">ABS(AD133)</f>
        <v>0</v>
      </c>
      <c r="Z133" s="91">
        <v>0.17647199999999999</v>
      </c>
      <c r="AA133" s="70"/>
      <c r="AB133" s="70">
        <v>0.17647199999999999</v>
      </c>
      <c r="AC133" s="70"/>
      <c r="AD133" s="71"/>
      <c r="AE133" s="233"/>
      <c r="AF133" s="72"/>
      <c r="AG133" s="73">
        <v>1.7384814495909953</v>
      </c>
      <c r="AH133" s="93">
        <v>0.30679329837222208</v>
      </c>
      <c r="AI133" s="93">
        <v>0</v>
      </c>
      <c r="AJ133" s="93">
        <v>0.30679329837222208</v>
      </c>
      <c r="AK133" s="93">
        <v>0</v>
      </c>
      <c r="AL133" s="94">
        <v>0</v>
      </c>
      <c r="AM133" s="202">
        <f t="shared" ref="AM133:AM196" si="40">AH133/16529.1</f>
        <v>1.8560798735092781E-5</v>
      </c>
      <c r="AN133" s="202">
        <f t="shared" ref="AN133:AN196" si="41">AI133/16529.1</f>
        <v>0</v>
      </c>
      <c r="AO133" s="202">
        <f t="shared" ref="AO133:AO196" si="42">AJ133/16529.1</f>
        <v>1.8560798735092781E-5</v>
      </c>
      <c r="AP133" s="202">
        <f t="shared" ref="AP133:AP196" si="43">AK133/16529.1</f>
        <v>0</v>
      </c>
      <c r="AQ133" s="202">
        <f t="shared" ref="AQ133:AQ196" si="44">AL133/16529.1</f>
        <v>0</v>
      </c>
      <c r="AR133" s="209" t="s">
        <v>277</v>
      </c>
      <c r="AS133" s="223" t="s">
        <v>1658</v>
      </c>
      <c r="AT133" s="234">
        <v>325180</v>
      </c>
      <c r="AU133" s="244">
        <f t="shared" ref="AU133:AU196" si="45">ABS(AH133)</f>
        <v>0.30679329837222208</v>
      </c>
      <c r="AV133" s="244">
        <f t="shared" ref="AV133:AV196" si="46">ABS(AI133)</f>
        <v>0</v>
      </c>
      <c r="AW133" s="244">
        <f t="shared" ref="AW133:AW196" si="47">ABS(AJ133)</f>
        <v>0.30679329837222208</v>
      </c>
      <c r="AX133" s="244">
        <f t="shared" ref="AX133:AX196" si="48">ABS(AK133)</f>
        <v>0</v>
      </c>
      <c r="AY133" s="244">
        <f t="shared" ref="AY133:AY196" si="49">ABS(AL133)</f>
        <v>0</v>
      </c>
      <c r="AZ133">
        <v>7.3486945092512707E-5</v>
      </c>
    </row>
    <row r="134" spans="1:52" ht="15" customHeight="1" x14ac:dyDescent="0.35">
      <c r="A134" s="67" t="s">
        <v>277</v>
      </c>
      <c r="B134" s="78" t="s">
        <v>322</v>
      </c>
      <c r="C134" s="78" t="s">
        <v>62</v>
      </c>
      <c r="D134" s="78" t="s">
        <v>317</v>
      </c>
      <c r="E134" s="78" t="s">
        <v>317</v>
      </c>
      <c r="F134" s="78" t="s">
        <v>318</v>
      </c>
      <c r="G134" s="78" t="s">
        <v>52</v>
      </c>
      <c r="H134" s="78" t="s">
        <v>319</v>
      </c>
      <c r="I134" s="78" t="s">
        <v>320</v>
      </c>
      <c r="J134" s="111">
        <v>0.56999999999999995</v>
      </c>
      <c r="K134" s="228">
        <v>350</v>
      </c>
      <c r="L134" s="269"/>
      <c r="M134" s="269"/>
      <c r="N134" s="269"/>
      <c r="O134" s="269"/>
      <c r="P134" s="269"/>
      <c r="Q134" s="269"/>
      <c r="R134" s="269"/>
      <c r="S134" s="66" t="s">
        <v>285</v>
      </c>
      <c r="T134" s="82"/>
      <c r="U134" s="238">
        <f t="shared" si="35"/>
        <v>4.0976161493022154</v>
      </c>
      <c r="V134" s="238">
        <f t="shared" si="36"/>
        <v>0</v>
      </c>
      <c r="W134" s="238">
        <f t="shared" si="37"/>
        <v>3.6687958546077972</v>
      </c>
      <c r="X134" s="238">
        <f t="shared" si="38"/>
        <v>9.5293398820981743</v>
      </c>
      <c r="Y134" s="238">
        <f t="shared" si="39"/>
        <v>1.7629278781881621</v>
      </c>
      <c r="Z134" s="91">
        <v>4.0976161493022154</v>
      </c>
      <c r="AA134" s="70"/>
      <c r="AB134" s="70">
        <v>-3.6687958546077972</v>
      </c>
      <c r="AC134" s="70">
        <v>9.5293398820981743</v>
      </c>
      <c r="AD134" s="71">
        <v>-1.7629278781881621</v>
      </c>
      <c r="AE134" s="81">
        <v>400</v>
      </c>
      <c r="AF134" s="84">
        <v>45</v>
      </c>
      <c r="AG134" s="73">
        <v>1.7384814495909953</v>
      </c>
      <c r="AH134" s="101">
        <v>7.1236296631063878</v>
      </c>
      <c r="AI134" s="101">
        <v>0</v>
      </c>
      <c r="AJ134" s="101">
        <v>-6.3781335355719975</v>
      </c>
      <c r="AK134" s="101">
        <v>16.566580611875317</v>
      </c>
      <c r="AL134" s="102">
        <v>-3.0648174131969337</v>
      </c>
      <c r="AM134" s="202">
        <f t="shared" si="40"/>
        <v>4.3097504783118189E-4</v>
      </c>
      <c r="AN134" s="202">
        <f t="shared" si="41"/>
        <v>0</v>
      </c>
      <c r="AO134" s="202">
        <f t="shared" si="42"/>
        <v>-3.8587300794187211E-4</v>
      </c>
      <c r="AP134" s="202">
        <f t="shared" si="43"/>
        <v>1.0022675530957715E-3</v>
      </c>
      <c r="AQ134" s="202">
        <f t="shared" si="44"/>
        <v>-1.8541949732271774E-4</v>
      </c>
      <c r="AR134" s="209" t="s">
        <v>277</v>
      </c>
      <c r="AS134" s="223" t="s">
        <v>1658</v>
      </c>
      <c r="AT134" s="234">
        <v>325180</v>
      </c>
      <c r="AU134" s="244">
        <f t="shared" si="45"/>
        <v>7.1236296631063878</v>
      </c>
      <c r="AV134" s="244">
        <f t="shared" si="46"/>
        <v>0</v>
      </c>
      <c r="AW134" s="244">
        <f t="shared" si="47"/>
        <v>6.3781335355719975</v>
      </c>
      <c r="AX134" s="244">
        <f t="shared" si="48"/>
        <v>16.566580611875317</v>
      </c>
      <c r="AY134" s="244">
        <f t="shared" si="49"/>
        <v>3.0648174131969337</v>
      </c>
      <c r="AZ134">
        <v>1.7063403427963943E-3</v>
      </c>
    </row>
    <row r="135" spans="1:52" ht="15" customHeight="1" x14ac:dyDescent="0.35">
      <c r="A135" s="56" t="s">
        <v>323</v>
      </c>
      <c r="B135" s="57" t="s">
        <v>324</v>
      </c>
      <c r="C135" s="67" t="s">
        <v>99</v>
      </c>
      <c r="D135" s="57" t="s">
        <v>325</v>
      </c>
      <c r="E135" s="57" t="s">
        <v>325</v>
      </c>
      <c r="F135" s="57" t="s">
        <v>326</v>
      </c>
      <c r="G135" s="57" t="s">
        <v>327</v>
      </c>
      <c r="H135" s="57" t="s">
        <v>328</v>
      </c>
      <c r="I135" s="57" t="s">
        <v>328</v>
      </c>
      <c r="J135" s="56"/>
      <c r="K135" s="228">
        <v>30</v>
      </c>
      <c r="L135" s="269"/>
      <c r="M135" s="269"/>
      <c r="N135" s="269"/>
      <c r="O135" s="269"/>
      <c r="P135" s="269"/>
      <c r="Q135" s="269"/>
      <c r="R135" s="269"/>
      <c r="S135" s="56" t="s">
        <v>329</v>
      </c>
      <c r="T135" s="60"/>
      <c r="U135" s="238">
        <f t="shared" si="35"/>
        <v>1.466619052480163E-2</v>
      </c>
      <c r="V135" s="238">
        <f t="shared" si="36"/>
        <v>0</v>
      </c>
      <c r="W135" s="238">
        <f t="shared" si="37"/>
        <v>1.466619052480163E-2</v>
      </c>
      <c r="X135" s="238">
        <f t="shared" si="38"/>
        <v>0</v>
      </c>
      <c r="Y135" s="238">
        <f t="shared" si="39"/>
        <v>0</v>
      </c>
      <c r="Z135" s="99">
        <v>1.466619052480163E-2</v>
      </c>
      <c r="AA135" s="82"/>
      <c r="AB135" s="82">
        <v>1.466619052480163E-2</v>
      </c>
      <c r="AC135" s="82"/>
      <c r="AD135" s="83"/>
      <c r="AE135" s="123"/>
      <c r="AF135" s="124"/>
      <c r="AG135" s="122">
        <v>65.855908999999997</v>
      </c>
      <c r="AH135" s="63">
        <v>0.96585530857799839</v>
      </c>
      <c r="AI135" s="63">
        <v>0</v>
      </c>
      <c r="AJ135" s="63">
        <v>0.96585530857799839</v>
      </c>
      <c r="AK135" s="63">
        <v>0</v>
      </c>
      <c r="AL135" s="125">
        <v>0</v>
      </c>
      <c r="AM135" s="202">
        <f t="shared" si="40"/>
        <v>5.8433629694175635E-5</v>
      </c>
      <c r="AN135" s="202">
        <f t="shared" si="41"/>
        <v>0</v>
      </c>
      <c r="AO135" s="202">
        <f t="shared" si="42"/>
        <v>5.8433629694175635E-5</v>
      </c>
      <c r="AP135" s="202">
        <f t="shared" si="43"/>
        <v>0</v>
      </c>
      <c r="AQ135" s="202">
        <f t="shared" si="44"/>
        <v>0</v>
      </c>
      <c r="AR135" s="205" t="s">
        <v>323</v>
      </c>
      <c r="AS135" s="226" t="s">
        <v>1660</v>
      </c>
      <c r="AT135" s="234">
        <v>311224</v>
      </c>
      <c r="AU135" s="244">
        <f t="shared" si="45"/>
        <v>0.96585530857799839</v>
      </c>
      <c r="AV135" s="244">
        <f t="shared" si="46"/>
        <v>0</v>
      </c>
      <c r="AW135" s="244">
        <f t="shared" si="47"/>
        <v>0.96585530857799839</v>
      </c>
      <c r="AX135" s="244">
        <f t="shared" si="48"/>
        <v>0</v>
      </c>
      <c r="AY135" s="244">
        <f t="shared" si="49"/>
        <v>0</v>
      </c>
      <c r="AZ135">
        <v>7.4482769121110343E-4</v>
      </c>
    </row>
    <row r="136" spans="1:52" ht="15" customHeight="1" x14ac:dyDescent="0.35">
      <c r="A136" s="66" t="s">
        <v>323</v>
      </c>
      <c r="B136" s="67" t="s">
        <v>324</v>
      </c>
      <c r="C136" s="67" t="s">
        <v>154</v>
      </c>
      <c r="D136" s="67" t="s">
        <v>330</v>
      </c>
      <c r="E136" s="67" t="s">
        <v>331</v>
      </c>
      <c r="F136" s="67" t="s">
        <v>326</v>
      </c>
      <c r="G136" s="67" t="s">
        <v>327</v>
      </c>
      <c r="H136" s="67" t="s">
        <v>332</v>
      </c>
      <c r="I136" s="67" t="s">
        <v>333</v>
      </c>
      <c r="J136" s="66"/>
      <c r="K136" s="228">
        <v>30</v>
      </c>
      <c r="L136" s="269"/>
      <c r="M136" s="269"/>
      <c r="N136" s="269"/>
      <c r="O136" s="269"/>
      <c r="P136" s="269"/>
      <c r="Q136" s="269"/>
      <c r="R136" s="269"/>
      <c r="S136" s="66" t="s">
        <v>329</v>
      </c>
      <c r="T136" s="70"/>
      <c r="U136" s="238">
        <f t="shared" si="35"/>
        <v>1.9554920699735509E-2</v>
      </c>
      <c r="V136" s="238">
        <f t="shared" si="36"/>
        <v>0</v>
      </c>
      <c r="W136" s="238">
        <f t="shared" si="37"/>
        <v>1.9554920699735509E-2</v>
      </c>
      <c r="X136" s="238">
        <f t="shared" si="38"/>
        <v>0</v>
      </c>
      <c r="Y136" s="238">
        <f t="shared" si="39"/>
        <v>0</v>
      </c>
      <c r="Z136" s="60">
        <v>1.9554920699735509E-2</v>
      </c>
      <c r="AA136" s="60"/>
      <c r="AB136" s="60">
        <v>1.9554920699735509E-2</v>
      </c>
      <c r="AC136" s="60"/>
      <c r="AD136" s="61"/>
      <c r="AE136" s="127"/>
      <c r="AF136" s="128"/>
      <c r="AG136" s="126">
        <v>65.855908999999997</v>
      </c>
      <c r="AH136" s="73">
        <v>1.2878070781039979</v>
      </c>
      <c r="AI136" s="73">
        <v>0</v>
      </c>
      <c r="AJ136" s="73">
        <v>1.2878070781039979</v>
      </c>
      <c r="AK136" s="73">
        <v>0</v>
      </c>
      <c r="AL136" s="129">
        <v>0</v>
      </c>
      <c r="AM136" s="202">
        <f t="shared" si="40"/>
        <v>7.7911506258900842E-5</v>
      </c>
      <c r="AN136" s="202">
        <f t="shared" si="41"/>
        <v>0</v>
      </c>
      <c r="AO136" s="202">
        <f t="shared" si="42"/>
        <v>7.7911506258900842E-5</v>
      </c>
      <c r="AP136" s="202">
        <f t="shared" si="43"/>
        <v>0</v>
      </c>
      <c r="AQ136" s="202">
        <f t="shared" si="44"/>
        <v>0</v>
      </c>
      <c r="AR136" s="208" t="s">
        <v>323</v>
      </c>
      <c r="AS136" s="226" t="s">
        <v>1660</v>
      </c>
      <c r="AT136" s="234">
        <v>311224</v>
      </c>
      <c r="AU136" s="244">
        <f t="shared" si="45"/>
        <v>1.2878070781039979</v>
      </c>
      <c r="AV136" s="244">
        <f t="shared" si="46"/>
        <v>0</v>
      </c>
      <c r="AW136" s="244">
        <f t="shared" si="47"/>
        <v>1.2878070781039979</v>
      </c>
      <c r="AX136" s="244">
        <f t="shared" si="48"/>
        <v>0</v>
      </c>
      <c r="AY136" s="244">
        <f t="shared" si="49"/>
        <v>0</v>
      </c>
      <c r="AZ136">
        <v>9.9310358828147123E-4</v>
      </c>
    </row>
    <row r="137" spans="1:52" ht="15" customHeight="1" x14ac:dyDescent="0.35">
      <c r="A137" s="66" t="s">
        <v>323</v>
      </c>
      <c r="B137" s="67" t="s">
        <v>324</v>
      </c>
      <c r="C137" s="67" t="s">
        <v>92</v>
      </c>
      <c r="D137" s="67" t="s">
        <v>334</v>
      </c>
      <c r="E137" s="67" t="s">
        <v>335</v>
      </c>
      <c r="F137" s="67" t="s">
        <v>326</v>
      </c>
      <c r="G137" s="67" t="s">
        <v>327</v>
      </c>
      <c r="H137" s="67" t="s">
        <v>219</v>
      </c>
      <c r="I137" s="67" t="s">
        <v>336</v>
      </c>
      <c r="J137" s="105">
        <v>0.75</v>
      </c>
      <c r="K137" s="228">
        <f t="shared" ref="K137:K196" si="50">L137*1</f>
        <v>67.5</v>
      </c>
      <c r="L137" s="269">
        <v>67.5</v>
      </c>
      <c r="M137" s="269">
        <v>22</v>
      </c>
      <c r="N137" s="269">
        <v>67.5</v>
      </c>
      <c r="O137" s="269">
        <v>1</v>
      </c>
      <c r="P137" s="269"/>
      <c r="Q137" s="269"/>
      <c r="R137" s="269"/>
      <c r="S137" s="66" t="s">
        <v>329</v>
      </c>
      <c r="T137" s="70"/>
      <c r="U137" s="238">
        <f t="shared" si="35"/>
        <v>0.19617255285252733</v>
      </c>
      <c r="V137" s="238">
        <f t="shared" si="36"/>
        <v>0</v>
      </c>
      <c r="W137" s="238">
        <f t="shared" si="37"/>
        <v>1.4937786645631293E-2</v>
      </c>
      <c r="X137" s="238">
        <f t="shared" si="38"/>
        <v>0</v>
      </c>
      <c r="Y137" s="238">
        <f t="shared" si="39"/>
        <v>0.18123476620689602</v>
      </c>
      <c r="Z137" s="70">
        <v>0.19617255285252733</v>
      </c>
      <c r="AA137" s="70"/>
      <c r="AB137" s="70">
        <v>1.4937786645631293E-2</v>
      </c>
      <c r="AC137" s="70"/>
      <c r="AD137" s="71">
        <v>0.18123476620689602</v>
      </c>
      <c r="AE137" s="69">
        <v>121</v>
      </c>
      <c r="AF137" s="130">
        <v>2</v>
      </c>
      <c r="AG137" s="126">
        <v>65.855908999999997</v>
      </c>
      <c r="AH137" s="73">
        <v>12.91912178895373</v>
      </c>
      <c r="AI137" s="73">
        <v>0</v>
      </c>
      <c r="AJ137" s="73">
        <v>0.98374151799610965</v>
      </c>
      <c r="AK137" s="73">
        <v>0</v>
      </c>
      <c r="AL137" s="129">
        <v>11.935380270957619</v>
      </c>
      <c r="AM137" s="202">
        <f t="shared" si="40"/>
        <v>7.8159862236623471E-4</v>
      </c>
      <c r="AN137" s="202">
        <f t="shared" si="41"/>
        <v>0</v>
      </c>
      <c r="AO137" s="202">
        <f t="shared" si="42"/>
        <v>5.9515733947771491E-5</v>
      </c>
      <c r="AP137" s="202">
        <f t="shared" si="43"/>
        <v>0</v>
      </c>
      <c r="AQ137" s="202">
        <f t="shared" si="44"/>
        <v>7.2208288841846323E-4</v>
      </c>
      <c r="AR137" s="208" t="s">
        <v>323</v>
      </c>
      <c r="AS137" s="226" t="s">
        <v>1660</v>
      </c>
      <c r="AT137" s="234">
        <v>311224</v>
      </c>
      <c r="AU137" s="244">
        <f t="shared" si="45"/>
        <v>12.91912178895373</v>
      </c>
      <c r="AV137" s="244">
        <f t="shared" si="46"/>
        <v>0</v>
      </c>
      <c r="AW137" s="244">
        <f t="shared" si="47"/>
        <v>0.98374151799610965</v>
      </c>
      <c r="AX137" s="244">
        <f t="shared" si="48"/>
        <v>0</v>
      </c>
      <c r="AY137" s="244">
        <f t="shared" si="49"/>
        <v>11.935380270957619</v>
      </c>
      <c r="AZ137">
        <v>9.9626927233111475E-3</v>
      </c>
    </row>
    <row r="138" spans="1:52" ht="15" customHeight="1" x14ac:dyDescent="0.35">
      <c r="A138" s="66" t="s">
        <v>323</v>
      </c>
      <c r="B138" s="67" t="s">
        <v>324</v>
      </c>
      <c r="C138" s="67" t="s">
        <v>99</v>
      </c>
      <c r="D138" s="67" t="s">
        <v>337</v>
      </c>
      <c r="E138" s="67" t="s">
        <v>338</v>
      </c>
      <c r="F138" s="67" t="s">
        <v>326</v>
      </c>
      <c r="G138" s="67" t="s">
        <v>327</v>
      </c>
      <c r="H138" s="67" t="s">
        <v>339</v>
      </c>
      <c r="I138" s="67" t="s">
        <v>339</v>
      </c>
      <c r="J138" s="105"/>
      <c r="K138" s="228">
        <f t="shared" si="50"/>
        <v>55</v>
      </c>
      <c r="L138" s="269">
        <v>55</v>
      </c>
      <c r="M138" s="269">
        <v>68</v>
      </c>
      <c r="N138" s="269">
        <v>55</v>
      </c>
      <c r="O138" s="269">
        <v>1</v>
      </c>
      <c r="P138" s="269"/>
      <c r="Q138" s="269"/>
      <c r="R138" s="269"/>
      <c r="S138" s="66" t="s">
        <v>329</v>
      </c>
      <c r="T138" s="70"/>
      <c r="U138" s="238">
        <f t="shared" si="35"/>
        <v>3.485483550647301E-2</v>
      </c>
      <c r="V138" s="238">
        <f t="shared" si="36"/>
        <v>0</v>
      </c>
      <c r="W138" s="238">
        <f t="shared" si="37"/>
        <v>3.485483550647301E-2</v>
      </c>
      <c r="X138" s="238">
        <f t="shared" si="38"/>
        <v>0</v>
      </c>
      <c r="Y138" s="238">
        <f t="shared" si="39"/>
        <v>0</v>
      </c>
      <c r="Z138" s="70">
        <v>3.485483550647301E-2</v>
      </c>
      <c r="AA138" s="70"/>
      <c r="AB138" s="70">
        <v>3.485483550647301E-2</v>
      </c>
      <c r="AC138" s="70"/>
      <c r="AD138" s="71"/>
      <c r="AE138" s="69"/>
      <c r="AF138" s="130"/>
      <c r="AG138" s="126">
        <v>65.855908999999997</v>
      </c>
      <c r="AH138" s="73">
        <v>2.2953968753242555</v>
      </c>
      <c r="AI138" s="73">
        <v>0</v>
      </c>
      <c r="AJ138" s="73">
        <v>2.2953968753242555</v>
      </c>
      <c r="AK138" s="73">
        <v>0</v>
      </c>
      <c r="AL138" s="129">
        <v>0</v>
      </c>
      <c r="AM138" s="202">
        <f t="shared" si="40"/>
        <v>1.3887004587813346E-4</v>
      </c>
      <c r="AN138" s="202">
        <f t="shared" si="41"/>
        <v>0</v>
      </c>
      <c r="AO138" s="202">
        <f t="shared" si="42"/>
        <v>1.3887004587813346E-4</v>
      </c>
      <c r="AP138" s="202">
        <f t="shared" si="43"/>
        <v>0</v>
      </c>
      <c r="AQ138" s="202">
        <f t="shared" si="44"/>
        <v>0</v>
      </c>
      <c r="AR138" s="208" t="s">
        <v>323</v>
      </c>
      <c r="AS138" s="226" t="s">
        <v>1660</v>
      </c>
      <c r="AT138" s="234">
        <v>311224</v>
      </c>
      <c r="AU138" s="244">
        <f t="shared" si="45"/>
        <v>2.2953968753242555</v>
      </c>
      <c r="AV138" s="244">
        <f t="shared" si="46"/>
        <v>0</v>
      </c>
      <c r="AW138" s="244">
        <f t="shared" si="47"/>
        <v>2.2953968753242555</v>
      </c>
      <c r="AX138" s="244">
        <f t="shared" si="48"/>
        <v>0</v>
      </c>
      <c r="AY138" s="244">
        <f t="shared" si="49"/>
        <v>0</v>
      </c>
      <c r="AZ138">
        <v>1.7701151920757705E-3</v>
      </c>
    </row>
    <row r="139" spans="1:52" ht="15" customHeight="1" x14ac:dyDescent="0.35">
      <c r="A139" s="66" t="s">
        <v>323</v>
      </c>
      <c r="B139" s="67" t="s">
        <v>324</v>
      </c>
      <c r="C139" s="67" t="s">
        <v>154</v>
      </c>
      <c r="D139" s="67" t="s">
        <v>340</v>
      </c>
      <c r="E139" s="67" t="s">
        <v>341</v>
      </c>
      <c r="F139" s="67" t="s">
        <v>342</v>
      </c>
      <c r="G139" s="67" t="s">
        <v>327</v>
      </c>
      <c r="H139" s="67" t="s">
        <v>343</v>
      </c>
      <c r="I139" s="67" t="s">
        <v>343</v>
      </c>
      <c r="J139" s="105"/>
      <c r="K139" s="228">
        <f t="shared" si="50"/>
        <v>55</v>
      </c>
      <c r="L139" s="269">
        <v>55</v>
      </c>
      <c r="M139" s="269">
        <v>55</v>
      </c>
      <c r="N139" s="269">
        <v>55</v>
      </c>
      <c r="O139" s="269">
        <v>1</v>
      </c>
      <c r="P139" s="269"/>
      <c r="Q139" s="269"/>
      <c r="R139" s="269"/>
      <c r="S139" s="66" t="s">
        <v>329</v>
      </c>
      <c r="T139" s="70"/>
      <c r="U139" s="238">
        <f t="shared" si="35"/>
        <v>1.4937786645631293E-2</v>
      </c>
      <c r="V139" s="238">
        <f t="shared" si="36"/>
        <v>0</v>
      </c>
      <c r="W139" s="238">
        <f t="shared" si="37"/>
        <v>1.4937786645631293E-2</v>
      </c>
      <c r="X139" s="238">
        <f t="shared" si="38"/>
        <v>0</v>
      </c>
      <c r="Y139" s="238">
        <f t="shared" si="39"/>
        <v>0</v>
      </c>
      <c r="Z139" s="70">
        <v>1.4937786645631293E-2</v>
      </c>
      <c r="AA139" s="70"/>
      <c r="AB139" s="70">
        <v>1.4937786645631293E-2</v>
      </c>
      <c r="AC139" s="70"/>
      <c r="AD139" s="71"/>
      <c r="AE139" s="69"/>
      <c r="AF139" s="130"/>
      <c r="AG139" s="126">
        <v>65.855908999999997</v>
      </c>
      <c r="AH139" s="73">
        <v>0.98374151799610965</v>
      </c>
      <c r="AI139" s="73">
        <v>0</v>
      </c>
      <c r="AJ139" s="73">
        <v>0.98374151799610965</v>
      </c>
      <c r="AK139" s="73">
        <v>0</v>
      </c>
      <c r="AL139" s="129">
        <v>0</v>
      </c>
      <c r="AM139" s="202">
        <f t="shared" si="40"/>
        <v>5.9515733947771491E-5</v>
      </c>
      <c r="AN139" s="202">
        <f t="shared" si="41"/>
        <v>0</v>
      </c>
      <c r="AO139" s="202">
        <f t="shared" si="42"/>
        <v>5.9515733947771491E-5</v>
      </c>
      <c r="AP139" s="202">
        <f t="shared" si="43"/>
        <v>0</v>
      </c>
      <c r="AQ139" s="202">
        <f t="shared" si="44"/>
        <v>0</v>
      </c>
      <c r="AR139" s="208" t="s">
        <v>323</v>
      </c>
      <c r="AS139" s="226" t="s">
        <v>1660</v>
      </c>
      <c r="AT139" s="234">
        <v>311224</v>
      </c>
      <c r="AU139" s="244">
        <f t="shared" si="45"/>
        <v>0.98374151799610965</v>
      </c>
      <c r="AV139" s="244">
        <f t="shared" si="46"/>
        <v>0</v>
      </c>
      <c r="AW139" s="244">
        <f t="shared" si="47"/>
        <v>0.98374151799610965</v>
      </c>
      <c r="AX139" s="244">
        <f t="shared" si="48"/>
        <v>0</v>
      </c>
      <c r="AY139" s="244">
        <f t="shared" si="49"/>
        <v>0</v>
      </c>
      <c r="AZ139">
        <v>7.5862079660390176E-4</v>
      </c>
    </row>
    <row r="140" spans="1:52" ht="15" customHeight="1" x14ac:dyDescent="0.35">
      <c r="A140" s="66" t="s">
        <v>323</v>
      </c>
      <c r="B140" s="67" t="s">
        <v>324</v>
      </c>
      <c r="C140" s="67" t="s">
        <v>92</v>
      </c>
      <c r="D140" s="67" t="s">
        <v>344</v>
      </c>
      <c r="E140" s="67" t="s">
        <v>345</v>
      </c>
      <c r="F140" s="67" t="s">
        <v>346</v>
      </c>
      <c r="G140" s="67" t="s">
        <v>327</v>
      </c>
      <c r="H140" s="67" t="s">
        <v>347</v>
      </c>
      <c r="I140" s="67" t="s">
        <v>347</v>
      </c>
      <c r="J140" s="105">
        <v>0.75</v>
      </c>
      <c r="K140" s="228">
        <f t="shared" si="50"/>
        <v>102.5</v>
      </c>
      <c r="L140" s="269">
        <v>102.5</v>
      </c>
      <c r="M140" s="269">
        <v>55</v>
      </c>
      <c r="N140" s="269">
        <v>93</v>
      </c>
      <c r="O140" s="269">
        <v>1</v>
      </c>
      <c r="P140" s="269"/>
      <c r="Q140" s="269"/>
      <c r="R140" s="269"/>
      <c r="S140" s="66" t="s">
        <v>329</v>
      </c>
      <c r="T140" s="70"/>
      <c r="U140" s="238">
        <f t="shared" si="35"/>
        <v>0.22242448579937202</v>
      </c>
      <c r="V140" s="238">
        <f t="shared" si="36"/>
        <v>0</v>
      </c>
      <c r="W140" s="238">
        <f t="shared" si="37"/>
        <v>0</v>
      </c>
      <c r="X140" s="238">
        <f t="shared" si="38"/>
        <v>0</v>
      </c>
      <c r="Y140" s="238">
        <f t="shared" si="39"/>
        <v>0.22242448579937202</v>
      </c>
      <c r="Z140" s="70">
        <v>0.22242448579937202</v>
      </c>
      <c r="AA140" s="70"/>
      <c r="AB140" s="70"/>
      <c r="AC140" s="70"/>
      <c r="AD140" s="71">
        <v>0.22242448579937202</v>
      </c>
      <c r="AE140" s="69">
        <v>121</v>
      </c>
      <c r="AF140" s="130">
        <v>2</v>
      </c>
      <c r="AG140" s="126">
        <v>65.855908999999997</v>
      </c>
      <c r="AH140" s="73">
        <v>14.647966696175235</v>
      </c>
      <c r="AI140" s="73">
        <v>0</v>
      </c>
      <c r="AJ140" s="73">
        <v>0</v>
      </c>
      <c r="AK140" s="73">
        <v>0</v>
      </c>
      <c r="AL140" s="129">
        <v>14.647966696175235</v>
      </c>
      <c r="AM140" s="202">
        <f t="shared" si="40"/>
        <v>8.8619263578629422E-4</v>
      </c>
      <c r="AN140" s="202">
        <f t="shared" si="41"/>
        <v>0</v>
      </c>
      <c r="AO140" s="202">
        <f t="shared" si="42"/>
        <v>0</v>
      </c>
      <c r="AP140" s="202">
        <f t="shared" si="43"/>
        <v>0</v>
      </c>
      <c r="AQ140" s="202">
        <f t="shared" si="44"/>
        <v>8.8619263578629422E-4</v>
      </c>
      <c r="AR140" s="208" t="s">
        <v>323</v>
      </c>
      <c r="AS140" s="226" t="s">
        <v>1660</v>
      </c>
      <c r="AT140" s="234">
        <v>311224</v>
      </c>
      <c r="AU140" s="244">
        <f t="shared" si="45"/>
        <v>14.647966696175235</v>
      </c>
      <c r="AV140" s="244">
        <f t="shared" si="46"/>
        <v>0</v>
      </c>
      <c r="AW140" s="244">
        <f t="shared" si="47"/>
        <v>0</v>
      </c>
      <c r="AX140" s="244">
        <f t="shared" si="48"/>
        <v>0</v>
      </c>
      <c r="AY140" s="244">
        <f t="shared" si="49"/>
        <v>14.647966696175235</v>
      </c>
      <c r="AZ140">
        <v>1.1295906455504327E-2</v>
      </c>
    </row>
    <row r="141" spans="1:52" ht="15" customHeight="1" x14ac:dyDescent="0.35">
      <c r="A141" s="66" t="s">
        <v>323</v>
      </c>
      <c r="B141" s="67" t="s">
        <v>324</v>
      </c>
      <c r="C141" s="67" t="s">
        <v>74</v>
      </c>
      <c r="D141" s="67" t="s">
        <v>75</v>
      </c>
      <c r="E141" s="67" t="s">
        <v>348</v>
      </c>
      <c r="F141" s="67" t="s">
        <v>349</v>
      </c>
      <c r="G141" s="67" t="s">
        <v>327</v>
      </c>
      <c r="H141" s="67" t="s">
        <v>75</v>
      </c>
      <c r="I141" s="67" t="s">
        <v>350</v>
      </c>
      <c r="J141" s="76" t="s">
        <v>78</v>
      </c>
      <c r="K141" s="228">
        <f t="shared" si="50"/>
        <v>93</v>
      </c>
      <c r="L141" s="269">
        <v>93</v>
      </c>
      <c r="M141" s="269">
        <v>93</v>
      </c>
      <c r="N141" s="269">
        <v>93</v>
      </c>
      <c r="O141" s="269">
        <v>1</v>
      </c>
      <c r="P141" s="269"/>
      <c r="Q141" s="269"/>
      <c r="R141" s="269"/>
      <c r="S141" s="66" t="s">
        <v>329</v>
      </c>
      <c r="T141" s="70"/>
      <c r="U141" s="238">
        <f t="shared" si="35"/>
        <v>0.22694511318642932</v>
      </c>
      <c r="V141" s="238">
        <f t="shared" si="36"/>
        <v>0</v>
      </c>
      <c r="W141" s="238">
        <f t="shared" si="37"/>
        <v>0</v>
      </c>
      <c r="X141" s="238">
        <f t="shared" si="38"/>
        <v>0</v>
      </c>
      <c r="Y141" s="238">
        <f t="shared" si="39"/>
        <v>0.22694511318642932</v>
      </c>
      <c r="Z141" s="70">
        <v>0.22694511318642932</v>
      </c>
      <c r="AA141" s="70"/>
      <c r="AB141" s="70"/>
      <c r="AC141" s="70"/>
      <c r="AD141" s="71">
        <v>0.22694511318642932</v>
      </c>
      <c r="AE141" s="69">
        <v>176</v>
      </c>
      <c r="AF141" s="130">
        <v>9.36</v>
      </c>
      <c r="AG141" s="126">
        <v>65.855908999999997</v>
      </c>
      <c r="AH141" s="73">
        <v>14.945676722000188</v>
      </c>
      <c r="AI141" s="73">
        <v>0</v>
      </c>
      <c r="AJ141" s="73">
        <v>0</v>
      </c>
      <c r="AK141" s="73">
        <v>0</v>
      </c>
      <c r="AL141" s="129">
        <v>14.945676722000188</v>
      </c>
      <c r="AM141" s="202">
        <f t="shared" si="40"/>
        <v>9.0420390232984194E-4</v>
      </c>
      <c r="AN141" s="202">
        <f t="shared" si="41"/>
        <v>0</v>
      </c>
      <c r="AO141" s="202">
        <f t="shared" si="42"/>
        <v>0</v>
      </c>
      <c r="AP141" s="202">
        <f t="shared" si="43"/>
        <v>0</v>
      </c>
      <c r="AQ141" s="202">
        <f t="shared" si="44"/>
        <v>9.0420390232984194E-4</v>
      </c>
      <c r="AR141" s="208" t="s">
        <v>323</v>
      </c>
      <c r="AS141" s="226" t="s">
        <v>1660</v>
      </c>
      <c r="AT141" s="234">
        <v>311224</v>
      </c>
      <c r="AU141" s="244">
        <f t="shared" si="45"/>
        <v>14.945676722000188</v>
      </c>
      <c r="AV141" s="244">
        <f t="shared" si="46"/>
        <v>0</v>
      </c>
      <c r="AW141" s="244">
        <f t="shared" si="47"/>
        <v>0</v>
      </c>
      <c r="AX141" s="244">
        <f t="shared" si="48"/>
        <v>0</v>
      </c>
      <c r="AY141" s="244">
        <f t="shared" si="49"/>
        <v>14.945676722000188</v>
      </c>
      <c r="AZ141">
        <v>1.1525488121843215E-2</v>
      </c>
    </row>
    <row r="142" spans="1:52" ht="15" customHeight="1" x14ac:dyDescent="0.35">
      <c r="A142" s="77" t="s">
        <v>323</v>
      </c>
      <c r="B142" s="78" t="s">
        <v>324</v>
      </c>
      <c r="C142" s="78" t="s">
        <v>74</v>
      </c>
      <c r="D142" s="78" t="s">
        <v>140</v>
      </c>
      <c r="E142" s="78" t="s">
        <v>351</v>
      </c>
      <c r="F142" s="78" t="s">
        <v>352</v>
      </c>
      <c r="G142" s="78" t="s">
        <v>327</v>
      </c>
      <c r="H142" s="78" t="s">
        <v>143</v>
      </c>
      <c r="I142" s="78" t="s">
        <v>143</v>
      </c>
      <c r="J142" s="111">
        <v>0.75</v>
      </c>
      <c r="K142" s="228">
        <f t="shared" si="50"/>
        <v>68</v>
      </c>
      <c r="L142" s="269">
        <v>68</v>
      </c>
      <c r="M142" s="269">
        <v>38</v>
      </c>
      <c r="N142" s="269">
        <v>52</v>
      </c>
      <c r="O142" s="269">
        <v>0.34750000000000003</v>
      </c>
      <c r="P142" s="269"/>
      <c r="Q142" s="269"/>
      <c r="R142" s="269"/>
      <c r="S142" s="77" t="s">
        <v>329</v>
      </c>
      <c r="T142" s="82"/>
      <c r="U142" s="238">
        <f t="shared" si="35"/>
        <v>0.20771211478502857</v>
      </c>
      <c r="V142" s="238">
        <f t="shared" si="36"/>
        <v>0</v>
      </c>
      <c r="W142" s="238">
        <f t="shared" si="37"/>
        <v>1.5816479977727255E-2</v>
      </c>
      <c r="X142" s="238">
        <f t="shared" si="38"/>
        <v>0</v>
      </c>
      <c r="Y142" s="238">
        <f t="shared" si="39"/>
        <v>0.19189563480730132</v>
      </c>
      <c r="Z142" s="70">
        <v>0.20771211478502857</v>
      </c>
      <c r="AA142" s="70"/>
      <c r="AB142" s="70">
        <v>1.5816479977727255E-2</v>
      </c>
      <c r="AC142" s="70"/>
      <c r="AD142" s="71">
        <v>0.19189563480730132</v>
      </c>
      <c r="AE142" s="80">
        <v>121</v>
      </c>
      <c r="AF142" s="131">
        <v>2</v>
      </c>
      <c r="AG142" s="132">
        <v>65.855908999999997</v>
      </c>
      <c r="AH142" s="85">
        <v>13.679070129480396</v>
      </c>
      <c r="AI142" s="85">
        <v>0</v>
      </c>
      <c r="AJ142" s="85">
        <v>1.041608666113528</v>
      </c>
      <c r="AK142" s="85">
        <v>0</v>
      </c>
      <c r="AL142" s="133">
        <v>12.637461463366867</v>
      </c>
      <c r="AM142" s="202">
        <f t="shared" si="40"/>
        <v>8.2757501191718826E-4</v>
      </c>
      <c r="AN142" s="202">
        <f t="shared" si="41"/>
        <v>0</v>
      </c>
      <c r="AO142" s="202">
        <f t="shared" si="42"/>
        <v>6.3016659474111002E-5</v>
      </c>
      <c r="AP142" s="202">
        <f t="shared" si="43"/>
        <v>0</v>
      </c>
      <c r="AQ142" s="202">
        <f t="shared" si="44"/>
        <v>7.6455835244307725E-4</v>
      </c>
      <c r="AR142" s="212" t="s">
        <v>323</v>
      </c>
      <c r="AS142" s="226" t="s">
        <v>1660</v>
      </c>
      <c r="AT142" s="234">
        <v>311224</v>
      </c>
      <c r="AU142" s="244">
        <f t="shared" si="45"/>
        <v>13.679070129480396</v>
      </c>
      <c r="AV142" s="244">
        <f t="shared" si="46"/>
        <v>0</v>
      </c>
      <c r="AW142" s="244">
        <f t="shared" si="47"/>
        <v>1.041608666113528</v>
      </c>
      <c r="AX142" s="244">
        <f t="shared" si="48"/>
        <v>0</v>
      </c>
      <c r="AY142" s="244">
        <f t="shared" si="49"/>
        <v>12.637461463366867</v>
      </c>
      <c r="AZ142">
        <v>1.0548733471741196E-2</v>
      </c>
    </row>
    <row r="143" spans="1:52" ht="15.75" customHeight="1" x14ac:dyDescent="0.35">
      <c r="A143" s="56" t="s">
        <v>353</v>
      </c>
      <c r="B143" s="57" t="s">
        <v>354</v>
      </c>
      <c r="C143" s="67" t="s">
        <v>99</v>
      </c>
      <c r="D143" s="57" t="s">
        <v>355</v>
      </c>
      <c r="E143" s="57" t="s">
        <v>356</v>
      </c>
      <c r="F143" s="57" t="s">
        <v>357</v>
      </c>
      <c r="G143" s="57" t="s">
        <v>327</v>
      </c>
      <c r="H143" s="57" t="s">
        <v>358</v>
      </c>
      <c r="I143" s="57" t="s">
        <v>358</v>
      </c>
      <c r="J143" s="90"/>
      <c r="K143" s="228">
        <v>30</v>
      </c>
      <c r="L143" s="269"/>
      <c r="M143" s="269"/>
      <c r="N143" s="269"/>
      <c r="O143" s="269"/>
      <c r="P143" s="269"/>
      <c r="Q143" s="269"/>
      <c r="R143" s="269"/>
      <c r="S143" s="56" t="s">
        <v>359</v>
      </c>
      <c r="T143" s="60"/>
      <c r="U143" s="238">
        <f t="shared" si="35"/>
        <v>9.7110097110097108E-3</v>
      </c>
      <c r="V143" s="238">
        <f t="shared" si="36"/>
        <v>0</v>
      </c>
      <c r="W143" s="238">
        <f t="shared" si="37"/>
        <v>9.7110097110097108E-3</v>
      </c>
      <c r="X143" s="238">
        <f t="shared" si="38"/>
        <v>0</v>
      </c>
      <c r="Y143" s="238">
        <f t="shared" si="39"/>
        <v>0</v>
      </c>
      <c r="Z143" s="82">
        <v>9.7110097110097108E-3</v>
      </c>
      <c r="AA143" s="82"/>
      <c r="AB143" s="82">
        <v>9.7110097110097108E-3</v>
      </c>
      <c r="AC143" s="82"/>
      <c r="AD143" s="83"/>
      <c r="AE143" s="59"/>
      <c r="AF143" s="62"/>
      <c r="AG143" s="122">
        <v>174.77579</v>
      </c>
      <c r="AH143" s="63">
        <v>1.697249393939394</v>
      </c>
      <c r="AI143" s="63">
        <v>0</v>
      </c>
      <c r="AJ143" s="63">
        <v>1.697249393939394</v>
      </c>
      <c r="AK143" s="63">
        <v>0</v>
      </c>
      <c r="AL143" s="125">
        <v>0</v>
      </c>
      <c r="AM143" s="202">
        <f t="shared" si="40"/>
        <v>1.0268250503290524E-4</v>
      </c>
      <c r="AN143" s="202">
        <f t="shared" si="41"/>
        <v>0</v>
      </c>
      <c r="AO143" s="202">
        <f t="shared" si="42"/>
        <v>1.0268250503290524E-4</v>
      </c>
      <c r="AP143" s="202">
        <f t="shared" si="43"/>
        <v>0</v>
      </c>
      <c r="AQ143" s="202">
        <f t="shared" si="44"/>
        <v>0</v>
      </c>
      <c r="AR143" s="205" t="s">
        <v>353</v>
      </c>
      <c r="AS143" s="207" t="s">
        <v>1661</v>
      </c>
      <c r="AT143" s="234">
        <v>312120</v>
      </c>
      <c r="AU143" s="244">
        <f t="shared" si="45"/>
        <v>1.697249393939394</v>
      </c>
      <c r="AV143" s="244">
        <f t="shared" si="46"/>
        <v>0</v>
      </c>
      <c r="AW143" s="244">
        <f t="shared" si="47"/>
        <v>1.697249393939394</v>
      </c>
      <c r="AX143" s="244">
        <f t="shared" si="48"/>
        <v>0</v>
      </c>
      <c r="AY143" s="244">
        <f t="shared" si="49"/>
        <v>0</v>
      </c>
      <c r="AZ143">
        <v>6.0997282801056388E-3</v>
      </c>
    </row>
    <row r="144" spans="1:52" ht="15.75" customHeight="1" x14ac:dyDescent="0.35">
      <c r="A144" s="66" t="s">
        <v>353</v>
      </c>
      <c r="B144" s="67" t="s">
        <v>354</v>
      </c>
      <c r="C144" s="67" t="s">
        <v>99</v>
      </c>
      <c r="D144" s="67" t="s">
        <v>360</v>
      </c>
      <c r="E144" s="67" t="s">
        <v>361</v>
      </c>
      <c r="F144" s="67" t="s">
        <v>362</v>
      </c>
      <c r="G144" s="67" t="s">
        <v>327</v>
      </c>
      <c r="H144" s="67" t="s">
        <v>363</v>
      </c>
      <c r="I144" s="67" t="s">
        <v>364</v>
      </c>
      <c r="J144" s="105">
        <v>0.8</v>
      </c>
      <c r="K144" s="228">
        <f t="shared" si="50"/>
        <v>75</v>
      </c>
      <c r="L144" s="269">
        <v>75</v>
      </c>
      <c r="M144" s="269">
        <v>22</v>
      </c>
      <c r="N144" s="269">
        <v>75</v>
      </c>
      <c r="O144" s="269"/>
      <c r="P144" s="269"/>
      <c r="Q144" s="269"/>
      <c r="R144" s="269" t="s">
        <v>365</v>
      </c>
      <c r="S144" s="66" t="s">
        <v>359</v>
      </c>
      <c r="T144" s="70"/>
      <c r="U144" s="238">
        <f t="shared" si="35"/>
        <v>2.1060021060021059E-2</v>
      </c>
      <c r="V144" s="238">
        <f t="shared" si="36"/>
        <v>0</v>
      </c>
      <c r="W144" s="238">
        <f t="shared" si="37"/>
        <v>0</v>
      </c>
      <c r="X144" s="238">
        <f t="shared" si="38"/>
        <v>0</v>
      </c>
      <c r="Y144" s="238">
        <f t="shared" si="39"/>
        <v>2.1060021060021059E-2</v>
      </c>
      <c r="Z144" s="238">
        <v>2.1060021060021059E-2</v>
      </c>
      <c r="AA144" s="60"/>
      <c r="AB144" s="60"/>
      <c r="AC144" s="60"/>
      <c r="AD144" s="61">
        <v>2.1060021060021059E-2</v>
      </c>
      <c r="AE144" s="233">
        <v>110</v>
      </c>
      <c r="AF144" s="72">
        <v>1.427</v>
      </c>
      <c r="AG144" s="126">
        <v>174.77579</v>
      </c>
      <c r="AH144" s="73">
        <v>3.6807818181818179</v>
      </c>
      <c r="AI144" s="73">
        <v>0</v>
      </c>
      <c r="AJ144" s="73">
        <v>0</v>
      </c>
      <c r="AK144" s="73">
        <v>0</v>
      </c>
      <c r="AL144" s="129">
        <v>3.6807818181818179</v>
      </c>
      <c r="AM144" s="202">
        <f t="shared" si="40"/>
        <v>2.226849506737704E-4</v>
      </c>
      <c r="AN144" s="202">
        <f t="shared" si="41"/>
        <v>0</v>
      </c>
      <c r="AO144" s="202">
        <f t="shared" si="42"/>
        <v>0</v>
      </c>
      <c r="AP144" s="202">
        <f t="shared" si="43"/>
        <v>0</v>
      </c>
      <c r="AQ144" s="202">
        <f t="shared" si="44"/>
        <v>2.226849506737704E-4</v>
      </c>
      <c r="AR144" s="208" t="s">
        <v>353</v>
      </c>
      <c r="AS144" s="207" t="s">
        <v>1661</v>
      </c>
      <c r="AT144" s="234">
        <v>312120</v>
      </c>
      <c r="AU144" s="244">
        <f t="shared" si="45"/>
        <v>3.6807818181818179</v>
      </c>
      <c r="AV144" s="244">
        <f t="shared" si="46"/>
        <v>0</v>
      </c>
      <c r="AW144" s="244">
        <f t="shared" si="47"/>
        <v>0</v>
      </c>
      <c r="AX144" s="244">
        <f t="shared" si="48"/>
        <v>0</v>
      </c>
      <c r="AY144" s="244">
        <f t="shared" si="49"/>
        <v>3.6807818181818179</v>
      </c>
      <c r="AZ144">
        <v>1.3228326390590541E-2</v>
      </c>
    </row>
    <row r="145" spans="1:52" ht="15.75" customHeight="1" x14ac:dyDescent="0.35">
      <c r="A145" s="66" t="s">
        <v>353</v>
      </c>
      <c r="B145" s="67" t="s">
        <v>354</v>
      </c>
      <c r="C145" s="67" t="s">
        <v>154</v>
      </c>
      <c r="D145" s="67" t="s">
        <v>366</v>
      </c>
      <c r="E145" s="67" t="s">
        <v>367</v>
      </c>
      <c r="F145" s="67" t="s">
        <v>368</v>
      </c>
      <c r="G145" s="67" t="s">
        <v>327</v>
      </c>
      <c r="H145" s="67" t="s">
        <v>369</v>
      </c>
      <c r="I145" s="67" t="s">
        <v>370</v>
      </c>
      <c r="J145" s="95"/>
      <c r="K145" s="228">
        <f>N145</f>
        <v>65</v>
      </c>
      <c r="L145" s="269"/>
      <c r="M145" s="269">
        <v>75</v>
      </c>
      <c r="N145" s="269">
        <v>65</v>
      </c>
      <c r="O145" s="269"/>
      <c r="P145" s="269"/>
      <c r="Q145" s="269"/>
      <c r="R145" s="269"/>
      <c r="S145" s="66" t="s">
        <v>359</v>
      </c>
      <c r="T145" s="70"/>
      <c r="U145" s="238">
        <f t="shared" si="35"/>
        <v>2.5740025740025739E-3</v>
      </c>
      <c r="V145" s="238">
        <f t="shared" si="36"/>
        <v>0</v>
      </c>
      <c r="W145" s="238">
        <f t="shared" si="37"/>
        <v>2.5740025740025739E-3</v>
      </c>
      <c r="X145" s="238">
        <f t="shared" si="38"/>
        <v>0</v>
      </c>
      <c r="Y145" s="238">
        <f t="shared" si="39"/>
        <v>0</v>
      </c>
      <c r="Z145" s="158">
        <v>2.5740025740025739E-3</v>
      </c>
      <c r="AA145" s="70"/>
      <c r="AB145" s="70">
        <v>2.5740025740025739E-3</v>
      </c>
      <c r="AC145" s="70"/>
      <c r="AD145" s="71"/>
      <c r="AE145" s="233"/>
      <c r="AF145" s="72"/>
      <c r="AG145" s="126">
        <v>174.77579</v>
      </c>
      <c r="AH145" s="73">
        <v>0.44987333333333335</v>
      </c>
      <c r="AI145" s="73">
        <v>0</v>
      </c>
      <c r="AJ145" s="73">
        <v>0.44987333333333335</v>
      </c>
      <c r="AK145" s="73">
        <v>0</v>
      </c>
      <c r="AL145" s="129">
        <v>0</v>
      </c>
      <c r="AM145" s="202">
        <f t="shared" si="40"/>
        <v>2.7217049526794162E-5</v>
      </c>
      <c r="AN145" s="202">
        <f t="shared" si="41"/>
        <v>0</v>
      </c>
      <c r="AO145" s="202">
        <f t="shared" si="42"/>
        <v>2.7217049526794162E-5</v>
      </c>
      <c r="AP145" s="202">
        <f t="shared" si="43"/>
        <v>0</v>
      </c>
      <c r="AQ145" s="202">
        <f t="shared" si="44"/>
        <v>0</v>
      </c>
      <c r="AR145" s="208" t="s">
        <v>353</v>
      </c>
      <c r="AS145" s="207" t="s">
        <v>1661</v>
      </c>
      <c r="AT145" s="234">
        <v>312120</v>
      </c>
      <c r="AU145" s="244">
        <f t="shared" si="45"/>
        <v>0.44987333333333335</v>
      </c>
      <c r="AV145" s="244">
        <f t="shared" si="46"/>
        <v>0</v>
      </c>
      <c r="AW145" s="244">
        <f t="shared" si="47"/>
        <v>0.44987333333333335</v>
      </c>
      <c r="AX145" s="244">
        <f t="shared" si="48"/>
        <v>0</v>
      </c>
      <c r="AY145" s="244">
        <f t="shared" si="49"/>
        <v>0</v>
      </c>
      <c r="AZ145">
        <v>1.6167954477388439E-3</v>
      </c>
    </row>
    <row r="146" spans="1:52" s="234" customFormat="1" ht="15.75" customHeight="1" x14ac:dyDescent="0.35">
      <c r="A146" s="66" t="s">
        <v>353</v>
      </c>
      <c r="B146" s="67" t="s">
        <v>354</v>
      </c>
      <c r="C146" s="67" t="s">
        <v>92</v>
      </c>
      <c r="D146" s="67" t="s">
        <v>229</v>
      </c>
      <c r="E146" s="67" t="s">
        <v>371</v>
      </c>
      <c r="F146" s="67" t="s">
        <v>372</v>
      </c>
      <c r="G146" s="67" t="s">
        <v>327</v>
      </c>
      <c r="H146" s="67" t="s">
        <v>373</v>
      </c>
      <c r="I146" s="67" t="s">
        <v>374</v>
      </c>
      <c r="J146" s="105">
        <v>0.8</v>
      </c>
      <c r="K146" s="228">
        <f t="shared" si="50"/>
        <v>100</v>
      </c>
      <c r="L146" s="269">
        <v>100</v>
      </c>
      <c r="M146" s="269">
        <v>65</v>
      </c>
      <c r="N146" s="269">
        <v>100</v>
      </c>
      <c r="O146" s="269"/>
      <c r="P146" s="269"/>
      <c r="Q146" s="269"/>
      <c r="R146" s="269" t="s">
        <v>375</v>
      </c>
      <c r="S146" s="66" t="s">
        <v>359</v>
      </c>
      <c r="T146" s="70"/>
      <c r="U146" s="238">
        <f t="shared" si="35"/>
        <v>3.9195039195039194E-2</v>
      </c>
      <c r="V146" s="238">
        <f t="shared" si="36"/>
        <v>0</v>
      </c>
      <c r="W146" s="238">
        <f t="shared" si="37"/>
        <v>0</v>
      </c>
      <c r="X146" s="238">
        <f t="shared" si="38"/>
        <v>0</v>
      </c>
      <c r="Y146" s="238">
        <f t="shared" si="39"/>
        <v>3.9195039195039194E-2</v>
      </c>
      <c r="Z146" s="158">
        <v>3.9195039195039194E-2</v>
      </c>
      <c r="AA146" s="70"/>
      <c r="AB146" s="70"/>
      <c r="AC146" s="70"/>
      <c r="AD146" s="71">
        <v>3.9195039195039194E-2</v>
      </c>
      <c r="AE146" s="233">
        <v>152</v>
      </c>
      <c r="AF146" s="72">
        <v>5.0199999999999996</v>
      </c>
      <c r="AG146" s="126">
        <v>174.77579</v>
      </c>
      <c r="AH146" s="73">
        <v>6.8503439393939392</v>
      </c>
      <c r="AI146" s="73">
        <v>0</v>
      </c>
      <c r="AJ146" s="73">
        <v>0</v>
      </c>
      <c r="AK146" s="73">
        <v>0</v>
      </c>
      <c r="AL146" s="129">
        <v>6.8503439393939392</v>
      </c>
      <c r="AM146" s="202">
        <f t="shared" si="40"/>
        <v>4.144414359761838E-4</v>
      </c>
      <c r="AN146" s="202">
        <f t="shared" si="41"/>
        <v>0</v>
      </c>
      <c r="AO146" s="202">
        <f t="shared" si="42"/>
        <v>0</v>
      </c>
      <c r="AP146" s="202">
        <f t="shared" si="43"/>
        <v>0</v>
      </c>
      <c r="AQ146" s="202">
        <f t="shared" si="44"/>
        <v>4.144414359761838E-4</v>
      </c>
      <c r="AR146" s="208" t="s">
        <v>353</v>
      </c>
      <c r="AS146" s="207" t="s">
        <v>1661</v>
      </c>
      <c r="AT146" s="234">
        <v>312120</v>
      </c>
      <c r="AU146" s="244">
        <f t="shared" si="45"/>
        <v>6.8503439393939392</v>
      </c>
      <c r="AV146" s="244">
        <f t="shared" si="46"/>
        <v>0</v>
      </c>
      <c r="AW146" s="244">
        <f t="shared" si="47"/>
        <v>0</v>
      </c>
      <c r="AX146" s="244">
        <f t="shared" si="48"/>
        <v>0</v>
      </c>
      <c r="AY146" s="244">
        <f t="shared" si="49"/>
        <v>6.8503439393939392</v>
      </c>
      <c r="AZ146" s="234">
        <v>2.4619385226932397E-2</v>
      </c>
    </row>
    <row r="147" spans="1:52" ht="15.75" customHeight="1" x14ac:dyDescent="0.35">
      <c r="A147" s="66" t="s">
        <v>353</v>
      </c>
      <c r="B147" s="67" t="s">
        <v>354</v>
      </c>
      <c r="C147" s="67" t="s">
        <v>67</v>
      </c>
      <c r="D147" s="67" t="s">
        <v>67</v>
      </c>
      <c r="E147" s="67" t="s">
        <v>376</v>
      </c>
      <c r="F147" s="67" t="s">
        <v>377</v>
      </c>
      <c r="G147" s="67" t="s">
        <v>327</v>
      </c>
      <c r="H147" s="67" t="s">
        <v>95</v>
      </c>
      <c r="I147" s="67" t="s">
        <v>316</v>
      </c>
      <c r="J147" s="68" t="s">
        <v>87</v>
      </c>
      <c r="K147" s="228">
        <f>N147</f>
        <v>20</v>
      </c>
      <c r="L147" s="269"/>
      <c r="M147" s="269">
        <v>93</v>
      </c>
      <c r="N147" s="269">
        <v>20</v>
      </c>
      <c r="O147" s="269"/>
      <c r="P147" s="269"/>
      <c r="Q147" s="269"/>
      <c r="R147" s="269"/>
      <c r="S147" s="66" t="s">
        <v>359</v>
      </c>
      <c r="T147" s="70"/>
      <c r="U147" s="238">
        <f t="shared" si="35"/>
        <v>2.0475020475020474E-2</v>
      </c>
      <c r="V147" s="238">
        <f t="shared" si="36"/>
        <v>0</v>
      </c>
      <c r="W147" s="238">
        <f t="shared" si="37"/>
        <v>2.0475020475020474E-2</v>
      </c>
      <c r="X147" s="238">
        <f t="shared" si="38"/>
        <v>0</v>
      </c>
      <c r="Y147" s="238">
        <f t="shared" si="39"/>
        <v>0</v>
      </c>
      <c r="Z147" s="158">
        <v>2.0475020475020474E-2</v>
      </c>
      <c r="AA147" s="70"/>
      <c r="AB147" s="70">
        <v>2.0475020475020474E-2</v>
      </c>
      <c r="AC147" s="70"/>
      <c r="AD147" s="71"/>
      <c r="AE147" s="233"/>
      <c r="AF147" s="72"/>
      <c r="AG147" s="126">
        <v>174.77579</v>
      </c>
      <c r="AH147" s="73">
        <v>3.5785378787878788</v>
      </c>
      <c r="AI147" s="73">
        <v>0</v>
      </c>
      <c r="AJ147" s="73">
        <v>3.5785378787878788</v>
      </c>
      <c r="AK147" s="73">
        <v>0</v>
      </c>
      <c r="AL147" s="129">
        <v>0</v>
      </c>
      <c r="AM147" s="202">
        <f t="shared" si="40"/>
        <v>2.1649925759949901E-4</v>
      </c>
      <c r="AN147" s="202">
        <f t="shared" si="41"/>
        <v>0</v>
      </c>
      <c r="AO147" s="202">
        <f t="shared" si="42"/>
        <v>2.1649925759949901E-4</v>
      </c>
      <c r="AP147" s="202">
        <f t="shared" si="43"/>
        <v>0</v>
      </c>
      <c r="AQ147" s="202">
        <f t="shared" si="44"/>
        <v>0</v>
      </c>
      <c r="AR147" s="208" t="s">
        <v>353</v>
      </c>
      <c r="AS147" s="207" t="s">
        <v>1661</v>
      </c>
      <c r="AT147" s="234">
        <v>312120</v>
      </c>
      <c r="AU147" s="244">
        <f t="shared" si="45"/>
        <v>3.5785378787878788</v>
      </c>
      <c r="AV147" s="244">
        <f t="shared" si="46"/>
        <v>0</v>
      </c>
      <c r="AW147" s="244">
        <f t="shared" si="47"/>
        <v>3.5785378787878788</v>
      </c>
      <c r="AX147" s="244">
        <f t="shared" si="48"/>
        <v>0</v>
      </c>
      <c r="AY147" s="244">
        <f t="shared" si="49"/>
        <v>0</v>
      </c>
      <c r="AZ147">
        <v>1.2860872879740803E-2</v>
      </c>
    </row>
    <row r="148" spans="1:52" ht="15.75" customHeight="1" x14ac:dyDescent="0.35">
      <c r="A148" s="66" t="s">
        <v>353</v>
      </c>
      <c r="B148" s="67" t="s">
        <v>354</v>
      </c>
      <c r="C148" s="67" t="s">
        <v>48</v>
      </c>
      <c r="D148" s="67" t="s">
        <v>378</v>
      </c>
      <c r="E148" s="67" t="s">
        <v>379</v>
      </c>
      <c r="F148" s="67" t="s">
        <v>380</v>
      </c>
      <c r="G148" s="67" t="s">
        <v>190</v>
      </c>
      <c r="H148" s="67" t="s">
        <v>381</v>
      </c>
      <c r="I148" s="67" t="s">
        <v>382</v>
      </c>
      <c r="J148" s="95"/>
      <c r="K148" s="228">
        <f>N148</f>
        <v>19</v>
      </c>
      <c r="L148" s="269"/>
      <c r="M148" s="269">
        <v>20</v>
      </c>
      <c r="N148" s="269">
        <v>19</v>
      </c>
      <c r="O148" s="269"/>
      <c r="P148" s="269"/>
      <c r="Q148" s="269"/>
      <c r="R148" s="269" t="s">
        <v>383</v>
      </c>
      <c r="S148" s="66" t="s">
        <v>359</v>
      </c>
      <c r="T148" s="70"/>
      <c r="U148" s="238">
        <f t="shared" si="35"/>
        <v>3.4398034398034391E-2</v>
      </c>
      <c r="V148" s="238">
        <f t="shared" si="36"/>
        <v>0</v>
      </c>
      <c r="W148" s="238">
        <f t="shared" si="37"/>
        <v>3.4398034398034391E-2</v>
      </c>
      <c r="X148" s="238">
        <f t="shared" si="38"/>
        <v>0</v>
      </c>
      <c r="Y148" s="238">
        <f t="shared" si="39"/>
        <v>0</v>
      </c>
      <c r="Z148" s="158">
        <v>3.4398034398034391E-2</v>
      </c>
      <c r="AA148" s="70"/>
      <c r="AB148" s="70">
        <v>3.4398034398034391E-2</v>
      </c>
      <c r="AC148" s="70"/>
      <c r="AD148" s="71"/>
      <c r="AE148" s="233"/>
      <c r="AF148" s="72"/>
      <c r="AG148" s="126">
        <v>174.77579</v>
      </c>
      <c r="AH148" s="73">
        <v>6.0119436363636352</v>
      </c>
      <c r="AI148" s="73">
        <v>0</v>
      </c>
      <c r="AJ148" s="73">
        <v>6.0119436363636352</v>
      </c>
      <c r="AK148" s="73">
        <v>0</v>
      </c>
      <c r="AL148" s="129">
        <v>0</v>
      </c>
      <c r="AM148" s="202">
        <f t="shared" si="40"/>
        <v>3.6371875276715825E-4</v>
      </c>
      <c r="AN148" s="202">
        <f t="shared" si="41"/>
        <v>0</v>
      </c>
      <c r="AO148" s="202">
        <f t="shared" si="42"/>
        <v>3.6371875276715825E-4</v>
      </c>
      <c r="AP148" s="202">
        <f t="shared" si="43"/>
        <v>0</v>
      </c>
      <c r="AQ148" s="202">
        <f t="shared" si="44"/>
        <v>0</v>
      </c>
      <c r="AR148" s="208" t="s">
        <v>353</v>
      </c>
      <c r="AS148" s="207" t="s">
        <v>1661</v>
      </c>
      <c r="AT148" s="234">
        <v>312120</v>
      </c>
      <c r="AU148" s="244">
        <f t="shared" si="45"/>
        <v>6.0119436363636352</v>
      </c>
      <c r="AV148" s="244">
        <f t="shared" si="46"/>
        <v>0</v>
      </c>
      <c r="AW148" s="244">
        <f t="shared" si="47"/>
        <v>6.0119436363636352</v>
      </c>
      <c r="AX148" s="244">
        <f t="shared" si="48"/>
        <v>0</v>
      </c>
      <c r="AY148" s="244">
        <f t="shared" si="49"/>
        <v>0</v>
      </c>
      <c r="AZ148">
        <v>2.1606266437964546E-2</v>
      </c>
    </row>
    <row r="149" spans="1:52" ht="15.75" customHeight="1" x14ac:dyDescent="0.35">
      <c r="A149" s="66" t="s">
        <v>353</v>
      </c>
      <c r="B149" s="67" t="s">
        <v>354</v>
      </c>
      <c r="C149" s="67" t="s">
        <v>124</v>
      </c>
      <c r="D149" s="67" t="s">
        <v>124</v>
      </c>
      <c r="E149" s="67" t="s">
        <v>384</v>
      </c>
      <c r="F149" s="67" t="s">
        <v>385</v>
      </c>
      <c r="G149" s="67" t="s">
        <v>327</v>
      </c>
      <c r="H149" s="67" t="s">
        <v>386</v>
      </c>
      <c r="I149" s="67" t="s">
        <v>386</v>
      </c>
      <c r="J149" s="95"/>
      <c r="K149" s="228">
        <v>4</v>
      </c>
      <c r="L149" s="269"/>
      <c r="M149" s="269"/>
      <c r="N149" s="269"/>
      <c r="O149" s="269"/>
      <c r="P149" s="269"/>
      <c r="Q149" s="269"/>
      <c r="R149" s="269"/>
      <c r="S149" s="66" t="s">
        <v>359</v>
      </c>
      <c r="T149" s="70"/>
      <c r="U149" s="238">
        <f t="shared" si="35"/>
        <v>1.2753012753012752E-2</v>
      </c>
      <c r="V149" s="238">
        <f t="shared" si="36"/>
        <v>0</v>
      </c>
      <c r="W149" s="238">
        <f t="shared" si="37"/>
        <v>1.2753012753012752E-2</v>
      </c>
      <c r="X149" s="238">
        <f t="shared" si="38"/>
        <v>0</v>
      </c>
      <c r="Y149" s="238">
        <f t="shared" si="39"/>
        <v>0</v>
      </c>
      <c r="Z149" s="158">
        <v>1.2753012753012752E-2</v>
      </c>
      <c r="AA149" s="70"/>
      <c r="AB149" s="70">
        <v>1.2753012753012752E-2</v>
      </c>
      <c r="AC149" s="70"/>
      <c r="AD149" s="71"/>
      <c r="AE149" s="233"/>
      <c r="AF149" s="72"/>
      <c r="AG149" s="126">
        <v>174.77579</v>
      </c>
      <c r="AH149" s="73">
        <v>2.2289178787878785</v>
      </c>
      <c r="AI149" s="73">
        <v>0</v>
      </c>
      <c r="AJ149" s="73">
        <v>2.2289178787878785</v>
      </c>
      <c r="AK149" s="73">
        <v>0</v>
      </c>
      <c r="AL149" s="129">
        <v>0</v>
      </c>
      <c r="AM149" s="202">
        <f t="shared" si="40"/>
        <v>1.3484810901911651E-4</v>
      </c>
      <c r="AN149" s="202">
        <f t="shared" si="41"/>
        <v>0</v>
      </c>
      <c r="AO149" s="202">
        <f t="shared" si="42"/>
        <v>1.3484810901911651E-4</v>
      </c>
      <c r="AP149" s="202">
        <f t="shared" si="43"/>
        <v>0</v>
      </c>
      <c r="AQ149" s="202">
        <f t="shared" si="44"/>
        <v>0</v>
      </c>
      <c r="AR149" s="208" t="s">
        <v>353</v>
      </c>
      <c r="AS149" s="207" t="s">
        <v>1661</v>
      </c>
      <c r="AT149" s="234">
        <v>312120</v>
      </c>
      <c r="AU149" s="244">
        <f t="shared" si="45"/>
        <v>2.2289178787878785</v>
      </c>
      <c r="AV149" s="244">
        <f t="shared" si="46"/>
        <v>0</v>
      </c>
      <c r="AW149" s="244">
        <f t="shared" si="47"/>
        <v>2.2289178787878785</v>
      </c>
      <c r="AX149" s="244">
        <f t="shared" si="48"/>
        <v>0</v>
      </c>
      <c r="AY149" s="244">
        <f t="shared" si="49"/>
        <v>0</v>
      </c>
      <c r="AZ149">
        <v>8.0104865365242719E-3</v>
      </c>
    </row>
    <row r="150" spans="1:52" ht="15.75" customHeight="1" x14ac:dyDescent="0.35">
      <c r="A150" s="66" t="s">
        <v>353</v>
      </c>
      <c r="B150" s="67" t="s">
        <v>354</v>
      </c>
      <c r="C150" s="67" t="s">
        <v>92</v>
      </c>
      <c r="D150" s="67" t="s">
        <v>217</v>
      </c>
      <c r="E150" s="67" t="s">
        <v>217</v>
      </c>
      <c r="F150" s="67" t="s">
        <v>385</v>
      </c>
      <c r="G150" s="67" t="s">
        <v>327</v>
      </c>
      <c r="H150" s="67" t="s">
        <v>387</v>
      </c>
      <c r="I150" s="67" t="s">
        <v>388</v>
      </c>
      <c r="J150" s="105">
        <v>0.8</v>
      </c>
      <c r="K150" s="228">
        <f t="shared" si="50"/>
        <v>60</v>
      </c>
      <c r="L150" s="269">
        <v>60</v>
      </c>
      <c r="M150" s="269">
        <v>20</v>
      </c>
      <c r="N150" s="269">
        <v>60</v>
      </c>
      <c r="O150" s="269"/>
      <c r="P150" s="269"/>
      <c r="Q150" s="269"/>
      <c r="R150" s="269" t="s">
        <v>365</v>
      </c>
      <c r="S150" s="66" t="s">
        <v>359</v>
      </c>
      <c r="T150" s="70"/>
      <c r="U150" s="238">
        <f t="shared" si="35"/>
        <v>5.8353808353808351E-2</v>
      </c>
      <c r="V150" s="238">
        <f t="shared" si="36"/>
        <v>0</v>
      </c>
      <c r="W150" s="238">
        <f t="shared" si="37"/>
        <v>0</v>
      </c>
      <c r="X150" s="238">
        <f t="shared" si="38"/>
        <v>0</v>
      </c>
      <c r="Y150" s="238">
        <f t="shared" si="39"/>
        <v>5.8353808353808351E-2</v>
      </c>
      <c r="Z150" s="158">
        <v>5.8353808353808351E-2</v>
      </c>
      <c r="AA150" s="70"/>
      <c r="AB150" s="70"/>
      <c r="AC150" s="70"/>
      <c r="AD150" s="71">
        <v>5.8353808353808351E-2</v>
      </c>
      <c r="AE150" s="233">
        <v>110</v>
      </c>
      <c r="AF150" s="72">
        <v>1.427</v>
      </c>
      <c r="AG150" s="126">
        <v>174.77579</v>
      </c>
      <c r="AH150" s="73">
        <v>10.198832954545454</v>
      </c>
      <c r="AI150" s="73">
        <v>0</v>
      </c>
      <c r="AJ150" s="73">
        <v>0</v>
      </c>
      <c r="AK150" s="73">
        <v>0</v>
      </c>
      <c r="AL150" s="129">
        <v>10.198832954545454</v>
      </c>
      <c r="AM150" s="202">
        <f t="shared" si="40"/>
        <v>6.1702288415857215E-4</v>
      </c>
      <c r="AN150" s="202">
        <f t="shared" si="41"/>
        <v>0</v>
      </c>
      <c r="AO150" s="202">
        <f t="shared" si="42"/>
        <v>0</v>
      </c>
      <c r="AP150" s="202">
        <f t="shared" si="43"/>
        <v>0</v>
      </c>
      <c r="AQ150" s="202">
        <f t="shared" si="44"/>
        <v>6.1702288415857215E-4</v>
      </c>
      <c r="AR150" s="208" t="s">
        <v>353</v>
      </c>
      <c r="AS150" s="207" t="s">
        <v>1661</v>
      </c>
      <c r="AT150" s="234">
        <v>312120</v>
      </c>
      <c r="AU150" s="244">
        <f t="shared" si="45"/>
        <v>10.198832954545454</v>
      </c>
      <c r="AV150" s="244">
        <f t="shared" si="46"/>
        <v>0</v>
      </c>
      <c r="AW150" s="244">
        <f t="shared" si="47"/>
        <v>0</v>
      </c>
      <c r="AX150" s="244">
        <f t="shared" si="48"/>
        <v>0</v>
      </c>
      <c r="AY150" s="244">
        <f t="shared" si="49"/>
        <v>10.198832954545454</v>
      </c>
      <c r="AZ150">
        <v>3.665348770726129E-2</v>
      </c>
    </row>
    <row r="151" spans="1:52" ht="15.75" customHeight="1" x14ac:dyDescent="0.35">
      <c r="A151" s="77" t="s">
        <v>353</v>
      </c>
      <c r="B151" s="78" t="s">
        <v>354</v>
      </c>
      <c r="C151" s="78" t="s">
        <v>71</v>
      </c>
      <c r="D151" s="78" t="s">
        <v>71</v>
      </c>
      <c r="E151" s="78" t="s">
        <v>389</v>
      </c>
      <c r="F151" s="78" t="s">
        <v>390</v>
      </c>
      <c r="G151" s="78" t="s">
        <v>327</v>
      </c>
      <c r="H151" s="78" t="s">
        <v>391</v>
      </c>
      <c r="I151" s="78" t="s">
        <v>391</v>
      </c>
      <c r="J151" s="98"/>
      <c r="K151" s="228">
        <v>30</v>
      </c>
      <c r="L151" s="269"/>
      <c r="M151" s="269"/>
      <c r="N151" s="269"/>
      <c r="O151" s="269"/>
      <c r="P151" s="269"/>
      <c r="Q151" s="269"/>
      <c r="R151" s="269"/>
      <c r="S151" s="77" t="s">
        <v>359</v>
      </c>
      <c r="T151" s="82"/>
      <c r="U151" s="238">
        <f t="shared" si="35"/>
        <v>1.8486018486018486E-2</v>
      </c>
      <c r="V151" s="238">
        <f t="shared" si="36"/>
        <v>0</v>
      </c>
      <c r="W151" s="238">
        <f t="shared" si="37"/>
        <v>1.8486018486018486E-2</v>
      </c>
      <c r="X151" s="238">
        <f t="shared" si="38"/>
        <v>0</v>
      </c>
      <c r="Y151" s="238">
        <f t="shared" si="39"/>
        <v>0</v>
      </c>
      <c r="Z151" s="158">
        <v>1.8486018486018486E-2</v>
      </c>
      <c r="AA151" s="70"/>
      <c r="AB151" s="70">
        <v>1.8486018486018486E-2</v>
      </c>
      <c r="AC151" s="70"/>
      <c r="AD151" s="71"/>
      <c r="AE151" s="81"/>
      <c r="AF151" s="84"/>
      <c r="AG151" s="132">
        <v>174.77579</v>
      </c>
      <c r="AH151" s="85">
        <v>3.2309084848484848</v>
      </c>
      <c r="AI151" s="85">
        <v>0</v>
      </c>
      <c r="AJ151" s="85">
        <v>3.2309084848484848</v>
      </c>
      <c r="AK151" s="85">
        <v>0</v>
      </c>
      <c r="AL151" s="133">
        <v>0</v>
      </c>
      <c r="AM151" s="202">
        <f t="shared" si="40"/>
        <v>1.9546790114697624E-4</v>
      </c>
      <c r="AN151" s="202">
        <f t="shared" si="41"/>
        <v>0</v>
      </c>
      <c r="AO151" s="202">
        <f t="shared" si="42"/>
        <v>1.9546790114697624E-4</v>
      </c>
      <c r="AP151" s="202">
        <f t="shared" si="43"/>
        <v>0</v>
      </c>
      <c r="AQ151" s="202">
        <f t="shared" si="44"/>
        <v>0</v>
      </c>
      <c r="AR151" s="212" t="s">
        <v>353</v>
      </c>
      <c r="AS151" s="207" t="s">
        <v>1661</v>
      </c>
      <c r="AT151" s="234">
        <v>312120</v>
      </c>
      <c r="AU151" s="244">
        <f t="shared" si="45"/>
        <v>3.2309084848484848</v>
      </c>
      <c r="AV151" s="244">
        <f t="shared" si="46"/>
        <v>0</v>
      </c>
      <c r="AW151" s="244">
        <f t="shared" si="47"/>
        <v>3.2309084848484848</v>
      </c>
      <c r="AX151" s="244">
        <f t="shared" si="48"/>
        <v>0</v>
      </c>
      <c r="AY151" s="244">
        <f t="shared" si="49"/>
        <v>0</v>
      </c>
      <c r="AZ151">
        <v>1.1611530942851698E-2</v>
      </c>
    </row>
    <row r="152" spans="1:52" ht="15.75" customHeight="1" x14ac:dyDescent="0.35">
      <c r="A152" s="56" t="s">
        <v>392</v>
      </c>
      <c r="B152" s="57" t="s">
        <v>393</v>
      </c>
      <c r="C152" s="67" t="s">
        <v>99</v>
      </c>
      <c r="D152" s="57" t="s">
        <v>394</v>
      </c>
      <c r="E152" s="57" t="s">
        <v>395</v>
      </c>
      <c r="F152" s="57" t="s">
        <v>396</v>
      </c>
      <c r="G152" s="57" t="s">
        <v>327</v>
      </c>
      <c r="H152" s="57" t="s">
        <v>397</v>
      </c>
      <c r="I152" s="57" t="s">
        <v>397</v>
      </c>
      <c r="J152" s="90"/>
      <c r="K152" s="228">
        <v>30</v>
      </c>
      <c r="L152" s="269"/>
      <c r="M152" s="269"/>
      <c r="N152" s="269"/>
      <c r="O152" s="269"/>
      <c r="P152" s="269"/>
      <c r="Q152" s="269"/>
      <c r="R152" s="269"/>
      <c r="S152" s="56" t="s">
        <v>398</v>
      </c>
      <c r="T152" s="60"/>
      <c r="U152" s="238">
        <f t="shared" si="35"/>
        <v>0.16</v>
      </c>
      <c r="V152" s="238">
        <f t="shared" si="36"/>
        <v>0</v>
      </c>
      <c r="W152" s="238">
        <f t="shared" si="37"/>
        <v>0.16</v>
      </c>
      <c r="X152" s="238">
        <f t="shared" si="38"/>
        <v>0</v>
      </c>
      <c r="Y152" s="238">
        <f t="shared" si="39"/>
        <v>0</v>
      </c>
      <c r="Z152" s="239">
        <v>0.16</v>
      </c>
      <c r="AA152" s="82"/>
      <c r="AB152" s="82">
        <v>0.16</v>
      </c>
      <c r="AC152" s="82"/>
      <c r="AD152" s="83"/>
      <c r="AE152" s="59"/>
      <c r="AF152" s="62"/>
      <c r="AG152" s="63">
        <v>4.7</v>
      </c>
      <c r="AH152" s="63">
        <v>0.752</v>
      </c>
      <c r="AI152" s="63">
        <v>0</v>
      </c>
      <c r="AJ152" s="63">
        <v>0.752</v>
      </c>
      <c r="AK152" s="63">
        <v>0</v>
      </c>
      <c r="AL152" s="125">
        <v>0</v>
      </c>
      <c r="AM152" s="202">
        <f t="shared" si="40"/>
        <v>4.5495520022263766E-5</v>
      </c>
      <c r="AN152" s="202">
        <f t="shared" si="41"/>
        <v>0</v>
      </c>
      <c r="AO152" s="202">
        <f t="shared" si="42"/>
        <v>4.5495520022263766E-5</v>
      </c>
      <c r="AP152" s="202">
        <f t="shared" si="43"/>
        <v>0</v>
      </c>
      <c r="AQ152" s="202">
        <f t="shared" si="44"/>
        <v>0</v>
      </c>
      <c r="AR152" s="205" t="s">
        <v>392</v>
      </c>
      <c r="AS152" s="226" t="s">
        <v>1660</v>
      </c>
      <c r="AT152" s="234">
        <v>311313</v>
      </c>
      <c r="AU152" s="244">
        <f t="shared" si="45"/>
        <v>0.752</v>
      </c>
      <c r="AV152" s="244">
        <f t="shared" si="46"/>
        <v>0</v>
      </c>
      <c r="AW152" s="244">
        <f t="shared" si="47"/>
        <v>0.752</v>
      </c>
      <c r="AX152" s="244">
        <f t="shared" si="48"/>
        <v>0</v>
      </c>
      <c r="AY152" s="244">
        <f t="shared" si="49"/>
        <v>0</v>
      </c>
      <c r="AZ152">
        <v>5.7991131675342201E-4</v>
      </c>
    </row>
    <row r="153" spans="1:52" ht="15.75" customHeight="1" x14ac:dyDescent="0.35">
      <c r="A153" s="66" t="s">
        <v>392</v>
      </c>
      <c r="B153" s="67" t="s">
        <v>393</v>
      </c>
      <c r="C153" s="67" t="s">
        <v>154</v>
      </c>
      <c r="D153" s="67" t="s">
        <v>340</v>
      </c>
      <c r="E153" s="67" t="s">
        <v>399</v>
      </c>
      <c r="F153" s="67" t="s">
        <v>400</v>
      </c>
      <c r="G153" s="67" t="s">
        <v>327</v>
      </c>
      <c r="H153" s="67" t="s">
        <v>401</v>
      </c>
      <c r="I153" s="67" t="s">
        <v>402</v>
      </c>
      <c r="J153" s="105">
        <v>0.78</v>
      </c>
      <c r="K153" s="228">
        <f t="shared" si="50"/>
        <v>72</v>
      </c>
      <c r="L153" s="269">
        <v>72</v>
      </c>
      <c r="M153" s="269">
        <v>22</v>
      </c>
      <c r="N153" s="269">
        <v>26</v>
      </c>
      <c r="O153" s="269">
        <v>1</v>
      </c>
      <c r="P153" s="269"/>
      <c r="Q153" s="269"/>
      <c r="R153" s="269" t="s">
        <v>375</v>
      </c>
      <c r="S153" s="66" t="s">
        <v>398</v>
      </c>
      <c r="T153" s="70"/>
      <c r="U153" s="238">
        <f t="shared" si="35"/>
        <v>0.78</v>
      </c>
      <c r="V153" s="238">
        <f t="shared" si="36"/>
        <v>0</v>
      </c>
      <c r="W153" s="238">
        <f t="shared" si="37"/>
        <v>0</v>
      </c>
      <c r="X153" s="238">
        <f t="shared" si="38"/>
        <v>0</v>
      </c>
      <c r="Y153" s="238">
        <f t="shared" si="39"/>
        <v>0.78</v>
      </c>
      <c r="Z153" s="60">
        <v>0.78</v>
      </c>
      <c r="AA153" s="60"/>
      <c r="AB153" s="60"/>
      <c r="AC153" s="60"/>
      <c r="AD153" s="61">
        <v>0.78</v>
      </c>
      <c r="AE153" s="233">
        <v>152</v>
      </c>
      <c r="AF153" s="72">
        <v>5</v>
      </c>
      <c r="AG153" s="73">
        <v>4.7</v>
      </c>
      <c r="AH153" s="73">
        <v>3.6660000000000004</v>
      </c>
      <c r="AI153" s="73">
        <v>0</v>
      </c>
      <c r="AJ153" s="73">
        <v>0</v>
      </c>
      <c r="AK153" s="73">
        <v>0</v>
      </c>
      <c r="AL153" s="129">
        <v>3.6660000000000004</v>
      </c>
      <c r="AM153" s="202">
        <f t="shared" si="40"/>
        <v>2.217906601085359E-4</v>
      </c>
      <c r="AN153" s="202">
        <f t="shared" si="41"/>
        <v>0</v>
      </c>
      <c r="AO153" s="202">
        <f t="shared" si="42"/>
        <v>0</v>
      </c>
      <c r="AP153" s="202">
        <f t="shared" si="43"/>
        <v>0</v>
      </c>
      <c r="AQ153" s="202">
        <f t="shared" si="44"/>
        <v>2.217906601085359E-4</v>
      </c>
      <c r="AR153" s="208" t="s">
        <v>392</v>
      </c>
      <c r="AS153" s="226" t="s">
        <v>1660</v>
      </c>
      <c r="AT153" s="234">
        <v>311313</v>
      </c>
      <c r="AU153" s="244">
        <f t="shared" si="45"/>
        <v>3.6660000000000004</v>
      </c>
      <c r="AV153" s="244">
        <f t="shared" si="46"/>
        <v>0</v>
      </c>
      <c r="AW153" s="244">
        <f t="shared" si="47"/>
        <v>0</v>
      </c>
      <c r="AX153" s="244">
        <f t="shared" si="48"/>
        <v>0</v>
      </c>
      <c r="AY153" s="244">
        <f t="shared" si="49"/>
        <v>3.6660000000000004</v>
      </c>
      <c r="AZ153">
        <v>2.8270676691729327E-3</v>
      </c>
    </row>
    <row r="154" spans="1:52" ht="15.75" customHeight="1" x14ac:dyDescent="0.35">
      <c r="A154" s="66" t="s">
        <v>392</v>
      </c>
      <c r="B154" s="67" t="s">
        <v>393</v>
      </c>
      <c r="C154" s="67" t="s">
        <v>154</v>
      </c>
      <c r="D154" s="67" t="s">
        <v>155</v>
      </c>
      <c r="E154" s="67" t="s">
        <v>403</v>
      </c>
      <c r="F154" s="67" t="s">
        <v>404</v>
      </c>
      <c r="G154" s="67" t="s">
        <v>327</v>
      </c>
      <c r="H154" s="67" t="s">
        <v>405</v>
      </c>
      <c r="I154" s="67" t="s">
        <v>158</v>
      </c>
      <c r="J154" s="95"/>
      <c r="K154" s="228">
        <v>30</v>
      </c>
      <c r="L154" s="269"/>
      <c r="M154" s="269"/>
      <c r="N154" s="269"/>
      <c r="O154" s="269"/>
      <c r="P154" s="269"/>
      <c r="Q154" s="269"/>
      <c r="R154" s="269"/>
      <c r="S154" s="66" t="s">
        <v>398</v>
      </c>
      <c r="T154" s="70"/>
      <c r="U154" s="238">
        <f t="shared" si="35"/>
        <v>0.18</v>
      </c>
      <c r="V154" s="238">
        <f t="shared" si="36"/>
        <v>0</v>
      </c>
      <c r="W154" s="238">
        <f t="shared" si="37"/>
        <v>0.18</v>
      </c>
      <c r="X154" s="238">
        <f t="shared" si="38"/>
        <v>0</v>
      </c>
      <c r="Y154" s="238">
        <f t="shared" si="39"/>
        <v>0</v>
      </c>
      <c r="Z154" s="70">
        <v>0.18</v>
      </c>
      <c r="AA154" s="70"/>
      <c r="AB154" s="70">
        <v>0.18</v>
      </c>
      <c r="AC154" s="70"/>
      <c r="AD154" s="71"/>
      <c r="AE154" s="233"/>
      <c r="AF154" s="72"/>
      <c r="AG154" s="73">
        <v>4.7</v>
      </c>
      <c r="AH154" s="73">
        <v>0.84599999999999997</v>
      </c>
      <c r="AI154" s="73">
        <v>0</v>
      </c>
      <c r="AJ154" s="73">
        <v>0.84599999999999997</v>
      </c>
      <c r="AK154" s="73">
        <v>0</v>
      </c>
      <c r="AL154" s="129">
        <v>0</v>
      </c>
      <c r="AM154" s="202">
        <f t="shared" si="40"/>
        <v>5.1182460025046741E-5</v>
      </c>
      <c r="AN154" s="202">
        <f t="shared" si="41"/>
        <v>0</v>
      </c>
      <c r="AO154" s="202">
        <f t="shared" si="42"/>
        <v>5.1182460025046741E-5</v>
      </c>
      <c r="AP154" s="202">
        <f t="shared" si="43"/>
        <v>0</v>
      </c>
      <c r="AQ154" s="202">
        <f t="shared" si="44"/>
        <v>0</v>
      </c>
      <c r="AR154" s="208" t="s">
        <v>392</v>
      </c>
      <c r="AS154" s="226" t="s">
        <v>1660</v>
      </c>
      <c r="AT154" s="234">
        <v>311313</v>
      </c>
      <c r="AU154" s="244">
        <f t="shared" si="45"/>
        <v>0.84599999999999997</v>
      </c>
      <c r="AV154" s="244">
        <f t="shared" si="46"/>
        <v>0</v>
      </c>
      <c r="AW154" s="244">
        <f t="shared" si="47"/>
        <v>0.84599999999999997</v>
      </c>
      <c r="AX154" s="244">
        <f t="shared" si="48"/>
        <v>0</v>
      </c>
      <c r="AY154" s="244">
        <f t="shared" si="49"/>
        <v>0</v>
      </c>
      <c r="AZ154">
        <v>6.5240023134759974E-4</v>
      </c>
    </row>
    <row r="155" spans="1:52" ht="15.75" customHeight="1" x14ac:dyDescent="0.35">
      <c r="A155" s="66" t="s">
        <v>392</v>
      </c>
      <c r="B155" s="67" t="s">
        <v>393</v>
      </c>
      <c r="C155" s="67" t="s">
        <v>74</v>
      </c>
      <c r="D155" s="67" t="s">
        <v>75</v>
      </c>
      <c r="E155" s="67" t="s">
        <v>406</v>
      </c>
      <c r="F155" s="67" t="s">
        <v>407</v>
      </c>
      <c r="G155" s="67" t="s">
        <v>327</v>
      </c>
      <c r="H155" s="67" t="s">
        <v>408</v>
      </c>
      <c r="I155" s="67" t="s">
        <v>409</v>
      </c>
      <c r="J155" s="76" t="s">
        <v>78</v>
      </c>
      <c r="K155" s="228">
        <f t="shared" si="50"/>
        <v>538</v>
      </c>
      <c r="L155" s="269">
        <v>538</v>
      </c>
      <c r="M155" s="269">
        <v>22</v>
      </c>
      <c r="N155" s="269">
        <v>270</v>
      </c>
      <c r="O155" s="269">
        <v>1</v>
      </c>
      <c r="P155" s="269"/>
      <c r="Q155" s="269"/>
      <c r="R155" s="269" t="s">
        <v>410</v>
      </c>
      <c r="S155" s="66" t="s">
        <v>398</v>
      </c>
      <c r="T155" s="70"/>
      <c r="U155" s="238">
        <f t="shared" si="35"/>
        <v>2.44</v>
      </c>
      <c r="V155" s="238">
        <f t="shared" si="36"/>
        <v>0</v>
      </c>
      <c r="W155" s="238">
        <f t="shared" si="37"/>
        <v>0</v>
      </c>
      <c r="X155" s="238">
        <f t="shared" si="38"/>
        <v>2.44</v>
      </c>
      <c r="Y155" s="238">
        <f t="shared" si="39"/>
        <v>0</v>
      </c>
      <c r="Z155" s="70">
        <v>2.44</v>
      </c>
      <c r="AA155" s="70"/>
      <c r="AB155" s="70"/>
      <c r="AC155" s="70">
        <v>2.44</v>
      </c>
      <c r="AD155" s="71"/>
      <c r="AE155" s="233"/>
      <c r="AF155" s="72"/>
      <c r="AG155" s="73">
        <v>4.7</v>
      </c>
      <c r="AH155" s="73">
        <v>11.468</v>
      </c>
      <c r="AI155" s="73">
        <v>0</v>
      </c>
      <c r="AJ155" s="73">
        <v>0</v>
      </c>
      <c r="AK155" s="73">
        <v>11.468</v>
      </c>
      <c r="AL155" s="129">
        <v>0</v>
      </c>
      <c r="AM155" s="202">
        <f t="shared" si="40"/>
        <v>6.938066803395225E-4</v>
      </c>
      <c r="AN155" s="202">
        <f t="shared" si="41"/>
        <v>0</v>
      </c>
      <c r="AO155" s="202">
        <f t="shared" si="42"/>
        <v>0</v>
      </c>
      <c r="AP155" s="202">
        <f t="shared" si="43"/>
        <v>6.938066803395225E-4</v>
      </c>
      <c r="AQ155" s="202">
        <f t="shared" si="44"/>
        <v>0</v>
      </c>
      <c r="AR155" s="208" t="s">
        <v>392</v>
      </c>
      <c r="AS155" s="226" t="s">
        <v>1660</v>
      </c>
      <c r="AT155" s="234">
        <v>311313</v>
      </c>
      <c r="AU155" s="244">
        <f t="shared" si="45"/>
        <v>11.468</v>
      </c>
      <c r="AV155" s="244">
        <f t="shared" si="46"/>
        <v>0</v>
      </c>
      <c r="AW155" s="244">
        <f t="shared" si="47"/>
        <v>0</v>
      </c>
      <c r="AX155" s="244">
        <f t="shared" si="48"/>
        <v>11.468</v>
      </c>
      <c r="AY155" s="244">
        <f t="shared" si="49"/>
        <v>0</v>
      </c>
      <c r="AZ155">
        <v>8.8436475804896855E-3</v>
      </c>
    </row>
    <row r="156" spans="1:52" ht="15.75" customHeight="1" x14ac:dyDescent="0.35">
      <c r="A156" s="66" t="s">
        <v>392</v>
      </c>
      <c r="B156" s="67" t="s">
        <v>393</v>
      </c>
      <c r="C156" s="67" t="s">
        <v>154</v>
      </c>
      <c r="D156" s="67" t="s">
        <v>411</v>
      </c>
      <c r="E156" s="67" t="s">
        <v>412</v>
      </c>
      <c r="F156" s="67" t="s">
        <v>413</v>
      </c>
      <c r="G156" s="67" t="s">
        <v>327</v>
      </c>
      <c r="H156" s="67" t="s">
        <v>414</v>
      </c>
      <c r="I156" s="67" t="s">
        <v>414</v>
      </c>
      <c r="J156" s="95"/>
      <c r="K156" s="228">
        <f t="shared" si="50"/>
        <v>85</v>
      </c>
      <c r="L156" s="269">
        <v>85</v>
      </c>
      <c r="M156" s="269">
        <v>26</v>
      </c>
      <c r="N156" s="269">
        <v>85</v>
      </c>
      <c r="O156" s="269">
        <v>1</v>
      </c>
      <c r="P156" s="269"/>
      <c r="Q156" s="269"/>
      <c r="R156" s="269"/>
      <c r="S156" s="66" t="s">
        <v>398</v>
      </c>
      <c r="T156" s="70"/>
      <c r="U156" s="238">
        <f t="shared" si="35"/>
        <v>0.23799999999999999</v>
      </c>
      <c r="V156" s="238">
        <f t="shared" si="36"/>
        <v>0</v>
      </c>
      <c r="W156" s="238">
        <f t="shared" si="37"/>
        <v>0</v>
      </c>
      <c r="X156" s="238">
        <f t="shared" si="38"/>
        <v>0.23799999999999999</v>
      </c>
      <c r="Y156" s="238">
        <f t="shared" si="39"/>
        <v>0</v>
      </c>
      <c r="Z156" s="70">
        <v>0.23799999999999999</v>
      </c>
      <c r="AA156" s="70"/>
      <c r="AB156" s="70"/>
      <c r="AC156" s="70">
        <v>0.23799999999999999</v>
      </c>
      <c r="AD156" s="71"/>
      <c r="AE156" s="233"/>
      <c r="AF156" s="72"/>
      <c r="AG156" s="73">
        <v>4.7</v>
      </c>
      <c r="AH156" s="73">
        <v>1.1186</v>
      </c>
      <c r="AI156" s="73">
        <v>0</v>
      </c>
      <c r="AJ156" s="73">
        <v>0</v>
      </c>
      <c r="AK156" s="73">
        <v>1.1186</v>
      </c>
      <c r="AL156" s="129">
        <v>0</v>
      </c>
      <c r="AM156" s="202">
        <f t="shared" si="40"/>
        <v>6.7674586033117354E-5</v>
      </c>
      <c r="AN156" s="202">
        <f t="shared" si="41"/>
        <v>0</v>
      </c>
      <c r="AO156" s="202">
        <f t="shared" si="42"/>
        <v>0</v>
      </c>
      <c r="AP156" s="202">
        <f t="shared" si="43"/>
        <v>6.7674586033117354E-5</v>
      </c>
      <c r="AQ156" s="202">
        <f t="shared" si="44"/>
        <v>0</v>
      </c>
      <c r="AR156" s="208" t="s">
        <v>392</v>
      </c>
      <c r="AS156" s="226" t="s">
        <v>1660</v>
      </c>
      <c r="AT156" s="234">
        <v>311313</v>
      </c>
      <c r="AU156" s="244">
        <f t="shared" si="45"/>
        <v>1.1186</v>
      </c>
      <c r="AV156" s="244">
        <f t="shared" si="46"/>
        <v>0</v>
      </c>
      <c r="AW156" s="244">
        <f t="shared" si="47"/>
        <v>0</v>
      </c>
      <c r="AX156" s="244">
        <f t="shared" si="48"/>
        <v>1.1186</v>
      </c>
      <c r="AY156" s="244">
        <f t="shared" si="49"/>
        <v>0</v>
      </c>
      <c r="AZ156">
        <v>8.6261808367071532E-4</v>
      </c>
    </row>
    <row r="157" spans="1:52" ht="15.75" customHeight="1" x14ac:dyDescent="0.35">
      <c r="A157" s="66" t="s">
        <v>392</v>
      </c>
      <c r="B157" s="67" t="s">
        <v>393</v>
      </c>
      <c r="C157" s="67" t="s">
        <v>74</v>
      </c>
      <c r="D157" s="67" t="s">
        <v>140</v>
      </c>
      <c r="E157" s="67" t="s">
        <v>415</v>
      </c>
      <c r="F157" s="67" t="s">
        <v>416</v>
      </c>
      <c r="G157" s="67" t="s">
        <v>327</v>
      </c>
      <c r="H157" s="67" t="s">
        <v>143</v>
      </c>
      <c r="I157" s="67" t="s">
        <v>143</v>
      </c>
      <c r="J157" s="105">
        <v>0.78</v>
      </c>
      <c r="K157" s="228">
        <f t="shared" si="50"/>
        <v>135</v>
      </c>
      <c r="L157" s="269">
        <v>135</v>
      </c>
      <c r="M157" s="269">
        <v>85</v>
      </c>
      <c r="N157" s="269">
        <v>135</v>
      </c>
      <c r="O157" s="269" t="s">
        <v>417</v>
      </c>
      <c r="P157" s="269"/>
      <c r="Q157" s="269"/>
      <c r="R157" s="269"/>
      <c r="S157" s="66" t="s">
        <v>398</v>
      </c>
      <c r="T157" s="70"/>
      <c r="U157" s="238">
        <f t="shared" si="35"/>
        <v>2.3397435897435894</v>
      </c>
      <c r="V157" s="238">
        <f t="shared" si="36"/>
        <v>0</v>
      </c>
      <c r="W157" s="238">
        <f t="shared" si="37"/>
        <v>0</v>
      </c>
      <c r="X157" s="238">
        <f t="shared" si="38"/>
        <v>0</v>
      </c>
      <c r="Y157" s="238">
        <f t="shared" si="39"/>
        <v>2.3397435897435894</v>
      </c>
      <c r="Z157" s="70">
        <v>2.3397435897435894</v>
      </c>
      <c r="AA157" s="70"/>
      <c r="AB157" s="70"/>
      <c r="AC157" s="70"/>
      <c r="AD157" s="71">
        <v>2.3397435897435894</v>
      </c>
      <c r="AE157" s="233">
        <v>152</v>
      </c>
      <c r="AF157" s="72">
        <v>5</v>
      </c>
      <c r="AG157" s="73">
        <v>4.7</v>
      </c>
      <c r="AH157" s="73">
        <v>10.99679487179487</v>
      </c>
      <c r="AI157" s="73">
        <v>0</v>
      </c>
      <c r="AJ157" s="73">
        <v>0</v>
      </c>
      <c r="AK157" s="73">
        <v>0</v>
      </c>
      <c r="AL157" s="129">
        <v>10.99679487179487</v>
      </c>
      <c r="AM157" s="202">
        <f t="shared" si="40"/>
        <v>6.6529907083839239E-4</v>
      </c>
      <c r="AN157" s="202">
        <f t="shared" si="41"/>
        <v>0</v>
      </c>
      <c r="AO157" s="202">
        <f t="shared" si="42"/>
        <v>0</v>
      </c>
      <c r="AP157" s="202">
        <f t="shared" si="43"/>
        <v>0</v>
      </c>
      <c r="AQ157" s="202">
        <f t="shared" si="44"/>
        <v>6.6529907083839239E-4</v>
      </c>
      <c r="AR157" s="208" t="s">
        <v>392</v>
      </c>
      <c r="AS157" s="226" t="s">
        <v>1660</v>
      </c>
      <c r="AT157" s="234">
        <v>311313</v>
      </c>
      <c r="AU157" s="244">
        <f t="shared" si="45"/>
        <v>10.99679487179487</v>
      </c>
      <c r="AV157" s="244">
        <f t="shared" si="46"/>
        <v>0</v>
      </c>
      <c r="AW157" s="244">
        <f t="shared" si="47"/>
        <v>0</v>
      </c>
      <c r="AX157" s="244">
        <f t="shared" si="48"/>
        <v>0</v>
      </c>
      <c r="AY157" s="244">
        <f t="shared" si="49"/>
        <v>10.99679487179487</v>
      </c>
      <c r="AZ157">
        <v>8.4802736624598959E-3</v>
      </c>
    </row>
    <row r="158" spans="1:52" ht="15.75" customHeight="1" x14ac:dyDescent="0.35">
      <c r="A158" s="66" t="s">
        <v>392</v>
      </c>
      <c r="B158" s="67" t="s">
        <v>393</v>
      </c>
      <c r="C158" s="67" t="s">
        <v>74</v>
      </c>
      <c r="D158" s="67" t="s">
        <v>418</v>
      </c>
      <c r="E158" s="67" t="s">
        <v>419</v>
      </c>
      <c r="F158" s="67" t="s">
        <v>420</v>
      </c>
      <c r="G158" s="67" t="s">
        <v>190</v>
      </c>
      <c r="H158" s="67" t="s">
        <v>421</v>
      </c>
      <c r="I158" s="67" t="s">
        <v>421</v>
      </c>
      <c r="J158" s="105">
        <v>0.78</v>
      </c>
      <c r="K158" s="228">
        <f t="shared" si="50"/>
        <v>80</v>
      </c>
      <c r="L158" s="269">
        <v>80</v>
      </c>
      <c r="M158" s="269">
        <v>80</v>
      </c>
      <c r="N158" s="269">
        <v>80</v>
      </c>
      <c r="O158" s="269">
        <v>1</v>
      </c>
      <c r="P158" s="269"/>
      <c r="Q158" s="269"/>
      <c r="R158" s="269"/>
      <c r="S158" s="66" t="s">
        <v>398</v>
      </c>
      <c r="T158" s="70"/>
      <c r="U158" s="238">
        <f t="shared" si="35"/>
        <v>0.48</v>
      </c>
      <c r="V158" s="238">
        <f t="shared" si="36"/>
        <v>0</v>
      </c>
      <c r="W158" s="238">
        <f t="shared" si="37"/>
        <v>0</v>
      </c>
      <c r="X158" s="238">
        <f t="shared" si="38"/>
        <v>0</v>
      </c>
      <c r="Y158" s="238">
        <f t="shared" si="39"/>
        <v>0.48</v>
      </c>
      <c r="Z158" s="70">
        <v>0.48</v>
      </c>
      <c r="AA158" s="70"/>
      <c r="AB158" s="70"/>
      <c r="AC158" s="70"/>
      <c r="AD158" s="71">
        <v>0.48</v>
      </c>
      <c r="AE158" s="233">
        <v>152</v>
      </c>
      <c r="AF158" s="72">
        <v>5</v>
      </c>
      <c r="AG158" s="73">
        <v>4.7</v>
      </c>
      <c r="AH158" s="73">
        <v>2.2559999999999998</v>
      </c>
      <c r="AI158" s="73">
        <v>0</v>
      </c>
      <c r="AJ158" s="73">
        <v>0</v>
      </c>
      <c r="AK158" s="73">
        <v>0</v>
      </c>
      <c r="AL158" s="129">
        <v>2.2559999999999998</v>
      </c>
      <c r="AM158" s="202">
        <f t="shared" si="40"/>
        <v>1.3648656006679129E-4</v>
      </c>
      <c r="AN158" s="202">
        <f t="shared" si="41"/>
        <v>0</v>
      </c>
      <c r="AO158" s="202">
        <f t="shared" si="42"/>
        <v>0</v>
      </c>
      <c r="AP158" s="202">
        <f t="shared" si="43"/>
        <v>0</v>
      </c>
      <c r="AQ158" s="202">
        <f t="shared" si="44"/>
        <v>1.3648656006679129E-4</v>
      </c>
      <c r="AR158" s="208" t="s">
        <v>392</v>
      </c>
      <c r="AS158" s="226" t="s">
        <v>1660</v>
      </c>
      <c r="AT158" s="234">
        <v>311313</v>
      </c>
      <c r="AU158" s="244">
        <f t="shared" si="45"/>
        <v>2.2559999999999998</v>
      </c>
      <c r="AV158" s="244">
        <f t="shared" si="46"/>
        <v>0</v>
      </c>
      <c r="AW158" s="244">
        <f t="shared" si="47"/>
        <v>0</v>
      </c>
      <c r="AX158" s="244">
        <f t="shared" si="48"/>
        <v>0</v>
      </c>
      <c r="AY158" s="244">
        <f t="shared" si="49"/>
        <v>2.2559999999999998</v>
      </c>
      <c r="AZ158">
        <v>1.7397339502602659E-3</v>
      </c>
    </row>
    <row r="159" spans="1:52" ht="15.75" customHeight="1" x14ac:dyDescent="0.35">
      <c r="A159" s="77" t="s">
        <v>392</v>
      </c>
      <c r="B159" s="78" t="s">
        <v>393</v>
      </c>
      <c r="C159" s="78" t="s">
        <v>154</v>
      </c>
      <c r="D159" s="78" t="s">
        <v>422</v>
      </c>
      <c r="E159" s="78" t="s">
        <v>423</v>
      </c>
      <c r="F159" s="78" t="s">
        <v>424</v>
      </c>
      <c r="G159" s="78" t="s">
        <v>327</v>
      </c>
      <c r="H159" s="78" t="s">
        <v>177</v>
      </c>
      <c r="I159" s="78" t="s">
        <v>177</v>
      </c>
      <c r="J159" s="98"/>
      <c r="K159" s="228">
        <v>30</v>
      </c>
      <c r="L159" s="269"/>
      <c r="M159" s="269"/>
      <c r="N159" s="269"/>
      <c r="O159" s="269"/>
      <c r="P159" s="269"/>
      <c r="Q159" s="269"/>
      <c r="R159" s="269"/>
      <c r="S159" s="77" t="s">
        <v>398</v>
      </c>
      <c r="T159" s="82"/>
      <c r="U159" s="238">
        <f t="shared" si="35"/>
        <v>0.21</v>
      </c>
      <c r="V159" s="238">
        <f t="shared" si="36"/>
        <v>0</v>
      </c>
      <c r="W159" s="238">
        <f t="shared" si="37"/>
        <v>0.21</v>
      </c>
      <c r="X159" s="238">
        <f t="shared" si="38"/>
        <v>0</v>
      </c>
      <c r="Y159" s="238">
        <f t="shared" si="39"/>
        <v>0</v>
      </c>
      <c r="Z159" s="70">
        <v>0.21</v>
      </c>
      <c r="AA159" s="70"/>
      <c r="AB159" s="70">
        <v>0.21</v>
      </c>
      <c r="AC159" s="70"/>
      <c r="AD159" s="71"/>
      <c r="AE159" s="81"/>
      <c r="AF159" s="84"/>
      <c r="AG159" s="85">
        <v>4.7</v>
      </c>
      <c r="AH159" s="85">
        <v>0.98699999999999999</v>
      </c>
      <c r="AI159" s="85">
        <v>0</v>
      </c>
      <c r="AJ159" s="85">
        <v>0.98699999999999999</v>
      </c>
      <c r="AK159" s="85">
        <v>0</v>
      </c>
      <c r="AL159" s="133">
        <v>0</v>
      </c>
      <c r="AM159" s="202">
        <f t="shared" si="40"/>
        <v>5.9712870029221193E-5</v>
      </c>
      <c r="AN159" s="202">
        <f t="shared" si="41"/>
        <v>0</v>
      </c>
      <c r="AO159" s="202">
        <f t="shared" si="42"/>
        <v>5.9712870029221193E-5</v>
      </c>
      <c r="AP159" s="202">
        <f t="shared" si="43"/>
        <v>0</v>
      </c>
      <c r="AQ159" s="202">
        <f t="shared" si="44"/>
        <v>0</v>
      </c>
      <c r="AR159" s="212" t="s">
        <v>392</v>
      </c>
      <c r="AS159" s="226" t="s">
        <v>1660</v>
      </c>
      <c r="AT159" s="234">
        <v>311313</v>
      </c>
      <c r="AU159" s="244">
        <f t="shared" si="45"/>
        <v>0.98699999999999999</v>
      </c>
      <c r="AV159" s="244">
        <f t="shared" si="46"/>
        <v>0</v>
      </c>
      <c r="AW159" s="244">
        <f t="shared" si="47"/>
        <v>0.98699999999999999</v>
      </c>
      <c r="AX159" s="244">
        <f t="shared" si="48"/>
        <v>0</v>
      </c>
      <c r="AY159" s="244">
        <f t="shared" si="49"/>
        <v>0</v>
      </c>
      <c r="AZ159">
        <v>7.611336032388664E-4</v>
      </c>
    </row>
    <row r="160" spans="1:52" ht="15.75" customHeight="1" x14ac:dyDescent="0.35">
      <c r="A160" s="67" t="s">
        <v>277</v>
      </c>
      <c r="B160" s="67" t="s">
        <v>425</v>
      </c>
      <c r="C160" s="67" t="s">
        <v>48</v>
      </c>
      <c r="D160" s="67" t="s">
        <v>113</v>
      </c>
      <c r="E160" s="67" t="s">
        <v>113</v>
      </c>
      <c r="F160" s="67" t="s">
        <v>426</v>
      </c>
      <c r="G160" s="67" t="s">
        <v>327</v>
      </c>
      <c r="H160" s="67" t="s">
        <v>115</v>
      </c>
      <c r="I160" s="67" t="s">
        <v>116</v>
      </c>
      <c r="J160" s="105">
        <v>0.7</v>
      </c>
      <c r="K160" s="228">
        <f t="shared" si="50"/>
        <v>175</v>
      </c>
      <c r="L160" s="269">
        <v>175</v>
      </c>
      <c r="M160" s="269">
        <v>25</v>
      </c>
      <c r="N160" s="269">
        <v>175</v>
      </c>
      <c r="O160" s="269">
        <v>1</v>
      </c>
      <c r="P160" s="269"/>
      <c r="Q160" s="269"/>
      <c r="R160" s="269"/>
      <c r="S160" s="67" t="s">
        <v>427</v>
      </c>
      <c r="T160" s="70">
        <v>1.8</v>
      </c>
      <c r="U160" s="238">
        <f t="shared" si="35"/>
        <v>1.4000000000000001</v>
      </c>
      <c r="V160" s="238">
        <f t="shared" si="36"/>
        <v>0</v>
      </c>
      <c r="W160" s="238">
        <f t="shared" si="37"/>
        <v>0.1</v>
      </c>
      <c r="X160" s="238">
        <f t="shared" si="38"/>
        <v>1.3</v>
      </c>
      <c r="Y160" s="238">
        <f t="shared" si="39"/>
        <v>0</v>
      </c>
      <c r="Z160" s="82">
        <v>1.4000000000000001</v>
      </c>
      <c r="AA160" s="82"/>
      <c r="AB160" s="82">
        <v>0.1</v>
      </c>
      <c r="AC160" s="82">
        <v>1.3</v>
      </c>
      <c r="AD160" s="83"/>
      <c r="AE160" s="233"/>
      <c r="AF160" s="72"/>
      <c r="AG160" s="74">
        <v>9.9545380000000012</v>
      </c>
      <c r="AH160" s="74">
        <v>13.936353200000003</v>
      </c>
      <c r="AI160" s="74">
        <v>0</v>
      </c>
      <c r="AJ160" s="74">
        <v>0.99545380000000017</v>
      </c>
      <c r="AK160" s="74">
        <v>12.940899400000003</v>
      </c>
      <c r="AL160" s="75">
        <v>0</v>
      </c>
      <c r="AM160" s="202">
        <f t="shared" si="40"/>
        <v>8.4314047346800518E-4</v>
      </c>
      <c r="AN160" s="202">
        <f t="shared" si="41"/>
        <v>0</v>
      </c>
      <c r="AO160" s="202">
        <f t="shared" si="42"/>
        <v>6.0224319533428937E-5</v>
      </c>
      <c r="AP160" s="202">
        <f t="shared" si="43"/>
        <v>7.8291615393457628E-4</v>
      </c>
      <c r="AQ160" s="202">
        <f t="shared" si="44"/>
        <v>0</v>
      </c>
      <c r="AR160" s="209" t="s">
        <v>277</v>
      </c>
      <c r="AS160" s="223" t="s">
        <v>1658</v>
      </c>
      <c r="AT160" s="234">
        <v>325180</v>
      </c>
      <c r="AU160" s="244">
        <f t="shared" si="45"/>
        <v>13.936353200000003</v>
      </c>
      <c r="AV160" s="244">
        <f t="shared" si="46"/>
        <v>0</v>
      </c>
      <c r="AW160" s="244">
        <f t="shared" si="47"/>
        <v>0.99545380000000017</v>
      </c>
      <c r="AX160" s="244">
        <f t="shared" si="48"/>
        <v>12.940899400000003</v>
      </c>
      <c r="AY160" s="244">
        <f t="shared" si="49"/>
        <v>0</v>
      </c>
      <c r="AZ160">
        <v>3.3382085848423881E-3</v>
      </c>
    </row>
    <row r="161" spans="1:52" ht="15.75" customHeight="1" x14ac:dyDescent="0.35">
      <c r="A161" s="67" t="s">
        <v>277</v>
      </c>
      <c r="B161" s="67" t="s">
        <v>425</v>
      </c>
      <c r="C161" s="67" t="s">
        <v>108</v>
      </c>
      <c r="D161" s="67" t="s">
        <v>428</v>
      </c>
      <c r="E161" s="67" t="s">
        <v>428</v>
      </c>
      <c r="F161" s="67" t="s">
        <v>426</v>
      </c>
      <c r="G161" s="67" t="s">
        <v>327</v>
      </c>
      <c r="H161" s="67" t="s">
        <v>429</v>
      </c>
      <c r="I161" s="67" t="s">
        <v>430</v>
      </c>
      <c r="J161" s="95"/>
      <c r="K161" s="228">
        <f t="shared" si="50"/>
        <v>95</v>
      </c>
      <c r="L161" s="269">
        <v>95</v>
      </c>
      <c r="M161" s="269">
        <v>175</v>
      </c>
      <c r="N161" s="269">
        <v>95</v>
      </c>
      <c r="O161" s="269">
        <v>1</v>
      </c>
      <c r="P161" s="269"/>
      <c r="Q161" s="269"/>
      <c r="R161" s="269"/>
      <c r="S161" s="67" t="s">
        <v>427</v>
      </c>
      <c r="T161" s="70"/>
      <c r="U161" s="238">
        <f t="shared" si="35"/>
        <v>0.1</v>
      </c>
      <c r="V161" s="238">
        <f t="shared" si="36"/>
        <v>0</v>
      </c>
      <c r="W161" s="238">
        <f t="shared" si="37"/>
        <v>0.1</v>
      </c>
      <c r="X161" s="238">
        <f t="shared" si="38"/>
        <v>0</v>
      </c>
      <c r="Y161" s="238">
        <f t="shared" si="39"/>
        <v>0</v>
      </c>
      <c r="Z161" s="70">
        <v>0.1</v>
      </c>
      <c r="AA161" s="70"/>
      <c r="AB161" s="70">
        <v>0.1</v>
      </c>
      <c r="AC161" s="70"/>
      <c r="AD161" s="71"/>
      <c r="AE161" s="233"/>
      <c r="AF161" s="72"/>
      <c r="AG161" s="74">
        <v>9.9545380000000012</v>
      </c>
      <c r="AH161" s="74">
        <v>0.99545380000000017</v>
      </c>
      <c r="AI161" s="74">
        <v>0</v>
      </c>
      <c r="AJ161" s="74">
        <v>0.99545380000000017</v>
      </c>
      <c r="AK161" s="74">
        <v>0</v>
      </c>
      <c r="AL161" s="75">
        <v>0</v>
      </c>
      <c r="AM161" s="202">
        <f t="shared" si="40"/>
        <v>6.0224319533428937E-5</v>
      </c>
      <c r="AN161" s="202">
        <f t="shared" si="41"/>
        <v>0</v>
      </c>
      <c r="AO161" s="202">
        <f t="shared" si="42"/>
        <v>6.0224319533428937E-5</v>
      </c>
      <c r="AP161" s="202">
        <f t="shared" si="43"/>
        <v>0</v>
      </c>
      <c r="AQ161" s="202">
        <f t="shared" si="44"/>
        <v>0</v>
      </c>
      <c r="AR161" s="209" t="s">
        <v>277</v>
      </c>
      <c r="AS161" s="223" t="s">
        <v>1658</v>
      </c>
      <c r="AT161" s="234">
        <v>325180</v>
      </c>
      <c r="AU161" s="244">
        <f t="shared" si="45"/>
        <v>0.99545380000000017</v>
      </c>
      <c r="AV161" s="244">
        <f t="shared" si="46"/>
        <v>0</v>
      </c>
      <c r="AW161" s="244">
        <f t="shared" si="47"/>
        <v>0.99545380000000017</v>
      </c>
      <c r="AX161" s="244">
        <f t="shared" si="48"/>
        <v>0</v>
      </c>
      <c r="AY161" s="244">
        <f t="shared" si="49"/>
        <v>0</v>
      </c>
      <c r="AZ161">
        <v>2.3844347034588487E-4</v>
      </c>
    </row>
    <row r="162" spans="1:52" ht="15.75" customHeight="1" x14ac:dyDescent="0.35">
      <c r="A162" s="67" t="s">
        <v>277</v>
      </c>
      <c r="B162" s="67" t="s">
        <v>425</v>
      </c>
      <c r="C162" s="67" t="s">
        <v>154</v>
      </c>
      <c r="D162" s="67" t="s">
        <v>431</v>
      </c>
      <c r="E162" s="67" t="s">
        <v>431</v>
      </c>
      <c r="F162" s="67" t="s">
        <v>426</v>
      </c>
      <c r="G162" s="67" t="s">
        <v>327</v>
      </c>
      <c r="H162" s="67" t="s">
        <v>432</v>
      </c>
      <c r="I162" s="67" t="s">
        <v>433</v>
      </c>
      <c r="J162" s="95"/>
      <c r="K162" s="228">
        <f t="shared" si="50"/>
        <v>90</v>
      </c>
      <c r="L162" s="269">
        <v>90</v>
      </c>
      <c r="M162" s="269">
        <v>90</v>
      </c>
      <c r="N162" s="269">
        <v>90</v>
      </c>
      <c r="O162" s="269">
        <v>1</v>
      </c>
      <c r="P162" s="269"/>
      <c r="Q162" s="269"/>
      <c r="R162" s="269"/>
      <c r="S162" s="67" t="s">
        <v>427</v>
      </c>
      <c r="T162" s="70"/>
      <c r="U162" s="238">
        <f t="shared" si="35"/>
        <v>0</v>
      </c>
      <c r="V162" s="238">
        <f t="shared" si="36"/>
        <v>0</v>
      </c>
      <c r="W162" s="238">
        <f t="shared" si="37"/>
        <v>0</v>
      </c>
      <c r="X162" s="238">
        <f t="shared" si="38"/>
        <v>0</v>
      </c>
      <c r="Y162" s="238">
        <f t="shared" si="39"/>
        <v>0</v>
      </c>
      <c r="Z162" s="70">
        <v>0</v>
      </c>
      <c r="AA162" s="70"/>
      <c r="AB162" s="70">
        <v>0</v>
      </c>
      <c r="AC162" s="70"/>
      <c r="AD162" s="71"/>
      <c r="AE162" s="233"/>
      <c r="AF162" s="72"/>
      <c r="AG162" s="74">
        <v>9.9545380000000012</v>
      </c>
      <c r="AH162" s="74">
        <v>0</v>
      </c>
      <c r="AI162" s="74">
        <v>0</v>
      </c>
      <c r="AJ162" s="74">
        <v>0</v>
      </c>
      <c r="AK162" s="74">
        <v>0</v>
      </c>
      <c r="AL162" s="75">
        <v>0</v>
      </c>
      <c r="AM162" s="202">
        <f t="shared" si="40"/>
        <v>0</v>
      </c>
      <c r="AN162" s="202">
        <f t="shared" si="41"/>
        <v>0</v>
      </c>
      <c r="AO162" s="202">
        <f t="shared" si="42"/>
        <v>0</v>
      </c>
      <c r="AP162" s="202">
        <f t="shared" si="43"/>
        <v>0</v>
      </c>
      <c r="AQ162" s="202">
        <f t="shared" si="44"/>
        <v>0</v>
      </c>
      <c r="AR162" s="209" t="s">
        <v>277</v>
      </c>
      <c r="AS162" s="223" t="s">
        <v>1658</v>
      </c>
      <c r="AT162" s="234">
        <v>325180</v>
      </c>
      <c r="AU162" s="244">
        <f t="shared" si="45"/>
        <v>0</v>
      </c>
      <c r="AV162" s="244">
        <f t="shared" si="46"/>
        <v>0</v>
      </c>
      <c r="AW162" s="244">
        <f t="shared" si="47"/>
        <v>0</v>
      </c>
      <c r="AX162" s="244">
        <f t="shared" si="48"/>
        <v>0</v>
      </c>
      <c r="AY162" s="244">
        <f t="shared" si="49"/>
        <v>0</v>
      </c>
      <c r="AZ162">
        <v>0</v>
      </c>
    </row>
    <row r="163" spans="1:52" ht="15.75" customHeight="1" x14ac:dyDescent="0.35">
      <c r="A163" s="67" t="s">
        <v>277</v>
      </c>
      <c r="B163" s="67" t="s">
        <v>425</v>
      </c>
      <c r="C163" s="67" t="s">
        <v>74</v>
      </c>
      <c r="D163" s="67" t="s">
        <v>418</v>
      </c>
      <c r="E163" s="67" t="s">
        <v>418</v>
      </c>
      <c r="F163" s="67" t="s">
        <v>426</v>
      </c>
      <c r="G163" s="67" t="s">
        <v>327</v>
      </c>
      <c r="H163" s="67" t="s">
        <v>434</v>
      </c>
      <c r="I163" s="67" t="s">
        <v>435</v>
      </c>
      <c r="J163" s="105">
        <v>0.85</v>
      </c>
      <c r="K163" s="228">
        <f t="shared" si="50"/>
        <v>100</v>
      </c>
      <c r="L163" s="269">
        <v>100</v>
      </c>
      <c r="M163" s="269">
        <v>90</v>
      </c>
      <c r="N163" s="269">
        <v>100</v>
      </c>
      <c r="O163" s="269">
        <v>1</v>
      </c>
      <c r="P163" s="269"/>
      <c r="Q163" s="269"/>
      <c r="R163" s="269"/>
      <c r="S163" s="67" t="s">
        <v>427</v>
      </c>
      <c r="T163" s="70"/>
      <c r="U163" s="238">
        <f t="shared" si="35"/>
        <v>2.2999999999999998</v>
      </c>
      <c r="V163" s="238">
        <f t="shared" si="36"/>
        <v>0</v>
      </c>
      <c r="W163" s="238">
        <f t="shared" si="37"/>
        <v>1.2</v>
      </c>
      <c r="X163" s="238">
        <f t="shared" si="38"/>
        <v>0</v>
      </c>
      <c r="Y163" s="238">
        <f t="shared" si="39"/>
        <v>1.1000000000000001</v>
      </c>
      <c r="Z163" s="70">
        <v>2.2999999999999998</v>
      </c>
      <c r="AA163" s="70"/>
      <c r="AB163" s="70">
        <v>1.2</v>
      </c>
      <c r="AC163" s="70"/>
      <c r="AD163" s="71">
        <v>1.1000000000000001</v>
      </c>
      <c r="AE163" s="233">
        <v>150</v>
      </c>
      <c r="AF163" s="72">
        <v>4.8</v>
      </c>
      <c r="AG163" s="74">
        <v>9.9545380000000012</v>
      </c>
      <c r="AH163" s="74">
        <v>22.895437400000002</v>
      </c>
      <c r="AI163" s="74">
        <v>0</v>
      </c>
      <c r="AJ163" s="74">
        <v>11.945445600000001</v>
      </c>
      <c r="AK163" s="74">
        <v>0</v>
      </c>
      <c r="AL163" s="75">
        <v>10.949991800000003</v>
      </c>
      <c r="AM163" s="202">
        <f t="shared" si="40"/>
        <v>1.3851593492688655E-3</v>
      </c>
      <c r="AN163" s="202">
        <f t="shared" si="41"/>
        <v>0</v>
      </c>
      <c r="AO163" s="202">
        <f t="shared" si="42"/>
        <v>7.2269183440114716E-4</v>
      </c>
      <c r="AP163" s="202">
        <f t="shared" si="43"/>
        <v>0</v>
      </c>
      <c r="AQ163" s="202">
        <f t="shared" si="44"/>
        <v>6.6246751486771836E-4</v>
      </c>
      <c r="AR163" s="209" t="s">
        <v>277</v>
      </c>
      <c r="AS163" s="223" t="s">
        <v>1658</v>
      </c>
      <c r="AT163" s="234">
        <v>325180</v>
      </c>
      <c r="AU163" s="244">
        <f t="shared" si="45"/>
        <v>22.895437400000002</v>
      </c>
      <c r="AV163" s="244">
        <f t="shared" si="46"/>
        <v>0</v>
      </c>
      <c r="AW163" s="244">
        <f t="shared" si="47"/>
        <v>11.945445600000001</v>
      </c>
      <c r="AX163" s="244">
        <f t="shared" si="48"/>
        <v>0</v>
      </c>
      <c r="AY163" s="244">
        <f t="shared" si="49"/>
        <v>10.949991800000003</v>
      </c>
      <c r="AZ163">
        <v>5.4841998179553514E-3</v>
      </c>
    </row>
    <row r="164" spans="1:52" ht="15.75" customHeight="1" x14ac:dyDescent="0.35">
      <c r="A164" s="67" t="s">
        <v>277</v>
      </c>
      <c r="B164" s="67" t="s">
        <v>425</v>
      </c>
      <c r="C164" s="67" t="s">
        <v>154</v>
      </c>
      <c r="D164" s="67" t="s">
        <v>422</v>
      </c>
      <c r="E164" s="67" t="s">
        <v>422</v>
      </c>
      <c r="F164" s="67" t="s">
        <v>426</v>
      </c>
      <c r="G164" s="67" t="s">
        <v>327</v>
      </c>
      <c r="H164" s="67" t="s">
        <v>177</v>
      </c>
      <c r="I164" s="67" t="s">
        <v>436</v>
      </c>
      <c r="J164" s="95"/>
      <c r="K164" s="228">
        <f t="shared" si="50"/>
        <v>80</v>
      </c>
      <c r="L164" s="269">
        <v>80</v>
      </c>
      <c r="M164" s="269">
        <v>95</v>
      </c>
      <c r="N164" s="269">
        <v>80</v>
      </c>
      <c r="O164" s="269">
        <v>1</v>
      </c>
      <c r="P164" s="269"/>
      <c r="Q164" s="269"/>
      <c r="R164" s="269"/>
      <c r="S164" s="67" t="s">
        <v>427</v>
      </c>
      <c r="T164" s="70"/>
      <c r="U164" s="238">
        <f t="shared" si="35"/>
        <v>0.2</v>
      </c>
      <c r="V164" s="238">
        <f t="shared" si="36"/>
        <v>0</v>
      </c>
      <c r="W164" s="238">
        <f t="shared" si="37"/>
        <v>0.2</v>
      </c>
      <c r="X164" s="238">
        <f t="shared" si="38"/>
        <v>0</v>
      </c>
      <c r="Y164" s="238">
        <f t="shared" si="39"/>
        <v>0</v>
      </c>
      <c r="Z164" s="70">
        <v>0.2</v>
      </c>
      <c r="AA164" s="70"/>
      <c r="AB164" s="70">
        <v>0.2</v>
      </c>
      <c r="AC164" s="70"/>
      <c r="AD164" s="71"/>
      <c r="AE164" s="233"/>
      <c r="AF164" s="72"/>
      <c r="AG164" s="74">
        <v>9.9545380000000012</v>
      </c>
      <c r="AH164" s="74">
        <v>1.9909076000000003</v>
      </c>
      <c r="AI164" s="74">
        <v>0</v>
      </c>
      <c r="AJ164" s="74">
        <v>1.9909076000000003</v>
      </c>
      <c r="AK164" s="74">
        <v>0</v>
      </c>
      <c r="AL164" s="75">
        <v>0</v>
      </c>
      <c r="AM164" s="202">
        <f t="shared" si="40"/>
        <v>1.2044863906685787E-4</v>
      </c>
      <c r="AN164" s="202">
        <f t="shared" si="41"/>
        <v>0</v>
      </c>
      <c r="AO164" s="202">
        <f t="shared" si="42"/>
        <v>1.2044863906685787E-4</v>
      </c>
      <c r="AP164" s="202">
        <f t="shared" si="43"/>
        <v>0</v>
      </c>
      <c r="AQ164" s="202">
        <f t="shared" si="44"/>
        <v>0</v>
      </c>
      <c r="AR164" s="209" t="s">
        <v>277</v>
      </c>
      <c r="AS164" s="223" t="s">
        <v>1658</v>
      </c>
      <c r="AT164" s="234">
        <v>325180</v>
      </c>
      <c r="AU164" s="244">
        <f t="shared" si="45"/>
        <v>1.9909076000000003</v>
      </c>
      <c r="AV164" s="244">
        <f t="shared" si="46"/>
        <v>0</v>
      </c>
      <c r="AW164" s="244">
        <f t="shared" si="47"/>
        <v>1.9909076000000003</v>
      </c>
      <c r="AX164" s="244">
        <f t="shared" si="48"/>
        <v>0</v>
      </c>
      <c r="AY164" s="244">
        <f t="shared" si="49"/>
        <v>0</v>
      </c>
      <c r="AZ164">
        <v>4.7688694069176975E-4</v>
      </c>
    </row>
    <row r="165" spans="1:52" ht="15.75" customHeight="1" x14ac:dyDescent="0.35">
      <c r="A165" s="67" t="s">
        <v>277</v>
      </c>
      <c r="B165" s="67" t="s">
        <v>425</v>
      </c>
      <c r="C165" s="67" t="s">
        <v>74</v>
      </c>
      <c r="D165" s="67" t="s">
        <v>75</v>
      </c>
      <c r="E165" s="67" t="s">
        <v>75</v>
      </c>
      <c r="F165" s="67" t="s">
        <v>426</v>
      </c>
      <c r="G165" s="67" t="s">
        <v>327</v>
      </c>
      <c r="H165" s="67" t="s">
        <v>76</v>
      </c>
      <c r="I165" s="67" t="s">
        <v>437</v>
      </c>
      <c r="J165" s="76" t="s">
        <v>78</v>
      </c>
      <c r="K165" s="228">
        <f t="shared" si="50"/>
        <v>150</v>
      </c>
      <c r="L165" s="269">
        <v>150</v>
      </c>
      <c r="M165" s="269">
        <v>80</v>
      </c>
      <c r="N165" s="269">
        <v>150</v>
      </c>
      <c r="O165" s="269">
        <v>1</v>
      </c>
      <c r="P165" s="269"/>
      <c r="Q165" s="269"/>
      <c r="R165" s="269"/>
      <c r="S165" s="67" t="s">
        <v>427</v>
      </c>
      <c r="T165" s="70"/>
      <c r="U165" s="238">
        <f t="shared" si="35"/>
        <v>2.6</v>
      </c>
      <c r="V165" s="238">
        <f t="shared" si="36"/>
        <v>0</v>
      </c>
      <c r="W165" s="238">
        <f t="shared" si="37"/>
        <v>0.1</v>
      </c>
      <c r="X165" s="238">
        <f t="shared" si="38"/>
        <v>0</v>
      </c>
      <c r="Y165" s="238">
        <f t="shared" si="39"/>
        <v>2.5</v>
      </c>
      <c r="Z165" s="70">
        <v>2.6</v>
      </c>
      <c r="AA165" s="70"/>
      <c r="AB165" s="70">
        <v>0.1</v>
      </c>
      <c r="AC165" s="70"/>
      <c r="AD165" s="71">
        <v>2.5</v>
      </c>
      <c r="AE165" s="233">
        <v>200</v>
      </c>
      <c r="AF165" s="72">
        <v>15.5</v>
      </c>
      <c r="AG165" s="74">
        <v>9.9545380000000012</v>
      </c>
      <c r="AH165" s="74">
        <v>25.881798800000006</v>
      </c>
      <c r="AI165" s="74">
        <v>0</v>
      </c>
      <c r="AJ165" s="74">
        <v>0.99545380000000017</v>
      </c>
      <c r="AK165" s="74">
        <v>0</v>
      </c>
      <c r="AL165" s="75">
        <v>24.886345000000002</v>
      </c>
      <c r="AM165" s="202">
        <f t="shared" si="40"/>
        <v>1.5658323078691526E-3</v>
      </c>
      <c r="AN165" s="202">
        <f t="shared" si="41"/>
        <v>0</v>
      </c>
      <c r="AO165" s="202">
        <f t="shared" si="42"/>
        <v>6.0224319533428937E-5</v>
      </c>
      <c r="AP165" s="202">
        <f t="shared" si="43"/>
        <v>0</v>
      </c>
      <c r="AQ165" s="202">
        <f t="shared" si="44"/>
        <v>1.5056079883357233E-3</v>
      </c>
      <c r="AR165" s="209" t="s">
        <v>277</v>
      </c>
      <c r="AS165" s="223" t="s">
        <v>1658</v>
      </c>
      <c r="AT165" s="234">
        <v>325180</v>
      </c>
      <c r="AU165" s="244">
        <f t="shared" si="45"/>
        <v>25.881798800000006</v>
      </c>
      <c r="AV165" s="244">
        <f t="shared" si="46"/>
        <v>0</v>
      </c>
      <c r="AW165" s="244">
        <f t="shared" si="47"/>
        <v>0.99545380000000017</v>
      </c>
      <c r="AX165" s="244">
        <f t="shared" si="48"/>
        <v>0</v>
      </c>
      <c r="AY165" s="244">
        <f t="shared" si="49"/>
        <v>24.886345000000002</v>
      </c>
      <c r="AZ165">
        <v>6.1995302289930068E-3</v>
      </c>
    </row>
    <row r="166" spans="1:52" ht="15.75" customHeight="1" x14ac:dyDescent="0.35">
      <c r="A166" s="78" t="s">
        <v>277</v>
      </c>
      <c r="B166" s="78" t="s">
        <v>425</v>
      </c>
      <c r="C166" s="78" t="s">
        <v>67</v>
      </c>
      <c r="D166" s="78" t="s">
        <v>67</v>
      </c>
      <c r="E166" s="78" t="s">
        <v>67</v>
      </c>
      <c r="F166" s="78" t="s">
        <v>426</v>
      </c>
      <c r="G166" s="78" t="s">
        <v>327</v>
      </c>
      <c r="H166" s="78" t="s">
        <v>119</v>
      </c>
      <c r="I166" s="78" t="s">
        <v>438</v>
      </c>
      <c r="J166" s="98"/>
      <c r="K166" s="228">
        <f t="shared" si="50"/>
        <v>25</v>
      </c>
      <c r="L166" s="269">
        <v>25</v>
      </c>
      <c r="M166" s="269">
        <v>150</v>
      </c>
      <c r="N166" s="269">
        <v>25</v>
      </c>
      <c r="O166" s="269">
        <v>1</v>
      </c>
      <c r="P166" s="269"/>
      <c r="Q166" s="269"/>
      <c r="R166" s="269"/>
      <c r="S166" s="78" t="s">
        <v>427</v>
      </c>
      <c r="T166" s="82"/>
      <c r="U166" s="238">
        <f t="shared" si="35"/>
        <v>0</v>
      </c>
      <c r="V166" s="238">
        <f t="shared" si="36"/>
        <v>0</v>
      </c>
      <c r="W166" s="238">
        <f t="shared" si="37"/>
        <v>0</v>
      </c>
      <c r="X166" s="238">
        <f t="shared" si="38"/>
        <v>0</v>
      </c>
      <c r="Y166" s="238">
        <f t="shared" si="39"/>
        <v>0</v>
      </c>
      <c r="Z166" s="70">
        <v>0</v>
      </c>
      <c r="AA166" s="70"/>
      <c r="AB166" s="70"/>
      <c r="AC166" s="70"/>
      <c r="AD166" s="71"/>
      <c r="AE166" s="81"/>
      <c r="AF166" s="84"/>
      <c r="AG166" s="85">
        <v>9.9545380000000012</v>
      </c>
      <c r="AH166" s="86">
        <v>0</v>
      </c>
      <c r="AI166" s="86">
        <v>0</v>
      </c>
      <c r="AJ166" s="86">
        <v>0</v>
      </c>
      <c r="AK166" s="86">
        <v>0</v>
      </c>
      <c r="AL166" s="87">
        <v>0</v>
      </c>
      <c r="AM166" s="202">
        <f t="shared" si="40"/>
        <v>0</v>
      </c>
      <c r="AN166" s="202">
        <f t="shared" si="41"/>
        <v>0</v>
      </c>
      <c r="AO166" s="202">
        <f t="shared" si="42"/>
        <v>0</v>
      </c>
      <c r="AP166" s="202">
        <f t="shared" si="43"/>
        <v>0</v>
      </c>
      <c r="AQ166" s="202">
        <f t="shared" si="44"/>
        <v>0</v>
      </c>
      <c r="AR166" s="213" t="s">
        <v>277</v>
      </c>
      <c r="AS166" s="223" t="s">
        <v>1658</v>
      </c>
      <c r="AT166" s="234">
        <v>325180</v>
      </c>
      <c r="AU166" s="244">
        <f t="shared" si="45"/>
        <v>0</v>
      </c>
      <c r="AV166" s="244">
        <f t="shared" si="46"/>
        <v>0</v>
      </c>
      <c r="AW166" s="244">
        <f t="shared" si="47"/>
        <v>0</v>
      </c>
      <c r="AX166" s="244">
        <f t="shared" si="48"/>
        <v>0</v>
      </c>
      <c r="AY166" s="244">
        <f t="shared" si="49"/>
        <v>0</v>
      </c>
      <c r="AZ166">
        <v>0</v>
      </c>
    </row>
    <row r="167" spans="1:52" ht="15.75" customHeight="1" x14ac:dyDescent="0.35">
      <c r="A167" s="67" t="s">
        <v>439</v>
      </c>
      <c r="B167" s="67" t="s">
        <v>440</v>
      </c>
      <c r="C167" s="67" t="s">
        <v>99</v>
      </c>
      <c r="D167" s="67" t="s">
        <v>100</v>
      </c>
      <c r="E167" s="67" t="s">
        <v>106</v>
      </c>
      <c r="F167" s="67" t="s">
        <v>441</v>
      </c>
      <c r="G167" s="67" t="s">
        <v>327</v>
      </c>
      <c r="H167" s="67" t="s">
        <v>103</v>
      </c>
      <c r="I167" s="67" t="s">
        <v>442</v>
      </c>
      <c r="J167" s="95"/>
      <c r="K167" s="228">
        <v>100</v>
      </c>
      <c r="L167" s="269"/>
      <c r="M167" s="269"/>
      <c r="N167" s="269"/>
      <c r="O167" s="269">
        <v>1</v>
      </c>
      <c r="P167" s="269"/>
      <c r="Q167" s="269"/>
      <c r="R167" s="269"/>
      <c r="S167" s="67" t="s">
        <v>443</v>
      </c>
      <c r="T167" s="70">
        <v>1.7</v>
      </c>
      <c r="U167" s="238">
        <f t="shared" si="35"/>
        <v>0.02</v>
      </c>
      <c r="V167" s="238">
        <f t="shared" si="36"/>
        <v>0</v>
      </c>
      <c r="W167" s="238">
        <f t="shared" si="37"/>
        <v>0.02</v>
      </c>
      <c r="X167" s="238">
        <f t="shared" si="38"/>
        <v>0</v>
      </c>
      <c r="Y167" s="238">
        <f t="shared" si="39"/>
        <v>0</v>
      </c>
      <c r="Z167" s="82">
        <v>0.02</v>
      </c>
      <c r="AA167" s="82"/>
      <c r="AB167" s="82">
        <v>0.02</v>
      </c>
      <c r="AC167" s="82"/>
      <c r="AD167" s="83"/>
      <c r="AE167" s="233"/>
      <c r="AF167" s="72"/>
      <c r="AG167" s="74">
        <v>15.114600000000001</v>
      </c>
      <c r="AH167" s="74">
        <v>0.30229200000000001</v>
      </c>
      <c r="AI167" s="74">
        <v>0</v>
      </c>
      <c r="AJ167" s="74">
        <v>0.30229200000000001</v>
      </c>
      <c r="AK167" s="74">
        <v>0</v>
      </c>
      <c r="AL167" s="75">
        <v>0</v>
      </c>
      <c r="AM167" s="202">
        <f t="shared" si="40"/>
        <v>1.8288473056609254E-5</v>
      </c>
      <c r="AN167" s="202">
        <f t="shared" si="41"/>
        <v>0</v>
      </c>
      <c r="AO167" s="202">
        <f t="shared" si="42"/>
        <v>1.8288473056609254E-5</v>
      </c>
      <c r="AP167" s="202">
        <f t="shared" si="43"/>
        <v>0</v>
      </c>
      <c r="AQ167" s="202">
        <f t="shared" si="44"/>
        <v>0</v>
      </c>
      <c r="AR167" s="209" t="s">
        <v>439</v>
      </c>
      <c r="AS167" s="216" t="s">
        <v>1659</v>
      </c>
      <c r="AT167" s="234">
        <v>327410</v>
      </c>
      <c r="AU167" s="244">
        <f t="shared" si="45"/>
        <v>0.30229200000000001</v>
      </c>
      <c r="AV167" s="244">
        <f t="shared" si="46"/>
        <v>0</v>
      </c>
      <c r="AW167" s="244">
        <f t="shared" si="47"/>
        <v>0.30229200000000001</v>
      </c>
      <c r="AX167" s="244">
        <f t="shared" si="48"/>
        <v>0</v>
      </c>
      <c r="AY167" s="244">
        <f t="shared" si="49"/>
        <v>0</v>
      </c>
      <c r="AZ167">
        <v>2.4691007106101447E-4</v>
      </c>
    </row>
    <row r="168" spans="1:52" ht="15.75" customHeight="1" x14ac:dyDescent="0.35">
      <c r="A168" s="67" t="s">
        <v>439</v>
      </c>
      <c r="B168" s="67" t="s">
        <v>440</v>
      </c>
      <c r="C168" s="67" t="s">
        <v>154</v>
      </c>
      <c r="D168" s="67" t="s">
        <v>162</v>
      </c>
      <c r="E168" s="67" t="s">
        <v>162</v>
      </c>
      <c r="F168" s="67" t="s">
        <v>441</v>
      </c>
      <c r="G168" s="67" t="s">
        <v>327</v>
      </c>
      <c r="H168" s="67" t="s">
        <v>444</v>
      </c>
      <c r="I168" s="67" t="s">
        <v>445</v>
      </c>
      <c r="J168" s="95"/>
      <c r="K168" s="228">
        <v>40</v>
      </c>
      <c r="L168" s="269"/>
      <c r="M168" s="269"/>
      <c r="N168" s="269"/>
      <c r="O168" s="269">
        <v>1</v>
      </c>
      <c r="P168" s="269"/>
      <c r="Q168" s="269"/>
      <c r="R168" s="269"/>
      <c r="S168" s="67" t="s">
        <v>443</v>
      </c>
      <c r="T168" s="70"/>
      <c r="U168" s="238">
        <f t="shared" si="35"/>
        <v>0.02</v>
      </c>
      <c r="V168" s="238">
        <f t="shared" si="36"/>
        <v>0</v>
      </c>
      <c r="W168" s="238">
        <f t="shared" si="37"/>
        <v>0.02</v>
      </c>
      <c r="X168" s="238">
        <f t="shared" si="38"/>
        <v>0</v>
      </c>
      <c r="Y168" s="238">
        <f t="shared" si="39"/>
        <v>0</v>
      </c>
      <c r="Z168" s="70">
        <v>0.02</v>
      </c>
      <c r="AA168" s="70"/>
      <c r="AB168" s="70">
        <v>0.02</v>
      </c>
      <c r="AC168" s="70"/>
      <c r="AD168" s="71"/>
      <c r="AE168" s="233"/>
      <c r="AF168" s="72"/>
      <c r="AG168" s="74">
        <v>15.114600000000001</v>
      </c>
      <c r="AH168" s="74">
        <v>0.30229200000000001</v>
      </c>
      <c r="AI168" s="74">
        <v>0</v>
      </c>
      <c r="AJ168" s="74">
        <v>0.30229200000000001</v>
      </c>
      <c r="AK168" s="74">
        <v>0</v>
      </c>
      <c r="AL168" s="75">
        <v>0</v>
      </c>
      <c r="AM168" s="202">
        <f t="shared" si="40"/>
        <v>1.8288473056609254E-5</v>
      </c>
      <c r="AN168" s="202">
        <f t="shared" si="41"/>
        <v>0</v>
      </c>
      <c r="AO168" s="202">
        <f t="shared" si="42"/>
        <v>1.8288473056609254E-5</v>
      </c>
      <c r="AP168" s="202">
        <f t="shared" si="43"/>
        <v>0</v>
      </c>
      <c r="AQ168" s="202">
        <f t="shared" si="44"/>
        <v>0</v>
      </c>
      <c r="AR168" s="209" t="s">
        <v>439</v>
      </c>
      <c r="AS168" s="216" t="s">
        <v>1659</v>
      </c>
      <c r="AT168" s="234">
        <v>327410</v>
      </c>
      <c r="AU168" s="244">
        <f t="shared" si="45"/>
        <v>0.30229200000000001</v>
      </c>
      <c r="AV168" s="244">
        <f t="shared" si="46"/>
        <v>0</v>
      </c>
      <c r="AW168" s="244">
        <f t="shared" si="47"/>
        <v>0.30229200000000001</v>
      </c>
      <c r="AX168" s="244">
        <f t="shared" si="48"/>
        <v>0</v>
      </c>
      <c r="AY168" s="244">
        <f t="shared" si="49"/>
        <v>0</v>
      </c>
      <c r="AZ168">
        <v>2.4691007106101447E-4</v>
      </c>
    </row>
    <row r="169" spans="1:52" ht="15.75" customHeight="1" x14ac:dyDescent="0.35">
      <c r="A169" s="67" t="s">
        <v>439</v>
      </c>
      <c r="B169" s="67" t="s">
        <v>440</v>
      </c>
      <c r="C169" s="67" t="s">
        <v>48</v>
      </c>
      <c r="D169" s="67" t="s">
        <v>113</v>
      </c>
      <c r="E169" s="67" t="s">
        <v>113</v>
      </c>
      <c r="F169" s="67" t="s">
        <v>446</v>
      </c>
      <c r="G169" s="67" t="s">
        <v>327</v>
      </c>
      <c r="H169" s="67" t="s">
        <v>115</v>
      </c>
      <c r="I169" s="67" t="s">
        <v>447</v>
      </c>
      <c r="J169" s="105">
        <v>0.5</v>
      </c>
      <c r="K169" s="228">
        <f t="shared" si="50"/>
        <v>900</v>
      </c>
      <c r="L169" s="269">
        <v>900</v>
      </c>
      <c r="M169" s="269"/>
      <c r="N169" s="269"/>
      <c r="O169" s="269">
        <v>1</v>
      </c>
      <c r="P169" s="269"/>
      <c r="Q169" s="269"/>
      <c r="R169" s="269"/>
      <c r="S169" s="67" t="s">
        <v>443</v>
      </c>
      <c r="T169" s="70"/>
      <c r="U169" s="238">
        <f t="shared" si="35"/>
        <v>6.36</v>
      </c>
      <c r="V169" s="238">
        <f t="shared" si="36"/>
        <v>0</v>
      </c>
      <c r="W169" s="238">
        <f t="shared" si="37"/>
        <v>0.11</v>
      </c>
      <c r="X169" s="238">
        <f t="shared" si="38"/>
        <v>6.25</v>
      </c>
      <c r="Y169" s="238">
        <f t="shared" si="39"/>
        <v>0</v>
      </c>
      <c r="Z169" s="70">
        <v>6.36</v>
      </c>
      <c r="AA169" s="70"/>
      <c r="AB169" s="70">
        <v>0.11</v>
      </c>
      <c r="AC169" s="70">
        <v>6.25</v>
      </c>
      <c r="AD169" s="71"/>
      <c r="AE169" s="233"/>
      <c r="AF169" s="72"/>
      <c r="AG169" s="74">
        <v>15.114600000000001</v>
      </c>
      <c r="AH169" s="74">
        <v>96.128856000000013</v>
      </c>
      <c r="AI169" s="74">
        <v>0</v>
      </c>
      <c r="AJ169" s="74">
        <v>1.662606</v>
      </c>
      <c r="AK169" s="74">
        <v>94.466250000000002</v>
      </c>
      <c r="AL169" s="75">
        <v>0</v>
      </c>
      <c r="AM169" s="202">
        <f t="shared" si="40"/>
        <v>5.8157344320017438E-3</v>
      </c>
      <c r="AN169" s="202">
        <f t="shared" si="41"/>
        <v>0</v>
      </c>
      <c r="AO169" s="202">
        <f t="shared" si="42"/>
        <v>1.005866018113509E-4</v>
      </c>
      <c r="AP169" s="202">
        <f t="shared" si="43"/>
        <v>5.7151478301903924E-3</v>
      </c>
      <c r="AQ169" s="202">
        <f t="shared" si="44"/>
        <v>0</v>
      </c>
      <c r="AR169" s="209" t="s">
        <v>439</v>
      </c>
      <c r="AS169" s="216" t="s">
        <v>1659</v>
      </c>
      <c r="AT169" s="234">
        <v>327410</v>
      </c>
      <c r="AU169" s="244">
        <f t="shared" si="45"/>
        <v>96.128856000000013</v>
      </c>
      <c r="AV169" s="244">
        <f t="shared" si="46"/>
        <v>0</v>
      </c>
      <c r="AW169" s="244">
        <f t="shared" si="47"/>
        <v>1.662606</v>
      </c>
      <c r="AX169" s="244">
        <f t="shared" si="48"/>
        <v>94.466250000000002</v>
      </c>
      <c r="AY169" s="244">
        <f t="shared" si="49"/>
        <v>0</v>
      </c>
      <c r="AZ169">
        <v>7.8517402597402614E-2</v>
      </c>
    </row>
    <row r="170" spans="1:52" ht="15.75" customHeight="1" x14ac:dyDescent="0.35">
      <c r="A170" s="67" t="s">
        <v>439</v>
      </c>
      <c r="B170" s="67" t="s">
        <v>440</v>
      </c>
      <c r="C170" s="67" t="s">
        <v>67</v>
      </c>
      <c r="D170" s="67" t="s">
        <v>67</v>
      </c>
      <c r="E170" s="67" t="s">
        <v>448</v>
      </c>
      <c r="F170" s="67" t="s">
        <v>446</v>
      </c>
      <c r="G170" s="67" t="s">
        <v>327</v>
      </c>
      <c r="H170" s="67" t="s">
        <v>119</v>
      </c>
      <c r="I170" s="67" t="s">
        <v>449</v>
      </c>
      <c r="J170" s="113">
        <v>0.81200000000000006</v>
      </c>
      <c r="K170" s="228">
        <f t="shared" si="50"/>
        <v>90</v>
      </c>
      <c r="L170" s="269">
        <v>90</v>
      </c>
      <c r="M170" s="269">
        <v>900</v>
      </c>
      <c r="N170" s="269">
        <v>90</v>
      </c>
      <c r="O170" s="269">
        <v>1</v>
      </c>
      <c r="P170" s="269"/>
      <c r="Q170" s="269"/>
      <c r="R170" s="269"/>
      <c r="S170" s="67" t="s">
        <v>443</v>
      </c>
      <c r="T170" s="70"/>
      <c r="U170" s="238">
        <f t="shared" si="35"/>
        <v>0.04</v>
      </c>
      <c r="V170" s="238">
        <f t="shared" si="36"/>
        <v>0</v>
      </c>
      <c r="W170" s="238">
        <f t="shared" si="37"/>
        <v>0.04</v>
      </c>
      <c r="X170" s="238">
        <f t="shared" si="38"/>
        <v>0</v>
      </c>
      <c r="Y170" s="238">
        <f t="shared" si="39"/>
        <v>0</v>
      </c>
      <c r="Z170" s="70">
        <v>0.04</v>
      </c>
      <c r="AA170" s="70"/>
      <c r="AB170" s="70">
        <v>0.04</v>
      </c>
      <c r="AC170" s="70"/>
      <c r="AD170" s="71"/>
      <c r="AE170" s="233"/>
      <c r="AF170" s="72"/>
      <c r="AG170" s="74">
        <v>15.114600000000001</v>
      </c>
      <c r="AH170" s="74">
        <v>0.60458400000000001</v>
      </c>
      <c r="AI170" s="74">
        <v>0</v>
      </c>
      <c r="AJ170" s="74">
        <v>0.60458400000000001</v>
      </c>
      <c r="AK170" s="74">
        <v>0</v>
      </c>
      <c r="AL170" s="75">
        <v>0</v>
      </c>
      <c r="AM170" s="202">
        <f t="shared" si="40"/>
        <v>3.6576946113218508E-5</v>
      </c>
      <c r="AN170" s="202">
        <f t="shared" si="41"/>
        <v>0</v>
      </c>
      <c r="AO170" s="202">
        <f t="shared" si="42"/>
        <v>3.6576946113218508E-5</v>
      </c>
      <c r="AP170" s="202">
        <f t="shared" si="43"/>
        <v>0</v>
      </c>
      <c r="AQ170" s="202">
        <f t="shared" si="44"/>
        <v>0</v>
      </c>
      <c r="AR170" s="209" t="s">
        <v>439</v>
      </c>
      <c r="AS170" s="216" t="s">
        <v>1659</v>
      </c>
      <c r="AT170" s="234">
        <v>327410</v>
      </c>
      <c r="AU170" s="244">
        <f t="shared" si="45"/>
        <v>0.60458400000000001</v>
      </c>
      <c r="AV170" s="244">
        <f t="shared" si="46"/>
        <v>0</v>
      </c>
      <c r="AW170" s="244">
        <f t="shared" si="47"/>
        <v>0.60458400000000001</v>
      </c>
      <c r="AX170" s="244">
        <f t="shared" si="48"/>
        <v>0</v>
      </c>
      <c r="AY170" s="244">
        <f t="shared" si="49"/>
        <v>0</v>
      </c>
      <c r="AZ170">
        <v>4.9382014212202895E-4</v>
      </c>
    </row>
    <row r="171" spans="1:52" ht="15.75" customHeight="1" x14ac:dyDescent="0.35">
      <c r="A171" s="67" t="s">
        <v>439</v>
      </c>
      <c r="B171" s="67" t="s">
        <v>440</v>
      </c>
      <c r="C171" s="67" t="s">
        <v>99</v>
      </c>
      <c r="D171" s="67" t="s">
        <v>100</v>
      </c>
      <c r="E171" s="67" t="s">
        <v>450</v>
      </c>
      <c r="F171" s="67" t="s">
        <v>446</v>
      </c>
      <c r="G171" s="67" t="s">
        <v>327</v>
      </c>
      <c r="H171" s="67" t="s">
        <v>103</v>
      </c>
      <c r="I171" s="67" t="s">
        <v>451</v>
      </c>
      <c r="J171" s="95"/>
      <c r="K171" s="228">
        <v>100</v>
      </c>
      <c r="L171" s="269"/>
      <c r="M171" s="269"/>
      <c r="N171" s="269"/>
      <c r="O171" s="269">
        <v>1</v>
      </c>
      <c r="P171" s="269"/>
      <c r="Q171" s="269"/>
      <c r="R171" s="269"/>
      <c r="S171" s="67" t="s">
        <v>443</v>
      </c>
      <c r="T171" s="70"/>
      <c r="U171" s="238">
        <f t="shared" si="35"/>
        <v>0.06</v>
      </c>
      <c r="V171" s="238">
        <f t="shared" si="36"/>
        <v>0</v>
      </c>
      <c r="W171" s="238">
        <f t="shared" si="37"/>
        <v>0.06</v>
      </c>
      <c r="X171" s="238">
        <f t="shared" si="38"/>
        <v>0</v>
      </c>
      <c r="Y171" s="238">
        <f t="shared" si="39"/>
        <v>0</v>
      </c>
      <c r="Z171" s="70">
        <v>0.06</v>
      </c>
      <c r="AA171" s="70"/>
      <c r="AB171" s="70">
        <v>0.06</v>
      </c>
      <c r="AC171" s="70"/>
      <c r="AD171" s="71"/>
      <c r="AE171" s="233"/>
      <c r="AF171" s="72"/>
      <c r="AG171" s="74">
        <v>15.114600000000001</v>
      </c>
      <c r="AH171" s="74">
        <v>0.90687600000000002</v>
      </c>
      <c r="AI171" s="74">
        <v>0</v>
      </c>
      <c r="AJ171" s="74">
        <v>0.90687600000000002</v>
      </c>
      <c r="AK171" s="74">
        <v>0</v>
      </c>
      <c r="AL171" s="75">
        <v>0</v>
      </c>
      <c r="AM171" s="202">
        <f t="shared" si="40"/>
        <v>5.4865419169827765E-5</v>
      </c>
      <c r="AN171" s="202">
        <f t="shared" si="41"/>
        <v>0</v>
      </c>
      <c r="AO171" s="202">
        <f t="shared" si="42"/>
        <v>5.4865419169827765E-5</v>
      </c>
      <c r="AP171" s="202">
        <f t="shared" si="43"/>
        <v>0</v>
      </c>
      <c r="AQ171" s="202">
        <f t="shared" si="44"/>
        <v>0</v>
      </c>
      <c r="AR171" s="209" t="s">
        <v>439</v>
      </c>
      <c r="AS171" s="216" t="s">
        <v>1659</v>
      </c>
      <c r="AT171" s="234">
        <v>327410</v>
      </c>
      <c r="AU171" s="244">
        <f t="shared" si="45"/>
        <v>0.90687600000000002</v>
      </c>
      <c r="AV171" s="244">
        <f t="shared" si="46"/>
        <v>0</v>
      </c>
      <c r="AW171" s="244">
        <f t="shared" si="47"/>
        <v>0.90687600000000002</v>
      </c>
      <c r="AX171" s="244">
        <f t="shared" si="48"/>
        <v>0</v>
      </c>
      <c r="AY171" s="244">
        <f t="shared" si="49"/>
        <v>0</v>
      </c>
      <c r="AZ171">
        <v>7.4073021318304337E-4</v>
      </c>
    </row>
    <row r="172" spans="1:52" ht="15.75" customHeight="1" x14ac:dyDescent="0.35">
      <c r="A172" s="67" t="s">
        <v>439</v>
      </c>
      <c r="B172" s="67" t="s">
        <v>440</v>
      </c>
      <c r="C172" s="67" t="s">
        <v>108</v>
      </c>
      <c r="D172" s="67" t="s">
        <v>452</v>
      </c>
      <c r="E172" s="67" t="s">
        <v>452</v>
      </c>
      <c r="F172" s="67" t="s">
        <v>453</v>
      </c>
      <c r="G172" s="67" t="s">
        <v>327</v>
      </c>
      <c r="H172" s="67" t="s">
        <v>454</v>
      </c>
      <c r="I172" s="67" t="s">
        <v>455</v>
      </c>
      <c r="J172" s="95"/>
      <c r="K172" s="228">
        <f t="shared" si="50"/>
        <v>100</v>
      </c>
      <c r="L172" s="269">
        <v>100</v>
      </c>
      <c r="M172" s="269">
        <v>25</v>
      </c>
      <c r="N172" s="269">
        <v>100</v>
      </c>
      <c r="O172" s="269">
        <v>1</v>
      </c>
      <c r="P172" s="269"/>
      <c r="Q172" s="269"/>
      <c r="R172" s="269" t="s">
        <v>456</v>
      </c>
      <c r="S172" s="67" t="s">
        <v>443</v>
      </c>
      <c r="T172" s="70"/>
      <c r="U172" s="238">
        <f t="shared" si="35"/>
        <v>1.0799999999999998</v>
      </c>
      <c r="V172" s="238">
        <f t="shared" si="36"/>
        <v>0</v>
      </c>
      <c r="W172" s="238">
        <f t="shared" si="37"/>
        <v>0.06</v>
      </c>
      <c r="X172" s="238">
        <f t="shared" si="38"/>
        <v>0</v>
      </c>
      <c r="Y172" s="238">
        <f t="shared" si="39"/>
        <v>1.1399999999999999</v>
      </c>
      <c r="Z172" s="70">
        <v>-1.0799999999999998</v>
      </c>
      <c r="AA172" s="70"/>
      <c r="AB172" s="70">
        <v>0.06</v>
      </c>
      <c r="AC172" s="70"/>
      <c r="AD172" s="71">
        <v>-1.1399999999999999</v>
      </c>
      <c r="AE172" s="233">
        <v>100</v>
      </c>
      <c r="AF172" s="72">
        <v>1</v>
      </c>
      <c r="AG172" s="74">
        <v>2.418336</v>
      </c>
      <c r="AH172" s="74">
        <v>-2.6118028799999995</v>
      </c>
      <c r="AI172" s="74">
        <v>0</v>
      </c>
      <c r="AJ172" s="74">
        <v>0.14510016000000001</v>
      </c>
      <c r="AK172" s="74">
        <v>0</v>
      </c>
      <c r="AL172" s="75">
        <v>-2.7569030399999996</v>
      </c>
      <c r="AM172" s="202">
        <f t="shared" si="40"/>
        <v>-1.5801240720910394E-4</v>
      </c>
      <c r="AN172" s="202">
        <f t="shared" si="41"/>
        <v>0</v>
      </c>
      <c r="AO172" s="202">
        <f t="shared" si="42"/>
        <v>8.7784670671724423E-6</v>
      </c>
      <c r="AP172" s="202">
        <f t="shared" si="43"/>
        <v>0</v>
      </c>
      <c r="AQ172" s="202">
        <f t="shared" si="44"/>
        <v>-1.6679087427627637E-4</v>
      </c>
      <c r="AR172" s="209" t="s">
        <v>439</v>
      </c>
      <c r="AS172" s="216" t="s">
        <v>1659</v>
      </c>
      <c r="AT172" s="234">
        <v>327410</v>
      </c>
      <c r="AU172" s="244">
        <f t="shared" si="45"/>
        <v>2.6118028799999995</v>
      </c>
      <c r="AV172" s="244">
        <f t="shared" si="46"/>
        <v>0</v>
      </c>
      <c r="AW172" s="244">
        <f t="shared" si="47"/>
        <v>0.14510016000000001</v>
      </c>
      <c r="AX172" s="244">
        <f t="shared" si="48"/>
        <v>0</v>
      </c>
      <c r="AY172" s="244">
        <f t="shared" si="49"/>
        <v>2.7569030399999996</v>
      </c>
      <c r="AZ172">
        <v>-2.1333030139671647E-3</v>
      </c>
    </row>
    <row r="173" spans="1:52" ht="15.75" customHeight="1" x14ac:dyDescent="0.35">
      <c r="A173" s="67" t="s">
        <v>439</v>
      </c>
      <c r="B173" s="67" t="s">
        <v>440</v>
      </c>
      <c r="C173" s="67" t="s">
        <v>74</v>
      </c>
      <c r="D173" s="67" t="s">
        <v>75</v>
      </c>
      <c r="E173" s="67" t="s">
        <v>457</v>
      </c>
      <c r="F173" s="67" t="s">
        <v>453</v>
      </c>
      <c r="G173" s="67" t="s">
        <v>327</v>
      </c>
      <c r="H173" s="67" t="s">
        <v>214</v>
      </c>
      <c r="I173" s="67" t="s">
        <v>458</v>
      </c>
      <c r="J173" s="76" t="s">
        <v>78</v>
      </c>
      <c r="K173" s="228">
        <f t="shared" si="50"/>
        <v>25</v>
      </c>
      <c r="L173" s="269">
        <v>25</v>
      </c>
      <c r="M173" s="269">
        <v>100</v>
      </c>
      <c r="N173" s="269">
        <v>25</v>
      </c>
      <c r="O173" s="269">
        <v>1</v>
      </c>
      <c r="P173" s="269"/>
      <c r="Q173" s="269"/>
      <c r="R173" s="269"/>
      <c r="S173" s="67" t="s">
        <v>443</v>
      </c>
      <c r="T173" s="70"/>
      <c r="U173" s="238">
        <f t="shared" si="35"/>
        <v>0.01</v>
      </c>
      <c r="V173" s="238">
        <f t="shared" si="36"/>
        <v>0</v>
      </c>
      <c r="W173" s="238">
        <f t="shared" si="37"/>
        <v>0.01</v>
      </c>
      <c r="X173" s="238">
        <f t="shared" si="38"/>
        <v>0</v>
      </c>
      <c r="Y173" s="238">
        <f t="shared" si="39"/>
        <v>0</v>
      </c>
      <c r="Z173" s="70">
        <v>0.01</v>
      </c>
      <c r="AA173" s="70"/>
      <c r="AB173" s="70">
        <v>0.01</v>
      </c>
      <c r="AC173" s="70"/>
      <c r="AD173" s="71"/>
      <c r="AE173" s="233"/>
      <c r="AF173" s="72"/>
      <c r="AG173" s="74">
        <v>2.418336</v>
      </c>
      <c r="AH173" s="74">
        <v>2.4183360000000001E-2</v>
      </c>
      <c r="AI173" s="74">
        <v>0</v>
      </c>
      <c r="AJ173" s="74">
        <v>2.4183360000000001E-2</v>
      </c>
      <c r="AK173" s="74">
        <v>0</v>
      </c>
      <c r="AL173" s="75">
        <v>0</v>
      </c>
      <c r="AM173" s="202">
        <f t="shared" si="40"/>
        <v>1.4630778445287403E-6</v>
      </c>
      <c r="AN173" s="202">
        <f t="shared" si="41"/>
        <v>0</v>
      </c>
      <c r="AO173" s="202">
        <f t="shared" si="42"/>
        <v>1.4630778445287403E-6</v>
      </c>
      <c r="AP173" s="202">
        <f t="shared" si="43"/>
        <v>0</v>
      </c>
      <c r="AQ173" s="202">
        <f t="shared" si="44"/>
        <v>0</v>
      </c>
      <c r="AR173" s="209" t="s">
        <v>439</v>
      </c>
      <c r="AS173" s="216" t="s">
        <v>1659</v>
      </c>
      <c r="AT173" s="234">
        <v>327410</v>
      </c>
      <c r="AU173" s="244">
        <f t="shared" si="45"/>
        <v>2.4183360000000001E-2</v>
      </c>
      <c r="AV173" s="244">
        <f t="shared" si="46"/>
        <v>0</v>
      </c>
      <c r="AW173" s="244">
        <f t="shared" si="47"/>
        <v>2.4183360000000001E-2</v>
      </c>
      <c r="AX173" s="244">
        <f t="shared" si="48"/>
        <v>0</v>
      </c>
      <c r="AY173" s="244">
        <f t="shared" si="49"/>
        <v>0</v>
      </c>
      <c r="AZ173">
        <v>1.975280568488116E-5</v>
      </c>
    </row>
    <row r="174" spans="1:52" ht="15.75" customHeight="1" x14ac:dyDescent="0.35">
      <c r="A174" s="78" t="s">
        <v>439</v>
      </c>
      <c r="B174" s="78" t="s">
        <v>440</v>
      </c>
      <c r="C174" s="78" t="s">
        <v>124</v>
      </c>
      <c r="D174" s="78" t="s">
        <v>124</v>
      </c>
      <c r="E174" s="78" t="s">
        <v>124</v>
      </c>
      <c r="F174" s="78" t="s">
        <v>459</v>
      </c>
      <c r="G174" s="78" t="s">
        <v>327</v>
      </c>
      <c r="H174" s="78" t="s">
        <v>125</v>
      </c>
      <c r="I174" s="78" t="s">
        <v>125</v>
      </c>
      <c r="J174" s="98"/>
      <c r="K174" s="228">
        <v>30</v>
      </c>
      <c r="L174" s="269"/>
      <c r="M174" s="269"/>
      <c r="N174" s="269"/>
      <c r="O174" s="269">
        <v>1</v>
      </c>
      <c r="P174" s="269"/>
      <c r="Q174" s="269"/>
      <c r="R174" s="269"/>
      <c r="S174" s="78" t="s">
        <v>443</v>
      </c>
      <c r="T174" s="82"/>
      <c r="U174" s="238">
        <f t="shared" si="35"/>
        <v>0.01</v>
      </c>
      <c r="V174" s="238">
        <f t="shared" si="36"/>
        <v>0</v>
      </c>
      <c r="W174" s="238">
        <f t="shared" si="37"/>
        <v>0.01</v>
      </c>
      <c r="X174" s="238">
        <f t="shared" si="38"/>
        <v>0</v>
      </c>
      <c r="Y174" s="238">
        <f t="shared" si="39"/>
        <v>0</v>
      </c>
      <c r="Z174" s="70">
        <v>0.01</v>
      </c>
      <c r="AA174" s="70"/>
      <c r="AB174" s="70">
        <v>0.01</v>
      </c>
      <c r="AC174" s="70"/>
      <c r="AD174" s="71"/>
      <c r="AE174" s="81"/>
      <c r="AF174" s="84"/>
      <c r="AG174" s="86">
        <v>15.114600000000001</v>
      </c>
      <c r="AH174" s="86">
        <v>0.151146</v>
      </c>
      <c r="AI174" s="86">
        <v>0</v>
      </c>
      <c r="AJ174" s="86">
        <v>0.151146</v>
      </c>
      <c r="AK174" s="86">
        <v>0</v>
      </c>
      <c r="AL174" s="87">
        <v>0</v>
      </c>
      <c r="AM174" s="202">
        <f t="shared" si="40"/>
        <v>9.1442365283046269E-6</v>
      </c>
      <c r="AN174" s="202">
        <f t="shared" si="41"/>
        <v>0</v>
      </c>
      <c r="AO174" s="202">
        <f t="shared" si="42"/>
        <v>9.1442365283046269E-6</v>
      </c>
      <c r="AP174" s="202">
        <f t="shared" si="43"/>
        <v>0</v>
      </c>
      <c r="AQ174" s="202">
        <f t="shared" si="44"/>
        <v>0</v>
      </c>
      <c r="AR174" s="213" t="s">
        <v>439</v>
      </c>
      <c r="AS174" s="216" t="s">
        <v>1659</v>
      </c>
      <c r="AT174" s="234">
        <v>327410</v>
      </c>
      <c r="AU174" s="244">
        <f t="shared" si="45"/>
        <v>0.151146</v>
      </c>
      <c r="AV174" s="244">
        <f t="shared" si="46"/>
        <v>0</v>
      </c>
      <c r="AW174" s="244">
        <f t="shared" si="47"/>
        <v>0.151146</v>
      </c>
      <c r="AX174" s="244">
        <f t="shared" si="48"/>
        <v>0</v>
      </c>
      <c r="AY174" s="244">
        <f t="shared" si="49"/>
        <v>0</v>
      </c>
      <c r="AZ174">
        <v>1.2345503553050724E-4</v>
      </c>
    </row>
    <row r="175" spans="1:52" ht="15.75" customHeight="1" x14ac:dyDescent="0.35">
      <c r="A175" s="67" t="s">
        <v>439</v>
      </c>
      <c r="B175" s="67" t="s">
        <v>460</v>
      </c>
      <c r="C175" s="67" t="s">
        <v>99</v>
      </c>
      <c r="D175" s="67" t="s">
        <v>100</v>
      </c>
      <c r="E175" s="67" t="s">
        <v>106</v>
      </c>
      <c r="F175" s="67" t="s">
        <v>441</v>
      </c>
      <c r="G175" s="67" t="s">
        <v>327</v>
      </c>
      <c r="H175" s="67" t="s">
        <v>103</v>
      </c>
      <c r="I175" s="67" t="s">
        <v>442</v>
      </c>
      <c r="J175" s="95"/>
      <c r="K175" s="228">
        <v>100</v>
      </c>
      <c r="L175" s="269"/>
      <c r="M175" s="269"/>
      <c r="N175" s="269"/>
      <c r="O175" s="269">
        <v>1</v>
      </c>
      <c r="P175" s="269"/>
      <c r="Q175" s="269"/>
      <c r="R175" s="269"/>
      <c r="S175" s="67" t="s">
        <v>443</v>
      </c>
      <c r="T175" s="70">
        <v>1.7</v>
      </c>
      <c r="U175" s="238">
        <f t="shared" si="35"/>
        <v>0.02</v>
      </c>
      <c r="V175" s="238">
        <f t="shared" si="36"/>
        <v>0</v>
      </c>
      <c r="W175" s="238">
        <f t="shared" si="37"/>
        <v>0.02</v>
      </c>
      <c r="X175" s="238">
        <f t="shared" si="38"/>
        <v>0</v>
      </c>
      <c r="Y175" s="238">
        <f t="shared" si="39"/>
        <v>0</v>
      </c>
      <c r="Z175" s="82">
        <v>0.02</v>
      </c>
      <c r="AA175" s="82"/>
      <c r="AB175" s="82">
        <v>0.02</v>
      </c>
      <c r="AC175" s="82"/>
      <c r="AD175" s="83"/>
      <c r="AE175" s="233"/>
      <c r="AF175" s="72"/>
      <c r="AG175" s="74">
        <v>1.6794000000000002</v>
      </c>
      <c r="AH175" s="74">
        <v>3.3588000000000007E-2</v>
      </c>
      <c r="AI175" s="74">
        <v>0</v>
      </c>
      <c r="AJ175" s="74">
        <v>3.3588000000000007E-2</v>
      </c>
      <c r="AK175" s="74">
        <v>0</v>
      </c>
      <c r="AL175" s="75">
        <v>0</v>
      </c>
      <c r="AM175" s="202">
        <f t="shared" si="40"/>
        <v>2.0320525618454733E-6</v>
      </c>
      <c r="AN175" s="202">
        <f t="shared" si="41"/>
        <v>0</v>
      </c>
      <c r="AO175" s="202">
        <f t="shared" si="42"/>
        <v>2.0320525618454733E-6</v>
      </c>
      <c r="AP175" s="202">
        <f t="shared" si="43"/>
        <v>0</v>
      </c>
      <c r="AQ175" s="202">
        <f t="shared" si="44"/>
        <v>0</v>
      </c>
      <c r="AR175" s="209" t="s">
        <v>439</v>
      </c>
      <c r="AS175" s="216" t="s">
        <v>1659</v>
      </c>
      <c r="AT175" s="234">
        <v>327410</v>
      </c>
      <c r="AU175" s="244">
        <f t="shared" si="45"/>
        <v>3.3588000000000007E-2</v>
      </c>
      <c r="AV175" s="244">
        <f t="shared" si="46"/>
        <v>0</v>
      </c>
      <c r="AW175" s="244">
        <f t="shared" si="47"/>
        <v>3.3588000000000007E-2</v>
      </c>
      <c r="AX175" s="244">
        <f t="shared" si="48"/>
        <v>0</v>
      </c>
      <c r="AY175" s="244">
        <f t="shared" si="49"/>
        <v>0</v>
      </c>
      <c r="AZ175">
        <v>2.7434452340112726E-5</v>
      </c>
    </row>
    <row r="176" spans="1:52" ht="15.75" customHeight="1" x14ac:dyDescent="0.35">
      <c r="A176" s="67" t="s">
        <v>439</v>
      </c>
      <c r="B176" s="67" t="s">
        <v>460</v>
      </c>
      <c r="C176" s="67" t="s">
        <v>154</v>
      </c>
      <c r="D176" s="67" t="s">
        <v>162</v>
      </c>
      <c r="E176" s="67" t="s">
        <v>162</v>
      </c>
      <c r="F176" s="67" t="s">
        <v>441</v>
      </c>
      <c r="G176" s="67" t="s">
        <v>327</v>
      </c>
      <c r="H176" s="67" t="s">
        <v>444</v>
      </c>
      <c r="I176" s="67" t="s">
        <v>445</v>
      </c>
      <c r="J176" s="95"/>
      <c r="K176" s="228">
        <v>40</v>
      </c>
      <c r="L176" s="269"/>
      <c r="M176" s="269"/>
      <c r="N176" s="269"/>
      <c r="O176" s="269">
        <v>1</v>
      </c>
      <c r="P176" s="269"/>
      <c r="Q176" s="269"/>
      <c r="R176" s="269"/>
      <c r="S176" s="67" t="s">
        <v>443</v>
      </c>
      <c r="T176" s="70"/>
      <c r="U176" s="238">
        <f t="shared" si="35"/>
        <v>0.02</v>
      </c>
      <c r="V176" s="238">
        <f t="shared" si="36"/>
        <v>0</v>
      </c>
      <c r="W176" s="238">
        <f t="shared" si="37"/>
        <v>0.02</v>
      </c>
      <c r="X176" s="238">
        <f t="shared" si="38"/>
        <v>0</v>
      </c>
      <c r="Y176" s="238">
        <f t="shared" si="39"/>
        <v>0</v>
      </c>
      <c r="Z176" s="70">
        <v>0.02</v>
      </c>
      <c r="AA176" s="70"/>
      <c r="AB176" s="70">
        <v>0.02</v>
      </c>
      <c r="AC176" s="70"/>
      <c r="AD176" s="71"/>
      <c r="AE176" s="233"/>
      <c r="AF176" s="72"/>
      <c r="AG176" s="74">
        <v>1.6794000000000002</v>
      </c>
      <c r="AH176" s="74">
        <v>3.3588000000000007E-2</v>
      </c>
      <c r="AI176" s="74">
        <v>0</v>
      </c>
      <c r="AJ176" s="74">
        <v>3.3588000000000007E-2</v>
      </c>
      <c r="AK176" s="74">
        <v>0</v>
      </c>
      <c r="AL176" s="75">
        <v>0</v>
      </c>
      <c r="AM176" s="202">
        <f t="shared" si="40"/>
        <v>2.0320525618454733E-6</v>
      </c>
      <c r="AN176" s="202">
        <f t="shared" si="41"/>
        <v>0</v>
      </c>
      <c r="AO176" s="202">
        <f t="shared" si="42"/>
        <v>2.0320525618454733E-6</v>
      </c>
      <c r="AP176" s="202">
        <f t="shared" si="43"/>
        <v>0</v>
      </c>
      <c r="AQ176" s="202">
        <f t="shared" si="44"/>
        <v>0</v>
      </c>
      <c r="AR176" s="209" t="s">
        <v>439</v>
      </c>
      <c r="AS176" s="216" t="s">
        <v>1659</v>
      </c>
      <c r="AT176" s="234">
        <v>327410</v>
      </c>
      <c r="AU176" s="244">
        <f t="shared" si="45"/>
        <v>3.3588000000000007E-2</v>
      </c>
      <c r="AV176" s="244">
        <f t="shared" si="46"/>
        <v>0</v>
      </c>
      <c r="AW176" s="244">
        <f t="shared" si="47"/>
        <v>3.3588000000000007E-2</v>
      </c>
      <c r="AX176" s="244">
        <f t="shared" si="48"/>
        <v>0</v>
      </c>
      <c r="AY176" s="244">
        <f t="shared" si="49"/>
        <v>0</v>
      </c>
      <c r="AZ176">
        <v>2.7434452340112726E-5</v>
      </c>
    </row>
    <row r="177" spans="1:52" ht="15.75" customHeight="1" x14ac:dyDescent="0.35">
      <c r="A177" s="67" t="s">
        <v>439</v>
      </c>
      <c r="B177" s="67" t="s">
        <v>460</v>
      </c>
      <c r="C177" s="67" t="s">
        <v>48</v>
      </c>
      <c r="D177" s="67" t="s">
        <v>113</v>
      </c>
      <c r="E177" s="67" t="s">
        <v>113</v>
      </c>
      <c r="F177" s="67" t="s">
        <v>446</v>
      </c>
      <c r="G177" s="67" t="s">
        <v>327</v>
      </c>
      <c r="H177" s="67" t="s">
        <v>115</v>
      </c>
      <c r="I177" s="67" t="s">
        <v>461</v>
      </c>
      <c r="J177" s="105">
        <v>0.75</v>
      </c>
      <c r="K177" s="228">
        <f t="shared" si="50"/>
        <v>900</v>
      </c>
      <c r="L177" s="269">
        <v>900</v>
      </c>
      <c r="M177" s="269"/>
      <c r="N177" s="269"/>
      <c r="O177" s="269">
        <v>1</v>
      </c>
      <c r="P177" s="269"/>
      <c r="Q177" s="269"/>
      <c r="R177" s="269"/>
      <c r="S177" s="67" t="s">
        <v>443</v>
      </c>
      <c r="T177" s="70"/>
      <c r="U177" s="238">
        <f t="shared" si="35"/>
        <v>4.34</v>
      </c>
      <c r="V177" s="238">
        <f t="shared" si="36"/>
        <v>0</v>
      </c>
      <c r="W177" s="238">
        <f t="shared" si="37"/>
        <v>0.09</v>
      </c>
      <c r="X177" s="238">
        <f t="shared" si="38"/>
        <v>4.25</v>
      </c>
      <c r="Y177" s="238">
        <f t="shared" si="39"/>
        <v>0</v>
      </c>
      <c r="Z177" s="70">
        <v>4.34</v>
      </c>
      <c r="AA177" s="70"/>
      <c r="AB177" s="70">
        <v>0.09</v>
      </c>
      <c r="AC177" s="70">
        <v>4.25</v>
      </c>
      <c r="AD177" s="71"/>
      <c r="AE177" s="233"/>
      <c r="AF177" s="72"/>
      <c r="AG177" s="74">
        <v>1.6794000000000002</v>
      </c>
      <c r="AH177" s="74">
        <v>7.288596000000001</v>
      </c>
      <c r="AI177" s="74">
        <v>0</v>
      </c>
      <c r="AJ177" s="74">
        <v>0.151146</v>
      </c>
      <c r="AK177" s="74">
        <v>7.1374500000000012</v>
      </c>
      <c r="AL177" s="75">
        <v>0</v>
      </c>
      <c r="AM177" s="202">
        <f t="shared" si="40"/>
        <v>4.4095540592046763E-4</v>
      </c>
      <c r="AN177" s="202">
        <f t="shared" si="41"/>
        <v>0</v>
      </c>
      <c r="AO177" s="202">
        <f t="shared" si="42"/>
        <v>9.1442365283046269E-6</v>
      </c>
      <c r="AP177" s="202">
        <f t="shared" si="43"/>
        <v>4.3181116939216305E-4</v>
      </c>
      <c r="AQ177" s="202">
        <f t="shared" si="44"/>
        <v>0</v>
      </c>
      <c r="AR177" s="209" t="s">
        <v>439</v>
      </c>
      <c r="AS177" s="216" t="s">
        <v>1659</v>
      </c>
      <c r="AT177" s="234">
        <v>327410</v>
      </c>
      <c r="AU177" s="244">
        <f t="shared" si="45"/>
        <v>7.288596000000001</v>
      </c>
      <c r="AV177" s="244">
        <f t="shared" si="46"/>
        <v>0</v>
      </c>
      <c r="AW177" s="244">
        <f t="shared" si="47"/>
        <v>0.151146</v>
      </c>
      <c r="AX177" s="244">
        <f t="shared" si="48"/>
        <v>7.1374500000000012</v>
      </c>
      <c r="AY177" s="244">
        <f t="shared" si="49"/>
        <v>0</v>
      </c>
      <c r="AZ177">
        <v>5.9532761578044609E-3</v>
      </c>
    </row>
    <row r="178" spans="1:52" ht="15.75" customHeight="1" x14ac:dyDescent="0.35">
      <c r="A178" s="67" t="s">
        <v>439</v>
      </c>
      <c r="B178" s="67" t="s">
        <v>460</v>
      </c>
      <c r="C178" s="67" t="s">
        <v>67</v>
      </c>
      <c r="D178" s="67" t="s">
        <v>67</v>
      </c>
      <c r="E178" s="67" t="s">
        <v>448</v>
      </c>
      <c r="F178" s="67" t="s">
        <v>446</v>
      </c>
      <c r="G178" s="67" t="s">
        <v>327</v>
      </c>
      <c r="H178" s="67" t="s">
        <v>119</v>
      </c>
      <c r="I178" s="67" t="s">
        <v>449</v>
      </c>
      <c r="J178" s="113">
        <v>0.81200000000000006</v>
      </c>
      <c r="K178" s="228">
        <f t="shared" si="50"/>
        <v>90</v>
      </c>
      <c r="L178" s="269">
        <v>90</v>
      </c>
      <c r="M178" s="269">
        <v>900</v>
      </c>
      <c r="N178" s="269">
        <v>90</v>
      </c>
      <c r="O178" s="269">
        <v>1</v>
      </c>
      <c r="P178" s="269"/>
      <c r="Q178" s="269"/>
      <c r="R178" s="269"/>
      <c r="S178" s="67" t="s">
        <v>443</v>
      </c>
      <c r="T178" s="70"/>
      <c r="U178" s="238">
        <f t="shared" si="35"/>
        <v>0.04</v>
      </c>
      <c r="V178" s="238">
        <f t="shared" si="36"/>
        <v>0</v>
      </c>
      <c r="W178" s="238">
        <f t="shared" si="37"/>
        <v>0.04</v>
      </c>
      <c r="X178" s="238">
        <f t="shared" si="38"/>
        <v>0</v>
      </c>
      <c r="Y178" s="238">
        <f t="shared" si="39"/>
        <v>0</v>
      </c>
      <c r="Z178" s="70">
        <v>0.04</v>
      </c>
      <c r="AA178" s="70"/>
      <c r="AB178" s="70">
        <v>0.04</v>
      </c>
      <c r="AC178" s="70"/>
      <c r="AD178" s="71"/>
      <c r="AE178" s="233"/>
      <c r="AF178" s="72"/>
      <c r="AG178" s="74">
        <v>1.6794000000000002</v>
      </c>
      <c r="AH178" s="74">
        <v>6.7176000000000013E-2</v>
      </c>
      <c r="AI178" s="74">
        <v>0</v>
      </c>
      <c r="AJ178" s="74">
        <v>6.7176000000000013E-2</v>
      </c>
      <c r="AK178" s="74">
        <v>0</v>
      </c>
      <c r="AL178" s="75">
        <v>0</v>
      </c>
      <c r="AM178" s="202">
        <f t="shared" si="40"/>
        <v>4.0641051236909466E-6</v>
      </c>
      <c r="AN178" s="202">
        <f t="shared" si="41"/>
        <v>0</v>
      </c>
      <c r="AO178" s="202">
        <f t="shared" si="42"/>
        <v>4.0641051236909466E-6</v>
      </c>
      <c r="AP178" s="202">
        <f t="shared" si="43"/>
        <v>0</v>
      </c>
      <c r="AQ178" s="202">
        <f t="shared" si="44"/>
        <v>0</v>
      </c>
      <c r="AR178" s="209" t="s">
        <v>439</v>
      </c>
      <c r="AS178" s="216" t="s">
        <v>1659</v>
      </c>
      <c r="AT178" s="234">
        <v>327410</v>
      </c>
      <c r="AU178" s="244">
        <f t="shared" si="45"/>
        <v>6.7176000000000013E-2</v>
      </c>
      <c r="AV178" s="244">
        <f t="shared" si="46"/>
        <v>0</v>
      </c>
      <c r="AW178" s="244">
        <f t="shared" si="47"/>
        <v>6.7176000000000013E-2</v>
      </c>
      <c r="AX178" s="244">
        <f t="shared" si="48"/>
        <v>0</v>
      </c>
      <c r="AY178" s="244">
        <f t="shared" si="49"/>
        <v>0</v>
      </c>
      <c r="AZ178">
        <v>5.4868904680225451E-5</v>
      </c>
    </row>
    <row r="179" spans="1:52" ht="15.75" customHeight="1" x14ac:dyDescent="0.35">
      <c r="A179" s="67" t="s">
        <v>439</v>
      </c>
      <c r="B179" s="67" t="s">
        <v>460</v>
      </c>
      <c r="C179" s="67" t="s">
        <v>99</v>
      </c>
      <c r="D179" s="67" t="s">
        <v>100</v>
      </c>
      <c r="E179" s="67" t="s">
        <v>450</v>
      </c>
      <c r="F179" s="67" t="s">
        <v>446</v>
      </c>
      <c r="G179" s="67" t="s">
        <v>327</v>
      </c>
      <c r="H179" s="67" t="s">
        <v>103</v>
      </c>
      <c r="I179" s="67" t="s">
        <v>451</v>
      </c>
      <c r="J179" s="95"/>
      <c r="K179" s="228">
        <v>100</v>
      </c>
      <c r="L179" s="269"/>
      <c r="M179" s="269"/>
      <c r="N179" s="269"/>
      <c r="O179" s="269">
        <v>1</v>
      </c>
      <c r="P179" s="269"/>
      <c r="Q179" s="269"/>
      <c r="R179" s="269"/>
      <c r="S179" s="67" t="s">
        <v>443</v>
      </c>
      <c r="T179" s="70"/>
      <c r="U179" s="238">
        <f t="shared" si="35"/>
        <v>0.06</v>
      </c>
      <c r="V179" s="238">
        <f t="shared" si="36"/>
        <v>0</v>
      </c>
      <c r="W179" s="238">
        <f t="shared" si="37"/>
        <v>0.06</v>
      </c>
      <c r="X179" s="238">
        <f t="shared" si="38"/>
        <v>0</v>
      </c>
      <c r="Y179" s="238">
        <f t="shared" si="39"/>
        <v>0</v>
      </c>
      <c r="Z179" s="70">
        <v>0.06</v>
      </c>
      <c r="AA179" s="70"/>
      <c r="AB179" s="70">
        <v>0.06</v>
      </c>
      <c r="AC179" s="70"/>
      <c r="AD179" s="71"/>
      <c r="AE179" s="233"/>
      <c r="AF179" s="72"/>
      <c r="AG179" s="74">
        <v>1.6794000000000002</v>
      </c>
      <c r="AH179" s="74">
        <v>0.10076400000000001</v>
      </c>
      <c r="AI179" s="74">
        <v>0</v>
      </c>
      <c r="AJ179" s="74">
        <v>0.10076400000000001</v>
      </c>
      <c r="AK179" s="74">
        <v>0</v>
      </c>
      <c r="AL179" s="75">
        <v>0</v>
      </c>
      <c r="AM179" s="202">
        <f t="shared" si="40"/>
        <v>6.0961576855364182E-6</v>
      </c>
      <c r="AN179" s="202">
        <f t="shared" si="41"/>
        <v>0</v>
      </c>
      <c r="AO179" s="202">
        <f t="shared" si="42"/>
        <v>6.0961576855364182E-6</v>
      </c>
      <c r="AP179" s="202">
        <f t="shared" si="43"/>
        <v>0</v>
      </c>
      <c r="AQ179" s="202">
        <f t="shared" si="44"/>
        <v>0</v>
      </c>
      <c r="AR179" s="209" t="s">
        <v>439</v>
      </c>
      <c r="AS179" s="216" t="s">
        <v>1659</v>
      </c>
      <c r="AT179" s="234">
        <v>327410</v>
      </c>
      <c r="AU179" s="244">
        <f t="shared" si="45"/>
        <v>0.10076400000000001</v>
      </c>
      <c r="AV179" s="244">
        <f t="shared" si="46"/>
        <v>0</v>
      </c>
      <c r="AW179" s="244">
        <f t="shared" si="47"/>
        <v>0.10076400000000001</v>
      </c>
      <c r="AX179" s="244">
        <f t="shared" si="48"/>
        <v>0</v>
      </c>
      <c r="AY179" s="244">
        <f t="shared" si="49"/>
        <v>0</v>
      </c>
      <c r="AZ179">
        <v>8.2303357020338167E-5</v>
      </c>
    </row>
    <row r="180" spans="1:52" ht="15.75" customHeight="1" x14ac:dyDescent="0.35">
      <c r="A180" s="67" t="s">
        <v>439</v>
      </c>
      <c r="B180" s="67" t="s">
        <v>460</v>
      </c>
      <c r="C180" s="67" t="s">
        <v>108</v>
      </c>
      <c r="D180" s="67" t="s">
        <v>452</v>
      </c>
      <c r="E180" s="67" t="s">
        <v>452</v>
      </c>
      <c r="F180" s="67" t="s">
        <v>453</v>
      </c>
      <c r="G180" s="67" t="s">
        <v>327</v>
      </c>
      <c r="H180" s="67" t="s">
        <v>454</v>
      </c>
      <c r="I180" s="67" t="s">
        <v>455</v>
      </c>
      <c r="J180" s="95"/>
      <c r="K180" s="228">
        <f t="shared" si="50"/>
        <v>100</v>
      </c>
      <c r="L180" s="269">
        <v>100</v>
      </c>
      <c r="M180" s="269">
        <v>25</v>
      </c>
      <c r="N180" s="269">
        <v>100</v>
      </c>
      <c r="O180" s="269">
        <v>1</v>
      </c>
      <c r="P180" s="269"/>
      <c r="Q180" s="269"/>
      <c r="R180" s="269" t="s">
        <v>456</v>
      </c>
      <c r="S180" s="67" t="s">
        <v>443</v>
      </c>
      <c r="T180" s="70"/>
      <c r="U180" s="238">
        <f t="shared" si="35"/>
        <v>1.0799999999999998</v>
      </c>
      <c r="V180" s="238">
        <f t="shared" si="36"/>
        <v>0</v>
      </c>
      <c r="W180" s="238">
        <f t="shared" si="37"/>
        <v>0.06</v>
      </c>
      <c r="X180" s="238">
        <f t="shared" si="38"/>
        <v>0</v>
      </c>
      <c r="Y180" s="238">
        <f t="shared" si="39"/>
        <v>1.1399999999999999</v>
      </c>
      <c r="Z180" s="70">
        <v>-1.0799999999999998</v>
      </c>
      <c r="AA180" s="70"/>
      <c r="AB180" s="70">
        <v>0.06</v>
      </c>
      <c r="AC180" s="70"/>
      <c r="AD180" s="71">
        <v>-1.1399999999999999</v>
      </c>
      <c r="AE180" s="233">
        <v>100</v>
      </c>
      <c r="AF180" s="72">
        <v>1</v>
      </c>
      <c r="AG180" s="74">
        <v>0.26870400000000005</v>
      </c>
      <c r="AH180" s="74">
        <v>-0.29020032000000001</v>
      </c>
      <c r="AI180" s="74">
        <v>0</v>
      </c>
      <c r="AJ180" s="74">
        <v>1.6122240000000003E-2</v>
      </c>
      <c r="AK180" s="74">
        <v>0</v>
      </c>
      <c r="AL180" s="75">
        <v>-0.30632256000000002</v>
      </c>
      <c r="AM180" s="202">
        <f t="shared" si="40"/>
        <v>-1.7556934134344885E-5</v>
      </c>
      <c r="AN180" s="202">
        <f t="shared" si="41"/>
        <v>0</v>
      </c>
      <c r="AO180" s="202">
        <f t="shared" si="42"/>
        <v>9.7538522968582702E-7</v>
      </c>
      <c r="AP180" s="202">
        <f t="shared" si="43"/>
        <v>0</v>
      </c>
      <c r="AQ180" s="202">
        <f t="shared" si="44"/>
        <v>-1.8532319364030713E-5</v>
      </c>
      <c r="AR180" s="209" t="s">
        <v>439</v>
      </c>
      <c r="AS180" s="216" t="s">
        <v>1659</v>
      </c>
      <c r="AT180" s="234">
        <v>327410</v>
      </c>
      <c r="AU180" s="244">
        <f t="shared" si="45"/>
        <v>0.29020032000000001</v>
      </c>
      <c r="AV180" s="244">
        <f t="shared" si="46"/>
        <v>0</v>
      </c>
      <c r="AW180" s="244">
        <f t="shared" si="47"/>
        <v>1.6122240000000003E-2</v>
      </c>
      <c r="AX180" s="244">
        <f t="shared" si="48"/>
        <v>0</v>
      </c>
      <c r="AY180" s="244">
        <f t="shared" si="49"/>
        <v>0.30632256000000002</v>
      </c>
      <c r="AZ180">
        <v>-2.3703366821857389E-4</v>
      </c>
    </row>
    <row r="181" spans="1:52" ht="15.75" customHeight="1" x14ac:dyDescent="0.35">
      <c r="A181" s="67" t="s">
        <v>439</v>
      </c>
      <c r="B181" s="67" t="s">
        <v>460</v>
      </c>
      <c r="C181" s="67" t="s">
        <v>74</v>
      </c>
      <c r="D181" s="67" t="s">
        <v>75</v>
      </c>
      <c r="E181" s="67" t="s">
        <v>457</v>
      </c>
      <c r="F181" s="67" t="s">
        <v>453</v>
      </c>
      <c r="G181" s="67" t="s">
        <v>327</v>
      </c>
      <c r="H181" s="67" t="s">
        <v>214</v>
      </c>
      <c r="I181" s="67" t="s">
        <v>458</v>
      </c>
      <c r="J181" s="76" t="s">
        <v>78</v>
      </c>
      <c r="K181" s="228">
        <f t="shared" si="50"/>
        <v>25</v>
      </c>
      <c r="L181" s="269">
        <v>25</v>
      </c>
      <c r="M181" s="269">
        <v>100</v>
      </c>
      <c r="N181" s="269">
        <v>25</v>
      </c>
      <c r="O181" s="269">
        <v>1</v>
      </c>
      <c r="P181" s="269"/>
      <c r="Q181" s="269"/>
      <c r="R181" s="269"/>
      <c r="S181" s="67" t="s">
        <v>443</v>
      </c>
      <c r="T181" s="70"/>
      <c r="U181" s="238">
        <f t="shared" si="35"/>
        <v>0.01</v>
      </c>
      <c r="V181" s="238">
        <f t="shared" si="36"/>
        <v>0</v>
      </c>
      <c r="W181" s="238">
        <f t="shared" si="37"/>
        <v>0.01</v>
      </c>
      <c r="X181" s="238">
        <f t="shared" si="38"/>
        <v>0</v>
      </c>
      <c r="Y181" s="238">
        <f t="shared" si="39"/>
        <v>0</v>
      </c>
      <c r="Z181" s="70">
        <v>0.01</v>
      </c>
      <c r="AA181" s="70"/>
      <c r="AB181" s="70">
        <v>0.01</v>
      </c>
      <c r="AC181" s="70"/>
      <c r="AD181" s="71"/>
      <c r="AE181" s="233"/>
      <c r="AF181" s="72"/>
      <c r="AG181" s="74">
        <v>0.26870400000000005</v>
      </c>
      <c r="AH181" s="74">
        <v>2.6870400000000008E-3</v>
      </c>
      <c r="AI181" s="74">
        <v>0</v>
      </c>
      <c r="AJ181" s="74">
        <v>2.6870400000000008E-3</v>
      </c>
      <c r="AK181" s="74">
        <v>0</v>
      </c>
      <c r="AL181" s="75">
        <v>0</v>
      </c>
      <c r="AM181" s="202">
        <f t="shared" si="40"/>
        <v>1.6256420494763785E-7</v>
      </c>
      <c r="AN181" s="202">
        <f t="shared" si="41"/>
        <v>0</v>
      </c>
      <c r="AO181" s="202">
        <f t="shared" si="42"/>
        <v>1.6256420494763785E-7</v>
      </c>
      <c r="AP181" s="202">
        <f t="shared" si="43"/>
        <v>0</v>
      </c>
      <c r="AQ181" s="202">
        <f t="shared" si="44"/>
        <v>0</v>
      </c>
      <c r="AR181" s="209" t="s">
        <v>439</v>
      </c>
      <c r="AS181" s="216" t="s">
        <v>1659</v>
      </c>
      <c r="AT181" s="234">
        <v>327410</v>
      </c>
      <c r="AU181" s="244">
        <f t="shared" si="45"/>
        <v>2.6870400000000008E-3</v>
      </c>
      <c r="AV181" s="244">
        <f t="shared" si="46"/>
        <v>0</v>
      </c>
      <c r="AW181" s="244">
        <f t="shared" si="47"/>
        <v>2.6870400000000008E-3</v>
      </c>
      <c r="AX181" s="244">
        <f t="shared" si="48"/>
        <v>0</v>
      </c>
      <c r="AY181" s="244">
        <f t="shared" si="49"/>
        <v>0</v>
      </c>
      <c r="AZ181">
        <v>2.1947561872090182E-6</v>
      </c>
    </row>
    <row r="182" spans="1:52" ht="15.75" customHeight="1" x14ac:dyDescent="0.35">
      <c r="A182" s="78" t="s">
        <v>439</v>
      </c>
      <c r="B182" s="78" t="s">
        <v>460</v>
      </c>
      <c r="C182" s="78" t="s">
        <v>124</v>
      </c>
      <c r="D182" s="78" t="s">
        <v>124</v>
      </c>
      <c r="E182" s="78" t="s">
        <v>124</v>
      </c>
      <c r="F182" s="78" t="s">
        <v>459</v>
      </c>
      <c r="G182" s="78" t="s">
        <v>327</v>
      </c>
      <c r="H182" s="78" t="s">
        <v>125</v>
      </c>
      <c r="I182" s="78" t="s">
        <v>125</v>
      </c>
      <c r="J182" s="98"/>
      <c r="K182" s="228">
        <v>30</v>
      </c>
      <c r="L182" s="269"/>
      <c r="M182" s="269"/>
      <c r="N182" s="269"/>
      <c r="O182" s="269">
        <v>1</v>
      </c>
      <c r="P182" s="269"/>
      <c r="Q182" s="269"/>
      <c r="R182" s="269"/>
      <c r="S182" s="78" t="s">
        <v>443</v>
      </c>
      <c r="T182" s="82"/>
      <c r="U182" s="238">
        <f t="shared" si="35"/>
        <v>0.01</v>
      </c>
      <c r="V182" s="238">
        <f t="shared" si="36"/>
        <v>0</v>
      </c>
      <c r="W182" s="238">
        <f t="shared" si="37"/>
        <v>0.01</v>
      </c>
      <c r="X182" s="238">
        <f t="shared" si="38"/>
        <v>0</v>
      </c>
      <c r="Y182" s="238">
        <f t="shared" si="39"/>
        <v>0</v>
      </c>
      <c r="Z182" s="70">
        <v>0.01</v>
      </c>
      <c r="AA182" s="70"/>
      <c r="AB182" s="70">
        <v>0.01</v>
      </c>
      <c r="AC182" s="70"/>
      <c r="AD182" s="71"/>
      <c r="AE182" s="81"/>
      <c r="AF182" s="84"/>
      <c r="AG182" s="86">
        <v>1.6794000000000002</v>
      </c>
      <c r="AH182" s="86">
        <v>1.6794000000000003E-2</v>
      </c>
      <c r="AI182" s="86">
        <v>0</v>
      </c>
      <c r="AJ182" s="86">
        <v>1.6794000000000003E-2</v>
      </c>
      <c r="AK182" s="86">
        <v>0</v>
      </c>
      <c r="AL182" s="87">
        <v>0</v>
      </c>
      <c r="AM182" s="202">
        <f t="shared" si="40"/>
        <v>1.0160262809227367E-6</v>
      </c>
      <c r="AN182" s="202">
        <f t="shared" si="41"/>
        <v>0</v>
      </c>
      <c r="AO182" s="202">
        <f t="shared" si="42"/>
        <v>1.0160262809227367E-6</v>
      </c>
      <c r="AP182" s="202">
        <f t="shared" si="43"/>
        <v>0</v>
      </c>
      <c r="AQ182" s="202">
        <f t="shared" si="44"/>
        <v>0</v>
      </c>
      <c r="AR182" s="213" t="s">
        <v>439</v>
      </c>
      <c r="AS182" s="216" t="s">
        <v>1659</v>
      </c>
      <c r="AT182" s="234">
        <v>327410</v>
      </c>
      <c r="AU182" s="244">
        <f t="shared" si="45"/>
        <v>1.6794000000000003E-2</v>
      </c>
      <c r="AV182" s="244">
        <f t="shared" si="46"/>
        <v>0</v>
      </c>
      <c r="AW182" s="244">
        <f t="shared" si="47"/>
        <v>1.6794000000000003E-2</v>
      </c>
      <c r="AX182" s="244">
        <f t="shared" si="48"/>
        <v>0</v>
      </c>
      <c r="AY182" s="244">
        <f t="shared" si="49"/>
        <v>0</v>
      </c>
      <c r="AZ182">
        <v>1.3717226170056363E-5</v>
      </c>
    </row>
    <row r="183" spans="1:52" ht="15.75" customHeight="1" x14ac:dyDescent="0.35">
      <c r="A183" s="67" t="s">
        <v>439</v>
      </c>
      <c r="B183" s="67" t="s">
        <v>462</v>
      </c>
      <c r="C183" s="67" t="s">
        <v>99</v>
      </c>
      <c r="D183" s="67" t="s">
        <v>100</v>
      </c>
      <c r="E183" s="67" t="s">
        <v>106</v>
      </c>
      <c r="F183" s="67" t="s">
        <v>441</v>
      </c>
      <c r="G183" s="67" t="s">
        <v>327</v>
      </c>
      <c r="H183" s="67" t="s">
        <v>103</v>
      </c>
      <c r="I183" s="67" t="s">
        <v>442</v>
      </c>
      <c r="J183" s="95"/>
      <c r="K183" s="228">
        <v>100</v>
      </c>
      <c r="L183" s="269"/>
      <c r="M183" s="269"/>
      <c r="N183" s="269"/>
      <c r="O183" s="269">
        <v>1</v>
      </c>
      <c r="P183" s="269"/>
      <c r="Q183" s="269"/>
      <c r="R183" s="269"/>
      <c r="S183" s="67" t="s">
        <v>443</v>
      </c>
      <c r="T183" s="70">
        <v>1.7</v>
      </c>
      <c r="U183" s="238">
        <f t="shared" si="35"/>
        <v>0.02</v>
      </c>
      <c r="V183" s="238">
        <f t="shared" si="36"/>
        <v>0</v>
      </c>
      <c r="W183" s="238">
        <f t="shared" si="37"/>
        <v>0.02</v>
      </c>
      <c r="X183" s="238">
        <f t="shared" si="38"/>
        <v>0</v>
      </c>
      <c r="Y183" s="238">
        <f t="shared" si="39"/>
        <v>0</v>
      </c>
      <c r="Z183" s="82">
        <v>0.02</v>
      </c>
      <c r="AA183" s="82"/>
      <c r="AB183" s="82">
        <v>0.02</v>
      </c>
      <c r="AC183" s="82"/>
      <c r="AD183" s="83"/>
      <c r="AE183" s="233"/>
      <c r="AF183" s="72"/>
      <c r="AG183" s="74">
        <v>0.2</v>
      </c>
      <c r="AH183" s="74">
        <v>4.0000000000000001E-3</v>
      </c>
      <c r="AI183" s="74">
        <v>0</v>
      </c>
      <c r="AJ183" s="74">
        <v>4.0000000000000001E-3</v>
      </c>
      <c r="AK183" s="74">
        <v>0</v>
      </c>
      <c r="AL183" s="75">
        <v>0</v>
      </c>
      <c r="AM183" s="202">
        <f t="shared" si="40"/>
        <v>2.4199744692693496E-7</v>
      </c>
      <c r="AN183" s="202">
        <f t="shared" si="41"/>
        <v>0</v>
      </c>
      <c r="AO183" s="202">
        <f t="shared" si="42"/>
        <v>2.4199744692693496E-7</v>
      </c>
      <c r="AP183" s="202">
        <f t="shared" si="43"/>
        <v>0</v>
      </c>
      <c r="AQ183" s="202">
        <f t="shared" si="44"/>
        <v>0</v>
      </c>
      <c r="AR183" s="209" t="s">
        <v>439</v>
      </c>
      <c r="AS183" s="216" t="s">
        <v>1659</v>
      </c>
      <c r="AT183" s="234">
        <v>327410</v>
      </c>
      <c r="AU183" s="244">
        <f t="shared" si="45"/>
        <v>4.0000000000000001E-3</v>
      </c>
      <c r="AV183" s="244">
        <f t="shared" si="46"/>
        <v>0</v>
      </c>
      <c r="AW183" s="244">
        <f t="shared" si="47"/>
        <v>4.0000000000000001E-3</v>
      </c>
      <c r="AX183" s="244">
        <f t="shared" si="48"/>
        <v>0</v>
      </c>
      <c r="AY183" s="244">
        <f t="shared" si="49"/>
        <v>0</v>
      </c>
      <c r="AZ183">
        <v>3.2671730784938335E-6</v>
      </c>
    </row>
    <row r="184" spans="1:52" ht="15.75" customHeight="1" x14ac:dyDescent="0.35">
      <c r="A184" s="67" t="s">
        <v>439</v>
      </c>
      <c r="B184" s="67" t="s">
        <v>462</v>
      </c>
      <c r="C184" s="67" t="s">
        <v>154</v>
      </c>
      <c r="D184" s="67" t="s">
        <v>162</v>
      </c>
      <c r="E184" s="67" t="s">
        <v>162</v>
      </c>
      <c r="F184" s="67" t="s">
        <v>441</v>
      </c>
      <c r="G184" s="67" t="s">
        <v>327</v>
      </c>
      <c r="H184" s="67" t="s">
        <v>444</v>
      </c>
      <c r="I184" s="67" t="s">
        <v>445</v>
      </c>
      <c r="J184" s="95"/>
      <c r="K184" s="228">
        <v>40</v>
      </c>
      <c r="L184" s="269"/>
      <c r="M184" s="269"/>
      <c r="N184" s="269"/>
      <c r="O184" s="269">
        <v>1</v>
      </c>
      <c r="P184" s="269"/>
      <c r="Q184" s="269"/>
      <c r="R184" s="269"/>
      <c r="S184" s="67" t="s">
        <v>443</v>
      </c>
      <c r="T184" s="70"/>
      <c r="U184" s="238">
        <f t="shared" si="35"/>
        <v>0.02</v>
      </c>
      <c r="V184" s="238">
        <f t="shared" si="36"/>
        <v>0</v>
      </c>
      <c r="W184" s="238">
        <f t="shared" si="37"/>
        <v>0.02</v>
      </c>
      <c r="X184" s="238">
        <f t="shared" si="38"/>
        <v>0</v>
      </c>
      <c r="Y184" s="238">
        <f t="shared" si="39"/>
        <v>0</v>
      </c>
      <c r="Z184" s="70">
        <v>0.02</v>
      </c>
      <c r="AA184" s="70"/>
      <c r="AB184" s="70">
        <v>0.02</v>
      </c>
      <c r="AC184" s="70"/>
      <c r="AD184" s="71"/>
      <c r="AE184" s="233"/>
      <c r="AF184" s="72"/>
      <c r="AG184" s="74">
        <v>0.2</v>
      </c>
      <c r="AH184" s="74">
        <v>4.0000000000000001E-3</v>
      </c>
      <c r="AI184" s="74">
        <v>0</v>
      </c>
      <c r="AJ184" s="74">
        <v>4.0000000000000001E-3</v>
      </c>
      <c r="AK184" s="74">
        <v>0</v>
      </c>
      <c r="AL184" s="75">
        <v>0</v>
      </c>
      <c r="AM184" s="202">
        <f t="shared" si="40"/>
        <v>2.4199744692693496E-7</v>
      </c>
      <c r="AN184" s="202">
        <f t="shared" si="41"/>
        <v>0</v>
      </c>
      <c r="AO184" s="202">
        <f t="shared" si="42"/>
        <v>2.4199744692693496E-7</v>
      </c>
      <c r="AP184" s="202">
        <f t="shared" si="43"/>
        <v>0</v>
      </c>
      <c r="AQ184" s="202">
        <f t="shared" si="44"/>
        <v>0</v>
      </c>
      <c r="AR184" s="209" t="s">
        <v>439</v>
      </c>
      <c r="AS184" s="216" t="s">
        <v>1659</v>
      </c>
      <c r="AT184" s="234">
        <v>327410</v>
      </c>
      <c r="AU184" s="244">
        <f t="shared" si="45"/>
        <v>4.0000000000000001E-3</v>
      </c>
      <c r="AV184" s="244">
        <f t="shared" si="46"/>
        <v>0</v>
      </c>
      <c r="AW184" s="244">
        <f t="shared" si="47"/>
        <v>4.0000000000000001E-3</v>
      </c>
      <c r="AX184" s="244">
        <f t="shared" si="48"/>
        <v>0</v>
      </c>
      <c r="AY184" s="244">
        <f t="shared" si="49"/>
        <v>0</v>
      </c>
      <c r="AZ184">
        <v>3.2671730784938335E-6</v>
      </c>
    </row>
    <row r="185" spans="1:52" ht="15.75" customHeight="1" x14ac:dyDescent="0.35">
      <c r="A185" s="67" t="s">
        <v>439</v>
      </c>
      <c r="B185" s="67" t="s">
        <v>462</v>
      </c>
      <c r="C185" s="67" t="s">
        <v>48</v>
      </c>
      <c r="D185" s="67" t="s">
        <v>113</v>
      </c>
      <c r="E185" s="67" t="s">
        <v>113</v>
      </c>
      <c r="F185" s="67" t="s">
        <v>463</v>
      </c>
      <c r="G185" s="67" t="s">
        <v>327</v>
      </c>
      <c r="H185" s="67" t="s">
        <v>115</v>
      </c>
      <c r="I185" s="67" t="s">
        <v>464</v>
      </c>
      <c r="J185" s="105">
        <v>0.5</v>
      </c>
      <c r="K185" s="228">
        <f t="shared" si="50"/>
        <v>1800</v>
      </c>
      <c r="L185" s="269">
        <v>1800</v>
      </c>
      <c r="M185" s="269"/>
      <c r="N185" s="269"/>
      <c r="O185" s="269">
        <v>1</v>
      </c>
      <c r="P185" s="269"/>
      <c r="Q185" s="269"/>
      <c r="R185" s="269"/>
      <c r="S185" s="67" t="s">
        <v>443</v>
      </c>
      <c r="T185" s="70"/>
      <c r="U185" s="238">
        <f t="shared" si="35"/>
        <v>6.63</v>
      </c>
      <c r="V185" s="238">
        <f t="shared" si="36"/>
        <v>0</v>
      </c>
      <c r="W185" s="238">
        <f t="shared" si="37"/>
        <v>0.13</v>
      </c>
      <c r="X185" s="238">
        <f t="shared" si="38"/>
        <v>6.5</v>
      </c>
      <c r="Y185" s="238">
        <f t="shared" si="39"/>
        <v>0</v>
      </c>
      <c r="Z185" s="70">
        <v>6.63</v>
      </c>
      <c r="AA185" s="70"/>
      <c r="AB185" s="70">
        <v>0.13</v>
      </c>
      <c r="AC185" s="70">
        <v>6.5</v>
      </c>
      <c r="AD185" s="71"/>
      <c r="AE185" s="233"/>
      <c r="AF185" s="72"/>
      <c r="AG185" s="74">
        <v>0.2</v>
      </c>
      <c r="AH185" s="74">
        <v>1.3260000000000001</v>
      </c>
      <c r="AI185" s="74">
        <v>0</v>
      </c>
      <c r="AJ185" s="74">
        <v>2.6000000000000002E-2</v>
      </c>
      <c r="AK185" s="74">
        <v>1.3</v>
      </c>
      <c r="AL185" s="75">
        <v>0</v>
      </c>
      <c r="AM185" s="202">
        <f t="shared" si="40"/>
        <v>8.0222153656278936E-5</v>
      </c>
      <c r="AN185" s="202">
        <f t="shared" si="41"/>
        <v>0</v>
      </c>
      <c r="AO185" s="202">
        <f t="shared" si="42"/>
        <v>1.5729834050250773E-6</v>
      </c>
      <c r="AP185" s="202">
        <f t="shared" si="43"/>
        <v>7.8649170251253862E-5</v>
      </c>
      <c r="AQ185" s="202">
        <f t="shared" si="44"/>
        <v>0</v>
      </c>
      <c r="AR185" s="209" t="s">
        <v>439</v>
      </c>
      <c r="AS185" s="216" t="s">
        <v>1659</v>
      </c>
      <c r="AT185" s="234">
        <v>327410</v>
      </c>
      <c r="AU185" s="244">
        <f t="shared" si="45"/>
        <v>1.3260000000000001</v>
      </c>
      <c r="AV185" s="244">
        <f t="shared" si="46"/>
        <v>0</v>
      </c>
      <c r="AW185" s="244">
        <f t="shared" si="47"/>
        <v>2.6000000000000002E-2</v>
      </c>
      <c r="AX185" s="244">
        <f t="shared" si="48"/>
        <v>1.3</v>
      </c>
      <c r="AY185" s="244">
        <f t="shared" si="49"/>
        <v>0</v>
      </c>
      <c r="AZ185">
        <v>1.0830678755207059E-3</v>
      </c>
    </row>
    <row r="186" spans="1:52" ht="15.75" customHeight="1" x14ac:dyDescent="0.35">
      <c r="A186" s="67" t="s">
        <v>439</v>
      </c>
      <c r="B186" s="67" t="s">
        <v>462</v>
      </c>
      <c r="C186" s="67" t="s">
        <v>67</v>
      </c>
      <c r="D186" s="67" t="s">
        <v>67</v>
      </c>
      <c r="E186" s="67" t="s">
        <v>448</v>
      </c>
      <c r="F186" s="67" t="s">
        <v>463</v>
      </c>
      <c r="G186" s="67" t="s">
        <v>327</v>
      </c>
      <c r="H186" s="67" t="s">
        <v>119</v>
      </c>
      <c r="I186" s="67" t="s">
        <v>449</v>
      </c>
      <c r="J186" s="113">
        <v>0.81200000000000006</v>
      </c>
      <c r="K186" s="228">
        <f t="shared" si="50"/>
        <v>100</v>
      </c>
      <c r="L186" s="269">
        <v>100</v>
      </c>
      <c r="M186" s="269">
        <v>1800</v>
      </c>
      <c r="N186" s="269">
        <v>100</v>
      </c>
      <c r="O186" s="269">
        <v>1</v>
      </c>
      <c r="P186" s="269"/>
      <c r="Q186" s="269"/>
      <c r="R186" s="269"/>
      <c r="S186" s="67" t="s">
        <v>443</v>
      </c>
      <c r="T186" s="70"/>
      <c r="U186" s="238">
        <f t="shared" si="35"/>
        <v>0.04</v>
      </c>
      <c r="V186" s="238">
        <f t="shared" si="36"/>
        <v>0</v>
      </c>
      <c r="W186" s="238">
        <f t="shared" si="37"/>
        <v>0.04</v>
      </c>
      <c r="X186" s="238">
        <f t="shared" si="38"/>
        <v>0</v>
      </c>
      <c r="Y186" s="238">
        <f t="shared" si="39"/>
        <v>0</v>
      </c>
      <c r="Z186" s="70">
        <v>0.04</v>
      </c>
      <c r="AA186" s="70"/>
      <c r="AB186" s="70">
        <v>0.04</v>
      </c>
      <c r="AC186" s="70"/>
      <c r="AD186" s="71"/>
      <c r="AE186" s="233"/>
      <c r="AF186" s="72"/>
      <c r="AG186" s="74">
        <v>0.2</v>
      </c>
      <c r="AH186" s="74">
        <v>8.0000000000000002E-3</v>
      </c>
      <c r="AI186" s="74">
        <v>0</v>
      </c>
      <c r="AJ186" s="74">
        <v>8.0000000000000002E-3</v>
      </c>
      <c r="AK186" s="74">
        <v>0</v>
      </c>
      <c r="AL186" s="75">
        <v>0</v>
      </c>
      <c r="AM186" s="202">
        <f t="shared" si="40"/>
        <v>4.8399489385386993E-7</v>
      </c>
      <c r="AN186" s="202">
        <f t="shared" si="41"/>
        <v>0</v>
      </c>
      <c r="AO186" s="202">
        <f t="shared" si="42"/>
        <v>4.8399489385386993E-7</v>
      </c>
      <c r="AP186" s="202">
        <f t="shared" si="43"/>
        <v>0</v>
      </c>
      <c r="AQ186" s="202">
        <f t="shared" si="44"/>
        <v>0</v>
      </c>
      <c r="AR186" s="209" t="s">
        <v>439</v>
      </c>
      <c r="AS186" s="216" t="s">
        <v>1659</v>
      </c>
      <c r="AT186" s="234">
        <v>327410</v>
      </c>
      <c r="AU186" s="244">
        <f t="shared" si="45"/>
        <v>8.0000000000000002E-3</v>
      </c>
      <c r="AV186" s="244">
        <f t="shared" si="46"/>
        <v>0</v>
      </c>
      <c r="AW186" s="244">
        <f t="shared" si="47"/>
        <v>8.0000000000000002E-3</v>
      </c>
      <c r="AX186" s="244">
        <f t="shared" si="48"/>
        <v>0</v>
      </c>
      <c r="AY186" s="244">
        <f t="shared" si="49"/>
        <v>0</v>
      </c>
      <c r="AZ186">
        <v>6.5343461569876671E-6</v>
      </c>
    </row>
    <row r="187" spans="1:52" ht="15.75" customHeight="1" x14ac:dyDescent="0.35">
      <c r="A187" s="67" t="s">
        <v>439</v>
      </c>
      <c r="B187" s="67" t="s">
        <v>462</v>
      </c>
      <c r="C187" s="67" t="s">
        <v>99</v>
      </c>
      <c r="D187" s="67" t="s">
        <v>100</v>
      </c>
      <c r="E187" s="67" t="s">
        <v>450</v>
      </c>
      <c r="F187" s="67" t="s">
        <v>463</v>
      </c>
      <c r="G187" s="67" t="s">
        <v>327</v>
      </c>
      <c r="H187" s="67" t="s">
        <v>103</v>
      </c>
      <c r="I187" s="67" t="s">
        <v>451</v>
      </c>
      <c r="J187" s="95"/>
      <c r="K187" s="228">
        <v>100</v>
      </c>
      <c r="L187" s="269"/>
      <c r="M187" s="269"/>
      <c r="N187" s="269"/>
      <c r="O187" s="269">
        <v>1</v>
      </c>
      <c r="P187" s="269"/>
      <c r="Q187" s="269"/>
      <c r="R187" s="269"/>
      <c r="S187" s="67" t="s">
        <v>443</v>
      </c>
      <c r="T187" s="70"/>
      <c r="U187" s="238">
        <f t="shared" si="35"/>
        <v>0.06</v>
      </c>
      <c r="V187" s="238">
        <f t="shared" si="36"/>
        <v>0</v>
      </c>
      <c r="W187" s="238">
        <f t="shared" si="37"/>
        <v>0.06</v>
      </c>
      <c r="X187" s="238">
        <f t="shared" si="38"/>
        <v>0</v>
      </c>
      <c r="Y187" s="238">
        <f t="shared" si="39"/>
        <v>0</v>
      </c>
      <c r="Z187" s="70">
        <v>0.06</v>
      </c>
      <c r="AA187" s="70"/>
      <c r="AB187" s="70">
        <v>0.06</v>
      </c>
      <c r="AC187" s="70"/>
      <c r="AD187" s="71"/>
      <c r="AE187" s="233"/>
      <c r="AF187" s="72"/>
      <c r="AG187" s="74">
        <v>0.2</v>
      </c>
      <c r="AH187" s="74">
        <v>1.2E-2</v>
      </c>
      <c r="AI187" s="74">
        <v>0</v>
      </c>
      <c r="AJ187" s="74">
        <v>1.2E-2</v>
      </c>
      <c r="AK187" s="74">
        <v>0</v>
      </c>
      <c r="AL187" s="75">
        <v>0</v>
      </c>
      <c r="AM187" s="202">
        <f t="shared" si="40"/>
        <v>7.2599234078080489E-7</v>
      </c>
      <c r="AN187" s="202">
        <f t="shared" si="41"/>
        <v>0</v>
      </c>
      <c r="AO187" s="202">
        <f t="shared" si="42"/>
        <v>7.2599234078080489E-7</v>
      </c>
      <c r="AP187" s="202">
        <f t="shared" si="43"/>
        <v>0</v>
      </c>
      <c r="AQ187" s="202">
        <f t="shared" si="44"/>
        <v>0</v>
      </c>
      <c r="AR187" s="209" t="s">
        <v>439</v>
      </c>
      <c r="AS187" s="216" t="s">
        <v>1659</v>
      </c>
      <c r="AT187" s="234">
        <v>327410</v>
      </c>
      <c r="AU187" s="244">
        <f t="shared" si="45"/>
        <v>1.2E-2</v>
      </c>
      <c r="AV187" s="244">
        <f t="shared" si="46"/>
        <v>0</v>
      </c>
      <c r="AW187" s="244">
        <f t="shared" si="47"/>
        <v>1.2E-2</v>
      </c>
      <c r="AX187" s="244">
        <f t="shared" si="48"/>
        <v>0</v>
      </c>
      <c r="AY187" s="244">
        <f t="shared" si="49"/>
        <v>0</v>
      </c>
      <c r="AZ187">
        <v>9.8015192354814998E-6</v>
      </c>
    </row>
    <row r="188" spans="1:52" ht="15.75" customHeight="1" x14ac:dyDescent="0.35">
      <c r="A188" s="78" t="s">
        <v>439</v>
      </c>
      <c r="B188" s="78" t="s">
        <v>462</v>
      </c>
      <c r="C188" s="78" t="s">
        <v>124</v>
      </c>
      <c r="D188" s="78" t="s">
        <v>124</v>
      </c>
      <c r="E188" s="78" t="s">
        <v>124</v>
      </c>
      <c r="F188" s="78" t="s">
        <v>459</v>
      </c>
      <c r="G188" s="78" t="s">
        <v>327</v>
      </c>
      <c r="H188" s="78" t="s">
        <v>125</v>
      </c>
      <c r="I188" s="78" t="s">
        <v>125</v>
      </c>
      <c r="J188" s="98"/>
      <c r="K188" s="228">
        <v>30</v>
      </c>
      <c r="L188" s="269"/>
      <c r="M188" s="269"/>
      <c r="N188" s="269"/>
      <c r="O188" s="269">
        <v>1</v>
      </c>
      <c r="P188" s="269"/>
      <c r="Q188" s="269"/>
      <c r="R188" s="269"/>
      <c r="S188" s="78" t="s">
        <v>443</v>
      </c>
      <c r="T188" s="82"/>
      <c r="U188" s="238">
        <f t="shared" si="35"/>
        <v>0.01</v>
      </c>
      <c r="V188" s="238">
        <f t="shared" si="36"/>
        <v>0</v>
      </c>
      <c r="W188" s="238">
        <f t="shared" si="37"/>
        <v>0.01</v>
      </c>
      <c r="X188" s="238">
        <f t="shared" si="38"/>
        <v>0</v>
      </c>
      <c r="Y188" s="238">
        <f t="shared" si="39"/>
        <v>0</v>
      </c>
      <c r="Z188" s="70">
        <v>0.01</v>
      </c>
      <c r="AA188" s="70"/>
      <c r="AB188" s="70">
        <v>0.01</v>
      </c>
      <c r="AC188" s="70"/>
      <c r="AD188" s="71"/>
      <c r="AE188" s="81"/>
      <c r="AF188" s="84"/>
      <c r="AG188" s="86">
        <v>0.2</v>
      </c>
      <c r="AH188" s="86">
        <v>2E-3</v>
      </c>
      <c r="AI188" s="86">
        <v>0</v>
      </c>
      <c r="AJ188" s="86">
        <v>2E-3</v>
      </c>
      <c r="AK188" s="86">
        <v>0</v>
      </c>
      <c r="AL188" s="87">
        <v>0</v>
      </c>
      <c r="AM188" s="202">
        <f t="shared" si="40"/>
        <v>1.2099872346346748E-7</v>
      </c>
      <c r="AN188" s="202">
        <f t="shared" si="41"/>
        <v>0</v>
      </c>
      <c r="AO188" s="202">
        <f t="shared" si="42"/>
        <v>1.2099872346346748E-7</v>
      </c>
      <c r="AP188" s="202">
        <f t="shared" si="43"/>
        <v>0</v>
      </c>
      <c r="AQ188" s="202">
        <f t="shared" si="44"/>
        <v>0</v>
      </c>
      <c r="AR188" s="213" t="s">
        <v>439</v>
      </c>
      <c r="AS188" s="216" t="s">
        <v>1659</v>
      </c>
      <c r="AT188" s="234">
        <v>327410</v>
      </c>
      <c r="AU188" s="244">
        <f t="shared" si="45"/>
        <v>2E-3</v>
      </c>
      <c r="AV188" s="244">
        <f t="shared" si="46"/>
        <v>0</v>
      </c>
      <c r="AW188" s="244">
        <f t="shared" si="47"/>
        <v>2E-3</v>
      </c>
      <c r="AX188" s="244">
        <f t="shared" si="48"/>
        <v>0</v>
      </c>
      <c r="AY188" s="244">
        <f t="shared" si="49"/>
        <v>0</v>
      </c>
      <c r="AZ188">
        <v>1.6335865392469168E-6</v>
      </c>
    </row>
    <row r="189" spans="1:52" ht="15.75" customHeight="1" x14ac:dyDescent="0.35">
      <c r="A189" s="67" t="s">
        <v>465</v>
      </c>
      <c r="B189" s="67" t="s">
        <v>466</v>
      </c>
      <c r="C189" s="67" t="s">
        <v>99</v>
      </c>
      <c r="D189" s="67" t="s">
        <v>100</v>
      </c>
      <c r="E189" s="67" t="s">
        <v>467</v>
      </c>
      <c r="F189" s="67" t="s">
        <v>468</v>
      </c>
      <c r="G189" s="67" t="s">
        <v>52</v>
      </c>
      <c r="H189" s="67" t="s">
        <v>103</v>
      </c>
      <c r="I189" s="67" t="s">
        <v>469</v>
      </c>
      <c r="J189" s="95"/>
      <c r="K189" s="228">
        <f t="shared" si="50"/>
        <v>25</v>
      </c>
      <c r="L189" s="269">
        <v>25</v>
      </c>
      <c r="M189" s="269"/>
      <c r="N189" s="269"/>
      <c r="O189" s="269">
        <v>1</v>
      </c>
      <c r="P189" s="269"/>
      <c r="Q189" s="269"/>
      <c r="R189" s="269"/>
      <c r="S189" s="67" t="s">
        <v>470</v>
      </c>
      <c r="T189" s="70">
        <v>2.5</v>
      </c>
      <c r="U189" s="238">
        <f t="shared" si="35"/>
        <v>0.34</v>
      </c>
      <c r="V189" s="238">
        <f t="shared" si="36"/>
        <v>0</v>
      </c>
      <c r="W189" s="238">
        <f t="shared" si="37"/>
        <v>0.06</v>
      </c>
      <c r="X189" s="238">
        <f t="shared" si="38"/>
        <v>0</v>
      </c>
      <c r="Y189" s="238">
        <f t="shared" si="39"/>
        <v>0.28999999999999998</v>
      </c>
      <c r="Z189" s="82">
        <v>0.34</v>
      </c>
      <c r="AA189" s="82"/>
      <c r="AB189" s="82">
        <v>0.06</v>
      </c>
      <c r="AC189" s="82"/>
      <c r="AD189" s="83">
        <v>0.28999999999999998</v>
      </c>
      <c r="AE189" s="233">
        <v>120</v>
      </c>
      <c r="AF189" s="72">
        <v>2</v>
      </c>
      <c r="AG189" s="74">
        <v>0.92</v>
      </c>
      <c r="AH189" s="74">
        <v>0.5</v>
      </c>
      <c r="AI189" s="74">
        <v>0</v>
      </c>
      <c r="AJ189" s="74">
        <v>0.1</v>
      </c>
      <c r="AK189" s="74">
        <v>0</v>
      </c>
      <c r="AL189" s="75">
        <v>0.5</v>
      </c>
      <c r="AM189" s="202">
        <f t="shared" si="40"/>
        <v>3.0249680865866869E-5</v>
      </c>
      <c r="AN189" s="202">
        <f t="shared" si="41"/>
        <v>0</v>
      </c>
      <c r="AO189" s="202">
        <f t="shared" si="42"/>
        <v>6.0499361731733742E-6</v>
      </c>
      <c r="AP189" s="202">
        <f t="shared" si="43"/>
        <v>0</v>
      </c>
      <c r="AQ189" s="202">
        <f t="shared" si="44"/>
        <v>3.0249680865866869E-5</v>
      </c>
      <c r="AR189" s="209" t="s">
        <v>465</v>
      </c>
      <c r="AS189" s="210" t="s">
        <v>1662</v>
      </c>
      <c r="AT189" s="234">
        <v>331313</v>
      </c>
      <c r="AU189" s="244">
        <f t="shared" si="45"/>
        <v>0.5</v>
      </c>
      <c r="AV189" s="244">
        <f t="shared" si="46"/>
        <v>0</v>
      </c>
      <c r="AW189" s="244">
        <f t="shared" si="47"/>
        <v>0.1</v>
      </c>
      <c r="AX189" s="244">
        <f t="shared" si="48"/>
        <v>0</v>
      </c>
      <c r="AY189" s="244">
        <f t="shared" si="49"/>
        <v>0.5</v>
      </c>
      <c r="AZ189">
        <v>3.2863386900653979E-4</v>
      </c>
    </row>
    <row r="190" spans="1:52" ht="15.75" customHeight="1" x14ac:dyDescent="0.35">
      <c r="A190" s="67" t="s">
        <v>465</v>
      </c>
      <c r="B190" s="67" t="s">
        <v>466</v>
      </c>
      <c r="C190" s="67" t="s">
        <v>154</v>
      </c>
      <c r="D190" s="67" t="s">
        <v>471</v>
      </c>
      <c r="E190" s="67" t="s">
        <v>471</v>
      </c>
      <c r="F190" s="67" t="s">
        <v>472</v>
      </c>
      <c r="G190" s="67" t="s">
        <v>52</v>
      </c>
      <c r="H190" s="67" t="s">
        <v>473</v>
      </c>
      <c r="I190" s="67" t="s">
        <v>474</v>
      </c>
      <c r="J190" s="95"/>
      <c r="K190" s="228">
        <f t="shared" si="50"/>
        <v>25</v>
      </c>
      <c r="L190" s="269">
        <v>25</v>
      </c>
      <c r="M190" s="269"/>
      <c r="N190" s="269"/>
      <c r="O190" s="269">
        <v>1</v>
      </c>
      <c r="P190" s="269"/>
      <c r="Q190" s="269"/>
      <c r="R190" s="269"/>
      <c r="S190" s="67" t="s">
        <v>470</v>
      </c>
      <c r="T190" s="70"/>
      <c r="U190" s="238">
        <f t="shared" si="35"/>
        <v>0.25</v>
      </c>
      <c r="V190" s="238">
        <f t="shared" si="36"/>
        <v>0</v>
      </c>
      <c r="W190" s="238">
        <f t="shared" si="37"/>
        <v>0</v>
      </c>
      <c r="X190" s="238">
        <f t="shared" si="38"/>
        <v>0</v>
      </c>
      <c r="Y190" s="238">
        <f t="shared" si="39"/>
        <v>0.25</v>
      </c>
      <c r="Z190" s="70">
        <v>0.25</v>
      </c>
      <c r="AA190" s="70"/>
      <c r="AB190" s="70"/>
      <c r="AC190" s="70"/>
      <c r="AD190" s="71">
        <v>0.25</v>
      </c>
      <c r="AE190" s="233">
        <v>120</v>
      </c>
      <c r="AF190" s="72">
        <v>2</v>
      </c>
      <c r="AG190" s="74">
        <v>0.92</v>
      </c>
      <c r="AH190" s="74">
        <v>0.4</v>
      </c>
      <c r="AI190" s="74">
        <v>0</v>
      </c>
      <c r="AJ190" s="74">
        <v>0</v>
      </c>
      <c r="AK190" s="74">
        <v>0</v>
      </c>
      <c r="AL190" s="75">
        <v>0.4</v>
      </c>
      <c r="AM190" s="202">
        <f t="shared" si="40"/>
        <v>2.4199744692693497E-5</v>
      </c>
      <c r="AN190" s="202">
        <f t="shared" si="41"/>
        <v>0</v>
      </c>
      <c r="AO190" s="202">
        <f t="shared" si="42"/>
        <v>0</v>
      </c>
      <c r="AP190" s="202">
        <f t="shared" si="43"/>
        <v>0</v>
      </c>
      <c r="AQ190" s="202">
        <f t="shared" si="44"/>
        <v>2.4199744692693497E-5</v>
      </c>
      <c r="AR190" s="209" t="s">
        <v>465</v>
      </c>
      <c r="AS190" s="210" t="s">
        <v>1662</v>
      </c>
      <c r="AT190" s="234">
        <v>331313</v>
      </c>
      <c r="AU190" s="244">
        <f t="shared" si="45"/>
        <v>0.4</v>
      </c>
      <c r="AV190" s="244">
        <f t="shared" si="46"/>
        <v>0</v>
      </c>
      <c r="AW190" s="244">
        <f t="shared" si="47"/>
        <v>0</v>
      </c>
      <c r="AX190" s="244">
        <f t="shared" si="48"/>
        <v>0</v>
      </c>
      <c r="AY190" s="244">
        <f t="shared" si="49"/>
        <v>0.4</v>
      </c>
      <c r="AZ190">
        <v>2.6290709520523188E-4</v>
      </c>
    </row>
    <row r="191" spans="1:52" ht="15.75" customHeight="1" x14ac:dyDescent="0.35">
      <c r="A191" s="67" t="s">
        <v>465</v>
      </c>
      <c r="B191" s="67" t="s">
        <v>466</v>
      </c>
      <c r="C191" s="67" t="s">
        <v>48</v>
      </c>
      <c r="D191" s="67" t="s">
        <v>475</v>
      </c>
      <c r="E191" s="67" t="s">
        <v>475</v>
      </c>
      <c r="F191" s="67" t="s">
        <v>472</v>
      </c>
      <c r="G191" s="67" t="s">
        <v>52</v>
      </c>
      <c r="H191" s="67" t="s">
        <v>476</v>
      </c>
      <c r="I191" s="67" t="s">
        <v>474</v>
      </c>
      <c r="J191" s="105">
        <v>0.78</v>
      </c>
      <c r="K191" s="228">
        <f t="shared" si="50"/>
        <v>200</v>
      </c>
      <c r="L191" s="269">
        <v>200</v>
      </c>
      <c r="M191" s="269">
        <v>25</v>
      </c>
      <c r="N191" s="269">
        <v>200</v>
      </c>
      <c r="O191" s="269">
        <v>35</v>
      </c>
      <c r="P191" s="269"/>
      <c r="Q191" s="269"/>
      <c r="R191" s="269" t="s">
        <v>477</v>
      </c>
      <c r="S191" s="67" t="s">
        <v>470</v>
      </c>
      <c r="T191" s="70"/>
      <c r="U191" s="238">
        <f t="shared" si="35"/>
        <v>4.05</v>
      </c>
      <c r="V191" s="238">
        <f t="shared" si="36"/>
        <v>0</v>
      </c>
      <c r="W191" s="238">
        <f t="shared" si="37"/>
        <v>0.04</v>
      </c>
      <c r="X191" s="238">
        <f t="shared" si="38"/>
        <v>0</v>
      </c>
      <c r="Y191" s="238">
        <f t="shared" si="39"/>
        <v>4.0199999999999996</v>
      </c>
      <c r="Z191" s="70">
        <v>4.05</v>
      </c>
      <c r="AA191" s="70"/>
      <c r="AB191" s="70">
        <v>0.04</v>
      </c>
      <c r="AC191" s="70"/>
      <c r="AD191" s="71">
        <v>4.0199999999999996</v>
      </c>
      <c r="AE191" s="233">
        <v>250</v>
      </c>
      <c r="AF191" s="72">
        <v>40</v>
      </c>
      <c r="AG191" s="74">
        <v>0.92</v>
      </c>
      <c r="AH191" s="74">
        <v>6.5</v>
      </c>
      <c r="AI191" s="74">
        <v>0</v>
      </c>
      <c r="AJ191" s="74">
        <v>0.1</v>
      </c>
      <c r="AK191" s="74">
        <v>0</v>
      </c>
      <c r="AL191" s="75">
        <v>6.4</v>
      </c>
      <c r="AM191" s="202">
        <f t="shared" si="40"/>
        <v>3.9324585125626927E-4</v>
      </c>
      <c r="AN191" s="202">
        <f t="shared" si="41"/>
        <v>0</v>
      </c>
      <c r="AO191" s="202">
        <f t="shared" si="42"/>
        <v>6.0499361731733742E-6</v>
      </c>
      <c r="AP191" s="202">
        <f t="shared" si="43"/>
        <v>0</v>
      </c>
      <c r="AQ191" s="202">
        <f t="shared" si="44"/>
        <v>3.8719591508309595E-4</v>
      </c>
      <c r="AR191" s="209" t="s">
        <v>465</v>
      </c>
      <c r="AS191" s="210" t="s">
        <v>1662</v>
      </c>
      <c r="AT191" s="234">
        <v>331313</v>
      </c>
      <c r="AU191" s="244">
        <f t="shared" si="45"/>
        <v>6.5</v>
      </c>
      <c r="AV191" s="244">
        <f t="shared" si="46"/>
        <v>0</v>
      </c>
      <c r="AW191" s="244">
        <f t="shared" si="47"/>
        <v>0.1</v>
      </c>
      <c r="AX191" s="244">
        <f t="shared" si="48"/>
        <v>0</v>
      </c>
      <c r="AY191" s="244">
        <f t="shared" si="49"/>
        <v>6.4</v>
      </c>
      <c r="AZ191">
        <v>4.2722402970850172E-3</v>
      </c>
    </row>
    <row r="192" spans="1:52" ht="15.75" customHeight="1" x14ac:dyDescent="0.35">
      <c r="A192" s="67" t="s">
        <v>465</v>
      </c>
      <c r="B192" s="67" t="s">
        <v>466</v>
      </c>
      <c r="C192" s="67" t="s">
        <v>154</v>
      </c>
      <c r="D192" s="67" t="s">
        <v>478</v>
      </c>
      <c r="E192" s="67" t="s">
        <v>478</v>
      </c>
      <c r="F192" s="67" t="s">
        <v>479</v>
      </c>
      <c r="G192" s="67" t="s">
        <v>52</v>
      </c>
      <c r="H192" s="67" t="s">
        <v>480</v>
      </c>
      <c r="I192" s="67" t="s">
        <v>481</v>
      </c>
      <c r="J192" s="66"/>
      <c r="K192" s="228">
        <f t="shared" si="50"/>
        <v>100</v>
      </c>
      <c r="L192" s="269">
        <v>100</v>
      </c>
      <c r="M192" s="269">
        <v>200</v>
      </c>
      <c r="N192" s="269">
        <v>100</v>
      </c>
      <c r="O192" s="269">
        <v>1</v>
      </c>
      <c r="P192" s="269"/>
      <c r="Q192" s="269"/>
      <c r="R192" s="269"/>
      <c r="S192" s="67" t="s">
        <v>470</v>
      </c>
      <c r="T192" s="70"/>
      <c r="U192" s="238">
        <f t="shared" si="35"/>
        <v>0.02</v>
      </c>
      <c r="V192" s="238">
        <f t="shared" si="36"/>
        <v>0</v>
      </c>
      <c r="W192" s="238">
        <f t="shared" si="37"/>
        <v>0.02</v>
      </c>
      <c r="X192" s="238">
        <f t="shared" si="38"/>
        <v>0</v>
      </c>
      <c r="Y192" s="238">
        <f t="shared" si="39"/>
        <v>0</v>
      </c>
      <c r="Z192" s="70">
        <v>0.02</v>
      </c>
      <c r="AA192" s="70"/>
      <c r="AB192" s="70">
        <v>0.02</v>
      </c>
      <c r="AC192" s="70"/>
      <c r="AD192" s="71"/>
      <c r="AE192" s="233"/>
      <c r="AF192" s="72"/>
      <c r="AG192" s="74">
        <v>0.92</v>
      </c>
      <c r="AH192" s="74">
        <v>0</v>
      </c>
      <c r="AI192" s="74">
        <v>0</v>
      </c>
      <c r="AJ192" s="74">
        <v>0</v>
      </c>
      <c r="AK192" s="74">
        <v>0</v>
      </c>
      <c r="AL192" s="75">
        <v>0</v>
      </c>
      <c r="AM192" s="202">
        <f t="shared" si="40"/>
        <v>0</v>
      </c>
      <c r="AN192" s="202">
        <f t="shared" si="41"/>
        <v>0</v>
      </c>
      <c r="AO192" s="202">
        <f t="shared" si="42"/>
        <v>0</v>
      </c>
      <c r="AP192" s="202">
        <f t="shared" si="43"/>
        <v>0</v>
      </c>
      <c r="AQ192" s="202">
        <f t="shared" si="44"/>
        <v>0</v>
      </c>
      <c r="AR192" s="209" t="s">
        <v>465</v>
      </c>
      <c r="AS192" s="210" t="s">
        <v>1662</v>
      </c>
      <c r="AT192" s="234">
        <v>331313</v>
      </c>
      <c r="AU192" s="244">
        <f t="shared" si="45"/>
        <v>0</v>
      </c>
      <c r="AV192" s="244">
        <f t="shared" si="46"/>
        <v>0</v>
      </c>
      <c r="AW192" s="244">
        <f t="shared" si="47"/>
        <v>0</v>
      </c>
      <c r="AX192" s="244">
        <f t="shared" si="48"/>
        <v>0</v>
      </c>
      <c r="AY192" s="244">
        <f t="shared" si="49"/>
        <v>0</v>
      </c>
      <c r="AZ192">
        <v>0</v>
      </c>
    </row>
    <row r="193" spans="1:52" ht="15.75" customHeight="1" x14ac:dyDescent="0.35">
      <c r="A193" s="67" t="s">
        <v>465</v>
      </c>
      <c r="B193" s="67" t="s">
        <v>466</v>
      </c>
      <c r="C193" s="67" t="s">
        <v>149</v>
      </c>
      <c r="D193" s="67" t="s">
        <v>150</v>
      </c>
      <c r="E193" s="67" t="s">
        <v>150</v>
      </c>
      <c r="F193" s="67" t="s">
        <v>479</v>
      </c>
      <c r="G193" s="67" t="s">
        <v>52</v>
      </c>
      <c r="H193" s="67" t="s">
        <v>482</v>
      </c>
      <c r="I193" s="67" t="s">
        <v>483</v>
      </c>
      <c r="J193" s="95"/>
      <c r="K193" s="228">
        <f t="shared" si="50"/>
        <v>100</v>
      </c>
      <c r="L193" s="269">
        <v>100</v>
      </c>
      <c r="M193" s="269"/>
      <c r="N193" s="269"/>
      <c r="O193" s="269">
        <v>1</v>
      </c>
      <c r="P193" s="269"/>
      <c r="Q193" s="269"/>
      <c r="R193" s="269"/>
      <c r="S193" s="67" t="s">
        <v>470</v>
      </c>
      <c r="T193" s="70"/>
      <c r="U193" s="238">
        <f t="shared" si="35"/>
        <v>0.09</v>
      </c>
      <c r="V193" s="238">
        <f t="shared" si="36"/>
        <v>0</v>
      </c>
      <c r="W193" s="238">
        <f t="shared" si="37"/>
        <v>0.05</v>
      </c>
      <c r="X193" s="238">
        <f t="shared" si="38"/>
        <v>0</v>
      </c>
      <c r="Y193" s="238">
        <f t="shared" si="39"/>
        <v>0.03</v>
      </c>
      <c r="Z193" s="70">
        <v>0.09</v>
      </c>
      <c r="AA193" s="70"/>
      <c r="AB193" s="70">
        <v>0.05</v>
      </c>
      <c r="AC193" s="70"/>
      <c r="AD193" s="71">
        <v>0.03</v>
      </c>
      <c r="AE193" s="233">
        <v>120</v>
      </c>
      <c r="AF193" s="72">
        <v>2</v>
      </c>
      <c r="AG193" s="74">
        <v>0.92</v>
      </c>
      <c r="AH193" s="74">
        <v>0.1</v>
      </c>
      <c r="AI193" s="74">
        <v>0</v>
      </c>
      <c r="AJ193" s="74">
        <v>0.1</v>
      </c>
      <c r="AK193" s="74">
        <v>0</v>
      </c>
      <c r="AL193" s="75">
        <v>0.1</v>
      </c>
      <c r="AM193" s="202">
        <f t="shared" si="40"/>
        <v>6.0499361731733742E-6</v>
      </c>
      <c r="AN193" s="202">
        <f t="shared" si="41"/>
        <v>0</v>
      </c>
      <c r="AO193" s="202">
        <f t="shared" si="42"/>
        <v>6.0499361731733742E-6</v>
      </c>
      <c r="AP193" s="202">
        <f t="shared" si="43"/>
        <v>0</v>
      </c>
      <c r="AQ193" s="202">
        <f t="shared" si="44"/>
        <v>6.0499361731733742E-6</v>
      </c>
      <c r="AR193" s="209" t="s">
        <v>465</v>
      </c>
      <c r="AS193" s="210" t="s">
        <v>1662</v>
      </c>
      <c r="AT193" s="234">
        <v>331313</v>
      </c>
      <c r="AU193" s="244">
        <f t="shared" si="45"/>
        <v>0.1</v>
      </c>
      <c r="AV193" s="244">
        <f t="shared" si="46"/>
        <v>0</v>
      </c>
      <c r="AW193" s="244">
        <f t="shared" si="47"/>
        <v>0.1</v>
      </c>
      <c r="AX193" s="244">
        <f t="shared" si="48"/>
        <v>0</v>
      </c>
      <c r="AY193" s="244">
        <f t="shared" si="49"/>
        <v>0.1</v>
      </c>
      <c r="AZ193">
        <v>6.5726773801307969E-5</v>
      </c>
    </row>
    <row r="194" spans="1:52" ht="15.75" customHeight="1" x14ac:dyDescent="0.35">
      <c r="A194" s="67" t="s">
        <v>465</v>
      </c>
      <c r="B194" s="67" t="s">
        <v>466</v>
      </c>
      <c r="C194" s="67" t="s">
        <v>48</v>
      </c>
      <c r="D194" s="67" t="s">
        <v>484</v>
      </c>
      <c r="E194" s="67" t="s">
        <v>484</v>
      </c>
      <c r="F194" s="67" t="s">
        <v>479</v>
      </c>
      <c r="G194" s="67" t="s">
        <v>52</v>
      </c>
      <c r="H194" s="67" t="s">
        <v>485</v>
      </c>
      <c r="I194" s="67" t="s">
        <v>486</v>
      </c>
      <c r="J194" s="95"/>
      <c r="K194" s="228">
        <f t="shared" si="50"/>
        <v>100</v>
      </c>
      <c r="L194" s="269">
        <v>100</v>
      </c>
      <c r="M194" s="269"/>
      <c r="N194" s="269"/>
      <c r="O194" s="269">
        <v>1</v>
      </c>
      <c r="P194" s="269"/>
      <c r="Q194" s="269"/>
      <c r="R194" s="269"/>
      <c r="S194" s="67" t="s">
        <v>470</v>
      </c>
      <c r="T194" s="70"/>
      <c r="U194" s="238">
        <f t="shared" si="35"/>
        <v>0.38</v>
      </c>
      <c r="V194" s="238">
        <f t="shared" si="36"/>
        <v>0</v>
      </c>
      <c r="W194" s="238">
        <f t="shared" si="37"/>
        <v>0</v>
      </c>
      <c r="X194" s="238">
        <f t="shared" si="38"/>
        <v>0</v>
      </c>
      <c r="Y194" s="238">
        <f t="shared" si="39"/>
        <v>0.38</v>
      </c>
      <c r="Z194" s="70">
        <v>0.38</v>
      </c>
      <c r="AA194" s="70"/>
      <c r="AB194" s="70"/>
      <c r="AC194" s="70"/>
      <c r="AD194" s="71">
        <v>0.38</v>
      </c>
      <c r="AE194" s="233">
        <v>120</v>
      </c>
      <c r="AF194" s="72">
        <v>2</v>
      </c>
      <c r="AG194" s="74">
        <v>0.92</v>
      </c>
      <c r="AH194" s="74">
        <v>0.6</v>
      </c>
      <c r="AI194" s="74">
        <v>0</v>
      </c>
      <c r="AJ194" s="74">
        <v>0</v>
      </c>
      <c r="AK194" s="74">
        <v>0</v>
      </c>
      <c r="AL194" s="75">
        <v>0.6</v>
      </c>
      <c r="AM194" s="202">
        <f t="shared" si="40"/>
        <v>3.6299617039040237E-5</v>
      </c>
      <c r="AN194" s="202">
        <f t="shared" si="41"/>
        <v>0</v>
      </c>
      <c r="AO194" s="202">
        <f t="shared" si="42"/>
        <v>0</v>
      </c>
      <c r="AP194" s="202">
        <f t="shared" si="43"/>
        <v>0</v>
      </c>
      <c r="AQ194" s="202">
        <f t="shared" si="44"/>
        <v>3.6299617039040237E-5</v>
      </c>
      <c r="AR194" s="209" t="s">
        <v>465</v>
      </c>
      <c r="AS194" s="210" t="s">
        <v>1662</v>
      </c>
      <c r="AT194" s="234">
        <v>331313</v>
      </c>
      <c r="AU194" s="244">
        <f t="shared" si="45"/>
        <v>0.6</v>
      </c>
      <c r="AV194" s="244">
        <f t="shared" si="46"/>
        <v>0</v>
      </c>
      <c r="AW194" s="244">
        <f t="shared" si="47"/>
        <v>0</v>
      </c>
      <c r="AX194" s="244">
        <f t="shared" si="48"/>
        <v>0</v>
      </c>
      <c r="AY194" s="244">
        <f t="shared" si="49"/>
        <v>0.6</v>
      </c>
      <c r="AZ194">
        <v>3.9436064280784776E-4</v>
      </c>
    </row>
    <row r="195" spans="1:52" ht="15.75" customHeight="1" x14ac:dyDescent="0.35">
      <c r="A195" s="67" t="s">
        <v>465</v>
      </c>
      <c r="B195" s="67" t="s">
        <v>466</v>
      </c>
      <c r="C195" s="67" t="s">
        <v>154</v>
      </c>
      <c r="D195" s="67" t="s">
        <v>487</v>
      </c>
      <c r="E195" s="67" t="s">
        <v>487</v>
      </c>
      <c r="F195" s="67" t="s">
        <v>488</v>
      </c>
      <c r="G195" s="67" t="s">
        <v>52</v>
      </c>
      <c r="H195" s="67" t="s">
        <v>489</v>
      </c>
      <c r="I195" s="67" t="s">
        <v>490</v>
      </c>
      <c r="J195" s="95"/>
      <c r="K195" s="228">
        <f t="shared" si="50"/>
        <v>65</v>
      </c>
      <c r="L195" s="269">
        <v>65</v>
      </c>
      <c r="M195" s="269">
        <v>100</v>
      </c>
      <c r="N195" s="269">
        <v>65</v>
      </c>
      <c r="O195" s="269">
        <v>1</v>
      </c>
      <c r="P195" s="269"/>
      <c r="Q195" s="269"/>
      <c r="R195" s="269"/>
      <c r="S195" s="67" t="s">
        <v>470</v>
      </c>
      <c r="T195" s="70"/>
      <c r="U195" s="238">
        <f t="shared" si="35"/>
        <v>0.04</v>
      </c>
      <c r="V195" s="238">
        <f t="shared" si="36"/>
        <v>0</v>
      </c>
      <c r="W195" s="238">
        <f t="shared" si="37"/>
        <v>0.04</v>
      </c>
      <c r="X195" s="238">
        <f t="shared" si="38"/>
        <v>0</v>
      </c>
      <c r="Y195" s="238">
        <f t="shared" si="39"/>
        <v>0</v>
      </c>
      <c r="Z195" s="70">
        <v>0.04</v>
      </c>
      <c r="AA195" s="70"/>
      <c r="AB195" s="70">
        <v>0.04</v>
      </c>
      <c r="AC195" s="70"/>
      <c r="AD195" s="71"/>
      <c r="AE195" s="233"/>
      <c r="AF195" s="72"/>
      <c r="AG195" s="74">
        <v>0.92</v>
      </c>
      <c r="AH195" s="74">
        <v>0.1</v>
      </c>
      <c r="AI195" s="74">
        <v>0</v>
      </c>
      <c r="AJ195" s="74">
        <v>0.1</v>
      </c>
      <c r="AK195" s="74">
        <v>0</v>
      </c>
      <c r="AL195" s="75">
        <v>0</v>
      </c>
      <c r="AM195" s="202">
        <f t="shared" si="40"/>
        <v>6.0499361731733742E-6</v>
      </c>
      <c r="AN195" s="202">
        <f t="shared" si="41"/>
        <v>0</v>
      </c>
      <c r="AO195" s="202">
        <f t="shared" si="42"/>
        <v>6.0499361731733742E-6</v>
      </c>
      <c r="AP195" s="202">
        <f t="shared" si="43"/>
        <v>0</v>
      </c>
      <c r="AQ195" s="202">
        <f t="shared" si="44"/>
        <v>0</v>
      </c>
      <c r="AR195" s="209" t="s">
        <v>465</v>
      </c>
      <c r="AS195" s="210" t="s">
        <v>1662</v>
      </c>
      <c r="AT195" s="234">
        <v>331313</v>
      </c>
      <c r="AU195" s="244">
        <f t="shared" si="45"/>
        <v>0.1</v>
      </c>
      <c r="AV195" s="244">
        <f t="shared" si="46"/>
        <v>0</v>
      </c>
      <c r="AW195" s="244">
        <f t="shared" si="47"/>
        <v>0.1</v>
      </c>
      <c r="AX195" s="244">
        <f t="shared" si="48"/>
        <v>0</v>
      </c>
      <c r="AY195" s="244">
        <f t="shared" si="49"/>
        <v>0</v>
      </c>
      <c r="AZ195">
        <v>6.5726773801307969E-5</v>
      </c>
    </row>
    <row r="196" spans="1:52" ht="15.75" customHeight="1" x14ac:dyDescent="0.35">
      <c r="A196" s="67" t="s">
        <v>465</v>
      </c>
      <c r="B196" s="67" t="s">
        <v>466</v>
      </c>
      <c r="C196" s="67" t="s">
        <v>74</v>
      </c>
      <c r="D196" s="67" t="s">
        <v>140</v>
      </c>
      <c r="E196" s="67" t="s">
        <v>140</v>
      </c>
      <c r="F196" s="67" t="s">
        <v>491</v>
      </c>
      <c r="G196" s="67" t="s">
        <v>52</v>
      </c>
      <c r="H196" s="67" t="s">
        <v>143</v>
      </c>
      <c r="I196" s="67" t="s">
        <v>492</v>
      </c>
      <c r="J196" s="95"/>
      <c r="K196" s="228">
        <f t="shared" si="50"/>
        <v>115</v>
      </c>
      <c r="L196" s="269">
        <v>115</v>
      </c>
      <c r="M196" s="269">
        <v>65</v>
      </c>
      <c r="N196" s="269">
        <v>115</v>
      </c>
      <c r="O196" s="269" t="s">
        <v>493</v>
      </c>
      <c r="P196" s="269"/>
      <c r="Q196" s="269"/>
      <c r="R196" s="269"/>
      <c r="S196" s="67" t="s">
        <v>470</v>
      </c>
      <c r="T196" s="70"/>
      <c r="U196" s="238">
        <f t="shared" si="35"/>
        <v>2.89</v>
      </c>
      <c r="V196" s="238">
        <f t="shared" si="36"/>
        <v>0</v>
      </c>
      <c r="W196" s="238">
        <f t="shared" si="37"/>
        <v>0</v>
      </c>
      <c r="X196" s="238">
        <f t="shared" si="38"/>
        <v>0</v>
      </c>
      <c r="Y196" s="238">
        <f t="shared" si="39"/>
        <v>2.89</v>
      </c>
      <c r="Z196" s="70">
        <v>2.89</v>
      </c>
      <c r="AA196" s="70"/>
      <c r="AB196" s="70"/>
      <c r="AC196" s="70"/>
      <c r="AD196" s="71">
        <v>2.89</v>
      </c>
      <c r="AE196" s="233">
        <v>120</v>
      </c>
      <c r="AF196" s="72">
        <v>2</v>
      </c>
      <c r="AG196" s="74">
        <v>0.92</v>
      </c>
      <c r="AH196" s="74">
        <v>4.5999999999999996</v>
      </c>
      <c r="AI196" s="74">
        <v>0</v>
      </c>
      <c r="AJ196" s="74">
        <v>0</v>
      </c>
      <c r="AK196" s="74">
        <v>0</v>
      </c>
      <c r="AL196" s="75">
        <v>4.5999999999999996</v>
      </c>
      <c r="AM196" s="202">
        <f t="shared" si="40"/>
        <v>2.7829706396597514E-4</v>
      </c>
      <c r="AN196" s="202">
        <f t="shared" si="41"/>
        <v>0</v>
      </c>
      <c r="AO196" s="202">
        <f t="shared" si="42"/>
        <v>0</v>
      </c>
      <c r="AP196" s="202">
        <f t="shared" si="43"/>
        <v>0</v>
      </c>
      <c r="AQ196" s="202">
        <f t="shared" si="44"/>
        <v>2.7829706396597514E-4</v>
      </c>
      <c r="AR196" s="209" t="s">
        <v>465</v>
      </c>
      <c r="AS196" s="210" t="s">
        <v>1662</v>
      </c>
      <c r="AT196" s="234">
        <v>331313</v>
      </c>
      <c r="AU196" s="244">
        <f t="shared" si="45"/>
        <v>4.5999999999999996</v>
      </c>
      <c r="AV196" s="244">
        <f t="shared" si="46"/>
        <v>0</v>
      </c>
      <c r="AW196" s="244">
        <f t="shared" si="47"/>
        <v>0</v>
      </c>
      <c r="AX196" s="244">
        <f t="shared" si="48"/>
        <v>0</v>
      </c>
      <c r="AY196" s="244">
        <f t="shared" si="49"/>
        <v>4.5999999999999996</v>
      </c>
      <c r="AZ196">
        <v>3.0234315948601659E-3</v>
      </c>
    </row>
    <row r="197" spans="1:52" ht="15.75" customHeight="1" x14ac:dyDescent="0.35">
      <c r="A197" s="67" t="s">
        <v>465</v>
      </c>
      <c r="B197" s="67" t="s">
        <v>466</v>
      </c>
      <c r="C197" s="67" t="s">
        <v>48</v>
      </c>
      <c r="D197" s="67" t="s">
        <v>113</v>
      </c>
      <c r="E197" s="67" t="s">
        <v>113</v>
      </c>
      <c r="F197" s="67" t="s">
        <v>494</v>
      </c>
      <c r="G197" s="67" t="s">
        <v>52</v>
      </c>
      <c r="H197" s="67" t="s">
        <v>115</v>
      </c>
      <c r="I197" s="67" t="s">
        <v>495</v>
      </c>
      <c r="J197" s="105">
        <v>0.67</v>
      </c>
      <c r="K197" s="228">
        <f t="shared" ref="K197:K260" si="51">L197*1</f>
        <v>1100</v>
      </c>
      <c r="L197" s="269">
        <v>1100</v>
      </c>
      <c r="M197" s="269">
        <v>65</v>
      </c>
      <c r="N197" s="269">
        <v>1100</v>
      </c>
      <c r="O197" s="269">
        <v>1</v>
      </c>
      <c r="P197" s="269"/>
      <c r="Q197" s="269"/>
      <c r="R197" s="269"/>
      <c r="S197" s="67" t="s">
        <v>470</v>
      </c>
      <c r="T197" s="70"/>
      <c r="U197" s="238">
        <f t="shared" ref="U197:U260" si="52">ABS(Z197)</f>
        <v>2.79</v>
      </c>
      <c r="V197" s="238">
        <f t="shared" ref="V197:V260" si="53">ABS(AA197)</f>
        <v>0</v>
      </c>
      <c r="W197" s="238">
        <f t="shared" ref="W197:W260" si="54">ABS(AB197)</f>
        <v>0</v>
      </c>
      <c r="X197" s="238">
        <f t="shared" ref="X197:X260" si="55">ABS(AC197)</f>
        <v>2.8</v>
      </c>
      <c r="Y197" s="238">
        <f t="shared" ref="Y197:Y260" si="56">ABS(AD197)</f>
        <v>0</v>
      </c>
      <c r="Z197" s="70">
        <v>2.79</v>
      </c>
      <c r="AA197" s="70"/>
      <c r="AB197" s="70"/>
      <c r="AC197" s="70">
        <v>2.8</v>
      </c>
      <c r="AD197" s="71"/>
      <c r="AE197" s="233"/>
      <c r="AF197" s="72"/>
      <c r="AG197" s="74">
        <v>0.92</v>
      </c>
      <c r="AH197" s="74">
        <v>4.5</v>
      </c>
      <c r="AI197" s="74">
        <v>0</v>
      </c>
      <c r="AJ197" s="74">
        <v>0</v>
      </c>
      <c r="AK197" s="74">
        <v>4.5</v>
      </c>
      <c r="AL197" s="75">
        <v>0</v>
      </c>
      <c r="AM197" s="202">
        <f t="shared" ref="AM197:AM260" si="57">AH197/16529.1</f>
        <v>2.7224712779280182E-4</v>
      </c>
      <c r="AN197" s="202">
        <f t="shared" ref="AN197:AN260" si="58">AI197/16529.1</f>
        <v>0</v>
      </c>
      <c r="AO197" s="202">
        <f t="shared" ref="AO197:AO260" si="59">AJ197/16529.1</f>
        <v>0</v>
      </c>
      <c r="AP197" s="202">
        <f t="shared" ref="AP197:AP260" si="60">AK197/16529.1</f>
        <v>2.7224712779280182E-4</v>
      </c>
      <c r="AQ197" s="202">
        <f t="shared" ref="AQ197:AQ260" si="61">AL197/16529.1</f>
        <v>0</v>
      </c>
      <c r="AR197" s="209" t="s">
        <v>465</v>
      </c>
      <c r="AS197" s="210" t="s">
        <v>1662</v>
      </c>
      <c r="AT197" s="234">
        <v>331313</v>
      </c>
      <c r="AU197" s="244">
        <f t="shared" ref="AU197:AU260" si="62">ABS(AH197)</f>
        <v>4.5</v>
      </c>
      <c r="AV197" s="244">
        <f t="shared" ref="AV197:AV260" si="63">ABS(AI197)</f>
        <v>0</v>
      </c>
      <c r="AW197" s="244">
        <f t="shared" ref="AW197:AW260" si="64">ABS(AJ197)</f>
        <v>0</v>
      </c>
      <c r="AX197" s="244">
        <f t="shared" ref="AX197:AX260" si="65">ABS(AK197)</f>
        <v>4.5</v>
      </c>
      <c r="AY197" s="244">
        <f t="shared" ref="AY197:AY260" si="66">ABS(AL197)</f>
        <v>0</v>
      </c>
      <c r="AZ197">
        <v>2.9577048210588583E-3</v>
      </c>
    </row>
    <row r="198" spans="1:52" ht="15.75" customHeight="1" x14ac:dyDescent="0.35">
      <c r="A198" s="78" t="s">
        <v>465</v>
      </c>
      <c r="B198" s="78" t="s">
        <v>466</v>
      </c>
      <c r="C198" s="78" t="s">
        <v>67</v>
      </c>
      <c r="D198" s="78" t="s">
        <v>67</v>
      </c>
      <c r="E198" s="78" t="s">
        <v>67</v>
      </c>
      <c r="F198" s="78" t="s">
        <v>494</v>
      </c>
      <c r="G198" s="78" t="s">
        <v>52</v>
      </c>
      <c r="H198" s="78" t="s">
        <v>119</v>
      </c>
      <c r="I198" s="78" t="s">
        <v>496</v>
      </c>
      <c r="J198" s="134">
        <v>0.81200000000000006</v>
      </c>
      <c r="K198" s="228">
        <f t="shared" si="51"/>
        <v>25</v>
      </c>
      <c r="L198" s="269">
        <v>25</v>
      </c>
      <c r="M198" s="269">
        <v>1100</v>
      </c>
      <c r="N198" s="269">
        <v>25</v>
      </c>
      <c r="O198" s="269">
        <v>1</v>
      </c>
      <c r="P198" s="269"/>
      <c r="Q198" s="269"/>
      <c r="R198" s="269"/>
      <c r="S198" s="78" t="s">
        <v>470</v>
      </c>
      <c r="T198" s="82"/>
      <c r="U198" s="238">
        <f t="shared" si="52"/>
        <v>0.05</v>
      </c>
      <c r="V198" s="238">
        <f t="shared" si="53"/>
        <v>0</v>
      </c>
      <c r="W198" s="238">
        <f t="shared" si="54"/>
        <v>0.05</v>
      </c>
      <c r="X198" s="238">
        <f t="shared" si="55"/>
        <v>0</v>
      </c>
      <c r="Y198" s="238">
        <f t="shared" si="56"/>
        <v>0</v>
      </c>
      <c r="Z198" s="70">
        <v>0.05</v>
      </c>
      <c r="AA198" s="70"/>
      <c r="AB198" s="70">
        <v>0.05</v>
      </c>
      <c r="AC198" s="70"/>
      <c r="AD198" s="71"/>
      <c r="AE198" s="81"/>
      <c r="AF198" s="84"/>
      <c r="AG198" s="86">
        <v>0.92</v>
      </c>
      <c r="AH198" s="86">
        <v>0.1</v>
      </c>
      <c r="AI198" s="86">
        <v>0</v>
      </c>
      <c r="AJ198" s="86">
        <v>0.1</v>
      </c>
      <c r="AK198" s="86">
        <v>0</v>
      </c>
      <c r="AL198" s="87">
        <v>0</v>
      </c>
      <c r="AM198" s="202">
        <f t="shared" si="57"/>
        <v>6.0499361731733742E-6</v>
      </c>
      <c r="AN198" s="202">
        <f t="shared" si="58"/>
        <v>0</v>
      </c>
      <c r="AO198" s="202">
        <f t="shared" si="59"/>
        <v>6.0499361731733742E-6</v>
      </c>
      <c r="AP198" s="202">
        <f t="shared" si="60"/>
        <v>0</v>
      </c>
      <c r="AQ198" s="202">
        <f t="shared" si="61"/>
        <v>0</v>
      </c>
      <c r="AR198" s="213" t="s">
        <v>465</v>
      </c>
      <c r="AS198" s="210" t="s">
        <v>1662</v>
      </c>
      <c r="AT198" s="234">
        <v>331313</v>
      </c>
      <c r="AU198" s="244">
        <f t="shared" si="62"/>
        <v>0.1</v>
      </c>
      <c r="AV198" s="244">
        <f t="shared" si="63"/>
        <v>0</v>
      </c>
      <c r="AW198" s="244">
        <f t="shared" si="64"/>
        <v>0.1</v>
      </c>
      <c r="AX198" s="244">
        <f t="shared" si="65"/>
        <v>0</v>
      </c>
      <c r="AY198" s="244">
        <f t="shared" si="66"/>
        <v>0</v>
      </c>
      <c r="AZ198">
        <v>6.5726773801307969E-5</v>
      </c>
    </row>
    <row r="199" spans="1:52" ht="15.75" customHeight="1" x14ac:dyDescent="0.35">
      <c r="A199" s="67" t="s">
        <v>465</v>
      </c>
      <c r="B199" s="67" t="s">
        <v>497</v>
      </c>
      <c r="C199" s="67" t="s">
        <v>48</v>
      </c>
      <c r="D199" s="67" t="s">
        <v>113</v>
      </c>
      <c r="E199" s="67" t="s">
        <v>498</v>
      </c>
      <c r="F199" s="67" t="s">
        <v>499</v>
      </c>
      <c r="G199" s="67" t="s">
        <v>52</v>
      </c>
      <c r="H199" s="67" t="s">
        <v>115</v>
      </c>
      <c r="I199" s="67" t="s">
        <v>500</v>
      </c>
      <c r="J199" s="105">
        <v>0.75</v>
      </c>
      <c r="K199" s="228">
        <f t="shared" si="51"/>
        <v>1200</v>
      </c>
      <c r="L199" s="269">
        <v>1200</v>
      </c>
      <c r="M199" s="269">
        <v>25</v>
      </c>
      <c r="N199" s="269">
        <v>1200</v>
      </c>
      <c r="O199" s="269">
        <v>1</v>
      </c>
      <c r="P199" s="269"/>
      <c r="Q199" s="269"/>
      <c r="R199" s="269"/>
      <c r="S199" s="67" t="s">
        <v>501</v>
      </c>
      <c r="T199" s="70">
        <v>0.5</v>
      </c>
      <c r="U199" s="238">
        <f t="shared" si="52"/>
        <v>1.87</v>
      </c>
      <c r="V199" s="238">
        <f t="shared" si="53"/>
        <v>0</v>
      </c>
      <c r="W199" s="238">
        <f t="shared" si="54"/>
        <v>0.06</v>
      </c>
      <c r="X199" s="238">
        <f t="shared" si="55"/>
        <v>1.8</v>
      </c>
      <c r="Y199" s="238">
        <f t="shared" si="56"/>
        <v>0</v>
      </c>
      <c r="Z199" s="82">
        <v>1.87</v>
      </c>
      <c r="AA199" s="82"/>
      <c r="AB199" s="82">
        <v>0.06</v>
      </c>
      <c r="AC199" s="82">
        <v>1.8</v>
      </c>
      <c r="AD199" s="83"/>
      <c r="AE199" s="233"/>
      <c r="AF199" s="72"/>
      <c r="AG199" s="74">
        <v>0.64575000000000005</v>
      </c>
      <c r="AH199" s="74">
        <v>1.3</v>
      </c>
      <c r="AI199" s="74">
        <v>0</v>
      </c>
      <c r="AJ199" s="74">
        <v>0</v>
      </c>
      <c r="AK199" s="74">
        <v>1.2</v>
      </c>
      <c r="AL199" s="75">
        <v>0</v>
      </c>
      <c r="AM199" s="202">
        <f t="shared" si="57"/>
        <v>7.8649170251253862E-5</v>
      </c>
      <c r="AN199" s="202">
        <f t="shared" si="58"/>
        <v>0</v>
      </c>
      <c r="AO199" s="202">
        <f t="shared" si="59"/>
        <v>0</v>
      </c>
      <c r="AP199" s="202">
        <f t="shared" si="60"/>
        <v>7.2599234078080474E-5</v>
      </c>
      <c r="AQ199" s="202">
        <f t="shared" si="61"/>
        <v>0</v>
      </c>
      <c r="AR199" s="209" t="s">
        <v>465</v>
      </c>
      <c r="AS199" s="210" t="s">
        <v>1662</v>
      </c>
      <c r="AT199" s="234">
        <v>331313</v>
      </c>
      <c r="AU199" s="244">
        <f t="shared" si="62"/>
        <v>1.3</v>
      </c>
      <c r="AV199" s="244">
        <f t="shared" si="63"/>
        <v>0</v>
      </c>
      <c r="AW199" s="244">
        <f t="shared" si="64"/>
        <v>0</v>
      </c>
      <c r="AX199" s="244">
        <f t="shared" si="65"/>
        <v>1.2</v>
      </c>
      <c r="AY199" s="244">
        <f t="shared" si="66"/>
        <v>0</v>
      </c>
      <c r="AZ199">
        <v>8.5444805941700349E-4</v>
      </c>
    </row>
    <row r="200" spans="1:52" ht="15.75" customHeight="1" x14ac:dyDescent="0.35">
      <c r="A200" s="67" t="s">
        <v>465</v>
      </c>
      <c r="B200" s="67" t="s">
        <v>497</v>
      </c>
      <c r="C200" s="67" t="s">
        <v>74</v>
      </c>
      <c r="D200" s="67" t="s">
        <v>83</v>
      </c>
      <c r="E200" s="67" t="s">
        <v>502</v>
      </c>
      <c r="F200" s="67" t="s">
        <v>503</v>
      </c>
      <c r="G200" s="67" t="s">
        <v>52</v>
      </c>
      <c r="H200" s="67" t="s">
        <v>504</v>
      </c>
      <c r="I200" s="67" t="s">
        <v>505</v>
      </c>
      <c r="J200" s="76" t="s">
        <v>87</v>
      </c>
      <c r="K200" s="228">
        <f t="shared" si="51"/>
        <v>400</v>
      </c>
      <c r="L200" s="269">
        <v>400</v>
      </c>
      <c r="M200" s="269"/>
      <c r="N200" s="269"/>
      <c r="O200" s="269">
        <v>1</v>
      </c>
      <c r="P200" s="269"/>
      <c r="Q200" s="269"/>
      <c r="R200" s="269"/>
      <c r="S200" s="67" t="s">
        <v>501</v>
      </c>
      <c r="T200" s="70">
        <v>0.1</v>
      </c>
      <c r="U200" s="238">
        <f t="shared" si="52"/>
        <v>0.03</v>
      </c>
      <c r="V200" s="238">
        <f t="shared" si="53"/>
        <v>0</v>
      </c>
      <c r="W200" s="238">
        <f t="shared" si="54"/>
        <v>0</v>
      </c>
      <c r="X200" s="238">
        <f t="shared" si="55"/>
        <v>0</v>
      </c>
      <c r="Y200" s="238">
        <f t="shared" si="56"/>
        <v>0.03</v>
      </c>
      <c r="Z200" s="70">
        <v>0.03</v>
      </c>
      <c r="AA200" s="70"/>
      <c r="AB200" s="70"/>
      <c r="AC200" s="70"/>
      <c r="AD200" s="71">
        <v>0.03</v>
      </c>
      <c r="AE200" s="233">
        <v>450</v>
      </c>
      <c r="AF200" s="72">
        <v>300</v>
      </c>
      <c r="AG200" s="74">
        <v>0.64575000000000005</v>
      </c>
      <c r="AH200" s="74">
        <v>0</v>
      </c>
      <c r="AI200" s="74">
        <v>0</v>
      </c>
      <c r="AJ200" s="74">
        <v>0</v>
      </c>
      <c r="AK200" s="74">
        <v>0</v>
      </c>
      <c r="AL200" s="75">
        <v>0</v>
      </c>
      <c r="AM200" s="202">
        <f t="shared" si="57"/>
        <v>0</v>
      </c>
      <c r="AN200" s="202">
        <f t="shared" si="58"/>
        <v>0</v>
      </c>
      <c r="AO200" s="202">
        <f t="shared" si="59"/>
        <v>0</v>
      </c>
      <c r="AP200" s="202">
        <f t="shared" si="60"/>
        <v>0</v>
      </c>
      <c r="AQ200" s="202">
        <f t="shared" si="61"/>
        <v>0</v>
      </c>
      <c r="AR200" s="209" t="s">
        <v>465</v>
      </c>
      <c r="AS200" s="210" t="s">
        <v>1662</v>
      </c>
      <c r="AT200" s="234">
        <v>331313</v>
      </c>
      <c r="AU200" s="244">
        <f t="shared" si="62"/>
        <v>0</v>
      </c>
      <c r="AV200" s="244">
        <f t="shared" si="63"/>
        <v>0</v>
      </c>
      <c r="AW200" s="244">
        <f t="shared" si="64"/>
        <v>0</v>
      </c>
      <c r="AX200" s="244">
        <f t="shared" si="65"/>
        <v>0</v>
      </c>
      <c r="AY200" s="244">
        <f t="shared" si="66"/>
        <v>0</v>
      </c>
      <c r="AZ200">
        <v>0</v>
      </c>
    </row>
    <row r="201" spans="1:52" ht="15.75" customHeight="1" x14ac:dyDescent="0.35">
      <c r="A201" s="67" t="s">
        <v>465</v>
      </c>
      <c r="B201" s="67" t="s">
        <v>497</v>
      </c>
      <c r="C201" s="67" t="s">
        <v>99</v>
      </c>
      <c r="D201" s="67" t="s">
        <v>506</v>
      </c>
      <c r="E201" s="67" t="s">
        <v>507</v>
      </c>
      <c r="F201" s="67" t="s">
        <v>508</v>
      </c>
      <c r="G201" s="67" t="s">
        <v>52</v>
      </c>
      <c r="H201" s="67" t="s">
        <v>509</v>
      </c>
      <c r="I201" s="67" t="s">
        <v>510</v>
      </c>
      <c r="J201" s="95"/>
      <c r="K201" s="228">
        <f t="shared" si="51"/>
        <v>25</v>
      </c>
      <c r="L201" s="269">
        <v>25</v>
      </c>
      <c r="M201" s="269"/>
      <c r="N201" s="269"/>
      <c r="O201" s="269">
        <v>1</v>
      </c>
      <c r="P201" s="269"/>
      <c r="Q201" s="269"/>
      <c r="R201" s="269"/>
      <c r="S201" s="67" t="s">
        <v>501</v>
      </c>
      <c r="T201" s="70"/>
      <c r="U201" s="238">
        <f t="shared" si="52"/>
        <v>0.63</v>
      </c>
      <c r="V201" s="238">
        <f t="shared" si="53"/>
        <v>0</v>
      </c>
      <c r="W201" s="238">
        <f t="shared" si="54"/>
        <v>0.63</v>
      </c>
      <c r="X201" s="238">
        <f t="shared" si="55"/>
        <v>0</v>
      </c>
      <c r="Y201" s="238">
        <f t="shared" si="56"/>
        <v>0</v>
      </c>
      <c r="Z201" s="70">
        <v>0.63</v>
      </c>
      <c r="AA201" s="70"/>
      <c r="AB201" s="70">
        <v>0.63</v>
      </c>
      <c r="AC201" s="70"/>
      <c r="AD201" s="71"/>
      <c r="AE201" s="233"/>
      <c r="AF201" s="72"/>
      <c r="AG201" s="74">
        <v>0.64575000000000005</v>
      </c>
      <c r="AH201" s="74">
        <v>0.4</v>
      </c>
      <c r="AI201" s="74">
        <v>0</v>
      </c>
      <c r="AJ201" s="74">
        <v>0.4</v>
      </c>
      <c r="AK201" s="74">
        <v>0</v>
      </c>
      <c r="AL201" s="75">
        <v>0</v>
      </c>
      <c r="AM201" s="202">
        <f t="shared" si="57"/>
        <v>2.4199744692693497E-5</v>
      </c>
      <c r="AN201" s="202">
        <f t="shared" si="58"/>
        <v>0</v>
      </c>
      <c r="AO201" s="202">
        <f t="shared" si="59"/>
        <v>2.4199744692693497E-5</v>
      </c>
      <c r="AP201" s="202">
        <f t="shared" si="60"/>
        <v>0</v>
      </c>
      <c r="AQ201" s="202">
        <f t="shared" si="61"/>
        <v>0</v>
      </c>
      <c r="AR201" s="209" t="s">
        <v>465</v>
      </c>
      <c r="AS201" s="210" t="s">
        <v>1662</v>
      </c>
      <c r="AT201" s="234">
        <v>331313</v>
      </c>
      <c r="AU201" s="244">
        <f t="shared" si="62"/>
        <v>0.4</v>
      </c>
      <c r="AV201" s="244">
        <f t="shared" si="63"/>
        <v>0</v>
      </c>
      <c r="AW201" s="244">
        <f t="shared" si="64"/>
        <v>0.4</v>
      </c>
      <c r="AX201" s="244">
        <f t="shared" si="65"/>
        <v>0</v>
      </c>
      <c r="AY201" s="244">
        <f t="shared" si="66"/>
        <v>0</v>
      </c>
      <c r="AZ201">
        <v>2.6290709520523188E-4</v>
      </c>
    </row>
    <row r="202" spans="1:52" ht="15.75" customHeight="1" x14ac:dyDescent="0.35">
      <c r="A202" s="67" t="s">
        <v>465</v>
      </c>
      <c r="B202" s="67" t="s">
        <v>497</v>
      </c>
      <c r="C202" s="67" t="s">
        <v>108</v>
      </c>
      <c r="D202" s="67" t="s">
        <v>511</v>
      </c>
      <c r="E202" s="67" t="s">
        <v>512</v>
      </c>
      <c r="F202" s="67" t="s">
        <v>513</v>
      </c>
      <c r="G202" s="67" t="s">
        <v>52</v>
      </c>
      <c r="H202" s="67" t="s">
        <v>514</v>
      </c>
      <c r="I202" s="67" t="s">
        <v>515</v>
      </c>
      <c r="J202" s="95"/>
      <c r="K202" s="228">
        <f t="shared" si="51"/>
        <v>180</v>
      </c>
      <c r="L202" s="269">
        <v>180</v>
      </c>
      <c r="M202" s="269">
        <v>25</v>
      </c>
      <c r="N202" s="269">
        <v>180</v>
      </c>
      <c r="O202" s="269">
        <v>1</v>
      </c>
      <c r="P202" s="269"/>
      <c r="Q202" s="269"/>
      <c r="R202" s="269"/>
      <c r="S202" s="67" t="s">
        <v>501</v>
      </c>
      <c r="T202" s="70"/>
      <c r="U202" s="238">
        <f t="shared" si="52"/>
        <v>0.04</v>
      </c>
      <c r="V202" s="238">
        <f t="shared" si="53"/>
        <v>0</v>
      </c>
      <c r="W202" s="238">
        <f t="shared" si="54"/>
        <v>0.04</v>
      </c>
      <c r="X202" s="238">
        <f t="shared" si="55"/>
        <v>0</v>
      </c>
      <c r="Y202" s="238">
        <f t="shared" si="56"/>
        <v>0</v>
      </c>
      <c r="Z202" s="70">
        <v>0.04</v>
      </c>
      <c r="AA202" s="70"/>
      <c r="AB202" s="70">
        <v>0.04</v>
      </c>
      <c r="AC202" s="70"/>
      <c r="AD202" s="71"/>
      <c r="AE202" s="233"/>
      <c r="AF202" s="72"/>
      <c r="AG202" s="74">
        <v>0.64575000000000005</v>
      </c>
      <c r="AH202" s="74">
        <v>0</v>
      </c>
      <c r="AI202" s="74">
        <v>0</v>
      </c>
      <c r="AJ202" s="74">
        <v>0</v>
      </c>
      <c r="AK202" s="74">
        <v>0</v>
      </c>
      <c r="AL202" s="75">
        <v>0</v>
      </c>
      <c r="AM202" s="202">
        <f t="shared" si="57"/>
        <v>0</v>
      </c>
      <c r="AN202" s="202">
        <f t="shared" si="58"/>
        <v>0</v>
      </c>
      <c r="AO202" s="202">
        <f t="shared" si="59"/>
        <v>0</v>
      </c>
      <c r="AP202" s="202">
        <f t="shared" si="60"/>
        <v>0</v>
      </c>
      <c r="AQ202" s="202">
        <f t="shared" si="61"/>
        <v>0</v>
      </c>
      <c r="AR202" s="209" t="s">
        <v>465</v>
      </c>
      <c r="AS202" s="210" t="s">
        <v>1662</v>
      </c>
      <c r="AT202" s="234">
        <v>331313</v>
      </c>
      <c r="AU202" s="244">
        <f t="shared" si="62"/>
        <v>0</v>
      </c>
      <c r="AV202" s="244">
        <f t="shared" si="63"/>
        <v>0</v>
      </c>
      <c r="AW202" s="244">
        <f t="shared" si="64"/>
        <v>0</v>
      </c>
      <c r="AX202" s="244">
        <f t="shared" si="65"/>
        <v>0</v>
      </c>
      <c r="AY202" s="244">
        <f t="shared" si="66"/>
        <v>0</v>
      </c>
      <c r="AZ202">
        <v>0</v>
      </c>
    </row>
    <row r="203" spans="1:52" ht="15.75" customHeight="1" x14ac:dyDescent="0.35">
      <c r="A203" s="67" t="s">
        <v>465</v>
      </c>
      <c r="B203" s="67" t="s">
        <v>497</v>
      </c>
      <c r="C203" s="67" t="s">
        <v>260</v>
      </c>
      <c r="D203" s="67" t="s">
        <v>516</v>
      </c>
      <c r="E203" s="67" t="s">
        <v>516</v>
      </c>
      <c r="F203" s="67" t="s">
        <v>513</v>
      </c>
      <c r="G203" s="67" t="s">
        <v>52</v>
      </c>
      <c r="H203" s="67" t="s">
        <v>517</v>
      </c>
      <c r="I203" s="67" t="s">
        <v>518</v>
      </c>
      <c r="J203" s="95"/>
      <c r="K203" s="228">
        <f t="shared" si="51"/>
        <v>180</v>
      </c>
      <c r="L203" s="269">
        <v>180</v>
      </c>
      <c r="M203" s="269"/>
      <c r="N203" s="269"/>
      <c r="O203" s="269">
        <v>1</v>
      </c>
      <c r="P203" s="269"/>
      <c r="Q203" s="269"/>
      <c r="R203" s="269"/>
      <c r="S203" s="67" t="s">
        <v>501</v>
      </c>
      <c r="T203" s="70"/>
      <c r="U203" s="238">
        <f t="shared" si="52"/>
        <v>0.16</v>
      </c>
      <c r="V203" s="238">
        <f t="shared" si="53"/>
        <v>0</v>
      </c>
      <c r="W203" s="238">
        <f t="shared" si="54"/>
        <v>0.16</v>
      </c>
      <c r="X203" s="238">
        <f t="shared" si="55"/>
        <v>0</v>
      </c>
      <c r="Y203" s="238">
        <f t="shared" si="56"/>
        <v>0</v>
      </c>
      <c r="Z203" s="70">
        <v>0.16</v>
      </c>
      <c r="AA203" s="70"/>
      <c r="AB203" s="70">
        <v>0.16</v>
      </c>
      <c r="AC203" s="70"/>
      <c r="AD203" s="71"/>
      <c r="AE203" s="233"/>
      <c r="AF203" s="72"/>
      <c r="AG203" s="74">
        <v>0.64575000000000005</v>
      </c>
      <c r="AH203" s="74">
        <v>0.1</v>
      </c>
      <c r="AI203" s="74">
        <v>0</v>
      </c>
      <c r="AJ203" s="74">
        <v>0.1</v>
      </c>
      <c r="AK203" s="74">
        <v>0</v>
      </c>
      <c r="AL203" s="75">
        <v>0</v>
      </c>
      <c r="AM203" s="202">
        <f t="shared" si="57"/>
        <v>6.0499361731733742E-6</v>
      </c>
      <c r="AN203" s="202">
        <f t="shared" si="58"/>
        <v>0</v>
      </c>
      <c r="AO203" s="202">
        <f t="shared" si="59"/>
        <v>6.0499361731733742E-6</v>
      </c>
      <c r="AP203" s="202">
        <f t="shared" si="60"/>
        <v>0</v>
      </c>
      <c r="AQ203" s="202">
        <f t="shared" si="61"/>
        <v>0</v>
      </c>
      <c r="AR203" s="209" t="s">
        <v>465</v>
      </c>
      <c r="AS203" s="210" t="s">
        <v>1662</v>
      </c>
      <c r="AT203" s="234">
        <v>331313</v>
      </c>
      <c r="AU203" s="244">
        <f t="shared" si="62"/>
        <v>0.1</v>
      </c>
      <c r="AV203" s="244">
        <f t="shared" si="63"/>
        <v>0</v>
      </c>
      <c r="AW203" s="244">
        <f t="shared" si="64"/>
        <v>0.1</v>
      </c>
      <c r="AX203" s="244">
        <f t="shared" si="65"/>
        <v>0</v>
      </c>
      <c r="AY203" s="244">
        <f t="shared" si="66"/>
        <v>0</v>
      </c>
      <c r="AZ203">
        <v>6.5726773801307969E-5</v>
      </c>
    </row>
    <row r="204" spans="1:52" ht="15.75" customHeight="1" x14ac:dyDescent="0.35">
      <c r="A204" s="67" t="s">
        <v>465</v>
      </c>
      <c r="B204" s="67" t="s">
        <v>497</v>
      </c>
      <c r="C204" s="67" t="s">
        <v>92</v>
      </c>
      <c r="D204" s="67" t="s">
        <v>519</v>
      </c>
      <c r="E204" s="67" t="s">
        <v>520</v>
      </c>
      <c r="F204" s="67" t="s">
        <v>521</v>
      </c>
      <c r="G204" s="67" t="s">
        <v>52</v>
      </c>
      <c r="H204" s="67" t="s">
        <v>53</v>
      </c>
      <c r="I204" s="67" t="s">
        <v>522</v>
      </c>
      <c r="J204" s="105">
        <v>0.3</v>
      </c>
      <c r="K204" s="228">
        <f t="shared" si="51"/>
        <v>1200</v>
      </c>
      <c r="L204" s="269">
        <v>1200</v>
      </c>
      <c r="M204" s="269">
        <v>25</v>
      </c>
      <c r="N204" s="269">
        <v>1200</v>
      </c>
      <c r="O204" s="269">
        <v>1</v>
      </c>
      <c r="P204" s="269"/>
      <c r="Q204" s="269"/>
      <c r="R204" s="269"/>
      <c r="S204" s="67" t="s">
        <v>501</v>
      </c>
      <c r="T204" s="70"/>
      <c r="U204" s="238">
        <f t="shared" si="52"/>
        <v>0.99</v>
      </c>
      <c r="V204" s="238">
        <f t="shared" si="53"/>
        <v>0</v>
      </c>
      <c r="W204" s="238">
        <f t="shared" si="54"/>
        <v>0</v>
      </c>
      <c r="X204" s="238">
        <f t="shared" si="55"/>
        <v>1</v>
      </c>
      <c r="Y204" s="238">
        <f t="shared" si="56"/>
        <v>0</v>
      </c>
      <c r="Z204" s="70">
        <v>0.99</v>
      </c>
      <c r="AA204" s="70"/>
      <c r="AB204" s="70"/>
      <c r="AC204" s="70">
        <v>1</v>
      </c>
      <c r="AD204" s="71"/>
      <c r="AE204" s="233"/>
      <c r="AF204" s="72"/>
      <c r="AG204" s="74">
        <v>0.64575000000000005</v>
      </c>
      <c r="AH204" s="74">
        <v>0.7</v>
      </c>
      <c r="AI204" s="74">
        <v>0</v>
      </c>
      <c r="AJ204" s="74">
        <v>0</v>
      </c>
      <c r="AK204" s="74">
        <v>0.7</v>
      </c>
      <c r="AL204" s="75">
        <v>0</v>
      </c>
      <c r="AM204" s="202">
        <f t="shared" si="57"/>
        <v>4.2349553212213612E-5</v>
      </c>
      <c r="AN204" s="202">
        <f t="shared" si="58"/>
        <v>0</v>
      </c>
      <c r="AO204" s="202">
        <f t="shared" si="59"/>
        <v>0</v>
      </c>
      <c r="AP204" s="202">
        <f t="shared" si="60"/>
        <v>4.2349553212213612E-5</v>
      </c>
      <c r="AQ204" s="202">
        <f t="shared" si="61"/>
        <v>0</v>
      </c>
      <c r="AR204" s="209" t="s">
        <v>465</v>
      </c>
      <c r="AS204" s="210" t="s">
        <v>1662</v>
      </c>
      <c r="AT204" s="234">
        <v>331313</v>
      </c>
      <c r="AU204" s="244">
        <f t="shared" si="62"/>
        <v>0.7</v>
      </c>
      <c r="AV204" s="244">
        <f t="shared" si="63"/>
        <v>0</v>
      </c>
      <c r="AW204" s="244">
        <f t="shared" si="64"/>
        <v>0</v>
      </c>
      <c r="AX204" s="244">
        <f t="shared" si="65"/>
        <v>0.7</v>
      </c>
      <c r="AY204" s="244">
        <f t="shared" si="66"/>
        <v>0</v>
      </c>
      <c r="AZ204">
        <v>4.6008741660915568E-4</v>
      </c>
    </row>
    <row r="205" spans="1:52" ht="15.75" customHeight="1" x14ac:dyDescent="0.35">
      <c r="A205" s="67" t="s">
        <v>465</v>
      </c>
      <c r="B205" s="67" t="s">
        <v>497</v>
      </c>
      <c r="C205" s="67" t="s">
        <v>48</v>
      </c>
      <c r="D205" s="67" t="s">
        <v>288</v>
      </c>
      <c r="E205" s="67" t="s">
        <v>288</v>
      </c>
      <c r="F205" s="67" t="s">
        <v>523</v>
      </c>
      <c r="G205" s="67" t="s">
        <v>52</v>
      </c>
      <c r="H205" s="67" t="s">
        <v>524</v>
      </c>
      <c r="I205" s="67" t="s">
        <v>525</v>
      </c>
      <c r="J205" s="105">
        <v>0.95</v>
      </c>
      <c r="K205" s="228">
        <f t="shared" si="51"/>
        <v>960</v>
      </c>
      <c r="L205" s="269">
        <v>960</v>
      </c>
      <c r="M205" s="269">
        <v>25</v>
      </c>
      <c r="N205" s="269">
        <v>960</v>
      </c>
      <c r="O205" s="269">
        <v>1</v>
      </c>
      <c r="P205" s="269"/>
      <c r="Q205" s="269"/>
      <c r="R205" s="269"/>
      <c r="S205" s="67" t="s">
        <v>501</v>
      </c>
      <c r="T205" s="70">
        <v>1.9</v>
      </c>
      <c r="U205" s="238">
        <f t="shared" si="52"/>
        <v>53.78</v>
      </c>
      <c r="V205" s="238">
        <f t="shared" si="53"/>
        <v>0</v>
      </c>
      <c r="W205" s="238">
        <f t="shared" si="54"/>
        <v>53.78</v>
      </c>
      <c r="X205" s="238">
        <f t="shared" si="55"/>
        <v>0</v>
      </c>
      <c r="Y205" s="238">
        <f t="shared" si="56"/>
        <v>0</v>
      </c>
      <c r="Z205" s="70">
        <v>53.78</v>
      </c>
      <c r="AA205" s="70"/>
      <c r="AB205" s="70">
        <v>53.78</v>
      </c>
      <c r="AC205" s="70"/>
      <c r="AD205" s="71"/>
      <c r="AE205" s="233"/>
      <c r="AF205" s="72"/>
      <c r="AG205" s="74">
        <v>0.64575000000000005</v>
      </c>
      <c r="AH205" s="74">
        <v>35.9</v>
      </c>
      <c r="AI205" s="74">
        <v>0</v>
      </c>
      <c r="AJ205" s="74">
        <v>35.9</v>
      </c>
      <c r="AK205" s="74">
        <v>0</v>
      </c>
      <c r="AL205" s="75">
        <v>0</v>
      </c>
      <c r="AM205" s="202">
        <f t="shared" si="57"/>
        <v>2.1719270861692412E-3</v>
      </c>
      <c r="AN205" s="202">
        <f t="shared" si="58"/>
        <v>0</v>
      </c>
      <c r="AO205" s="202">
        <f t="shared" si="59"/>
        <v>2.1719270861692412E-3</v>
      </c>
      <c r="AP205" s="202">
        <f t="shared" si="60"/>
        <v>0</v>
      </c>
      <c r="AQ205" s="202">
        <f t="shared" si="61"/>
        <v>0</v>
      </c>
      <c r="AR205" s="209" t="s">
        <v>465</v>
      </c>
      <c r="AS205" s="210" t="s">
        <v>1662</v>
      </c>
      <c r="AT205" s="234">
        <v>331313</v>
      </c>
      <c r="AU205" s="244">
        <f t="shared" si="62"/>
        <v>35.9</v>
      </c>
      <c r="AV205" s="244">
        <f t="shared" si="63"/>
        <v>0</v>
      </c>
      <c r="AW205" s="244">
        <f t="shared" si="64"/>
        <v>35.9</v>
      </c>
      <c r="AX205" s="244">
        <f t="shared" si="65"/>
        <v>0</v>
      </c>
      <c r="AY205" s="244">
        <f t="shared" si="66"/>
        <v>0</v>
      </c>
      <c r="AZ205">
        <v>2.3595911794669557E-2</v>
      </c>
    </row>
    <row r="206" spans="1:52" ht="15.75" customHeight="1" x14ac:dyDescent="0.35">
      <c r="A206" s="67" t="s">
        <v>465</v>
      </c>
      <c r="B206" s="67" t="s">
        <v>497</v>
      </c>
      <c r="C206" s="67" t="s">
        <v>92</v>
      </c>
      <c r="D206" s="67" t="s">
        <v>526</v>
      </c>
      <c r="E206" s="67" t="s">
        <v>526</v>
      </c>
      <c r="F206" s="67" t="s">
        <v>523</v>
      </c>
      <c r="G206" s="67" t="s">
        <v>52</v>
      </c>
      <c r="H206" s="67" t="s">
        <v>53</v>
      </c>
      <c r="I206" s="67" t="s">
        <v>527</v>
      </c>
      <c r="J206" s="95"/>
      <c r="K206" s="228">
        <f t="shared" si="51"/>
        <v>370</v>
      </c>
      <c r="L206" s="269">
        <v>370</v>
      </c>
      <c r="M206" s="269">
        <v>960</v>
      </c>
      <c r="N206" s="269">
        <v>370</v>
      </c>
      <c r="O206" s="269">
        <v>1</v>
      </c>
      <c r="P206" s="269"/>
      <c r="Q206" s="269"/>
      <c r="R206" s="269"/>
      <c r="S206" s="67" t="s">
        <v>501</v>
      </c>
      <c r="T206" s="70"/>
      <c r="U206" s="238">
        <f t="shared" si="52"/>
        <v>0.78</v>
      </c>
      <c r="V206" s="238">
        <f t="shared" si="53"/>
        <v>0</v>
      </c>
      <c r="W206" s="238">
        <f t="shared" si="54"/>
        <v>0.78</v>
      </c>
      <c r="X206" s="238">
        <f t="shared" si="55"/>
        <v>0</v>
      </c>
      <c r="Y206" s="238">
        <f t="shared" si="56"/>
        <v>0</v>
      </c>
      <c r="Z206" s="70">
        <v>0.78</v>
      </c>
      <c r="AA206" s="70"/>
      <c r="AB206" s="70">
        <v>0.78</v>
      </c>
      <c r="AC206" s="70"/>
      <c r="AD206" s="71"/>
      <c r="AE206" s="233"/>
      <c r="AF206" s="72"/>
      <c r="AG206" s="74">
        <v>0.64575000000000005</v>
      </c>
      <c r="AH206" s="74">
        <v>0.5</v>
      </c>
      <c r="AI206" s="74">
        <v>0</v>
      </c>
      <c r="AJ206" s="74">
        <v>0.5</v>
      </c>
      <c r="AK206" s="74">
        <v>0</v>
      </c>
      <c r="AL206" s="75">
        <v>0</v>
      </c>
      <c r="AM206" s="202">
        <f t="shared" si="57"/>
        <v>3.0249680865866869E-5</v>
      </c>
      <c r="AN206" s="202">
        <f t="shared" si="58"/>
        <v>0</v>
      </c>
      <c r="AO206" s="202">
        <f t="shared" si="59"/>
        <v>3.0249680865866869E-5</v>
      </c>
      <c r="AP206" s="202">
        <f t="shared" si="60"/>
        <v>0</v>
      </c>
      <c r="AQ206" s="202">
        <f t="shared" si="61"/>
        <v>0</v>
      </c>
      <c r="AR206" s="209" t="s">
        <v>465</v>
      </c>
      <c r="AS206" s="210" t="s">
        <v>1662</v>
      </c>
      <c r="AT206" s="234">
        <v>331313</v>
      </c>
      <c r="AU206" s="244">
        <f t="shared" si="62"/>
        <v>0.5</v>
      </c>
      <c r="AV206" s="244">
        <f t="shared" si="63"/>
        <v>0</v>
      </c>
      <c r="AW206" s="244">
        <f t="shared" si="64"/>
        <v>0.5</v>
      </c>
      <c r="AX206" s="244">
        <f t="shared" si="65"/>
        <v>0</v>
      </c>
      <c r="AY206" s="244">
        <f t="shared" si="66"/>
        <v>0</v>
      </c>
      <c r="AZ206">
        <v>3.2863386900653979E-4</v>
      </c>
    </row>
    <row r="207" spans="1:52" ht="15.75" customHeight="1" x14ac:dyDescent="0.35">
      <c r="A207" s="78" t="s">
        <v>465</v>
      </c>
      <c r="B207" s="78" t="s">
        <v>497</v>
      </c>
      <c r="C207" s="78" t="s">
        <v>67</v>
      </c>
      <c r="D207" s="78" t="s">
        <v>67</v>
      </c>
      <c r="E207" s="78" t="s">
        <v>67</v>
      </c>
      <c r="F207" s="78" t="s">
        <v>523</v>
      </c>
      <c r="G207" s="78" t="s">
        <v>52</v>
      </c>
      <c r="H207" s="78" t="s">
        <v>517</v>
      </c>
      <c r="I207" s="78" t="s">
        <v>528</v>
      </c>
      <c r="J207" s="98"/>
      <c r="K207" s="228">
        <f t="shared" si="51"/>
        <v>25</v>
      </c>
      <c r="L207" s="269">
        <v>25</v>
      </c>
      <c r="M207" s="269">
        <v>370</v>
      </c>
      <c r="N207" s="269">
        <v>25</v>
      </c>
      <c r="O207" s="269">
        <v>1</v>
      </c>
      <c r="P207" s="269"/>
      <c r="Q207" s="269"/>
      <c r="R207" s="269"/>
      <c r="S207" s="78" t="s">
        <v>501</v>
      </c>
      <c r="T207" s="82"/>
      <c r="U207" s="238">
        <f t="shared" si="52"/>
        <v>0.39</v>
      </c>
      <c r="V207" s="238">
        <f t="shared" si="53"/>
        <v>0</v>
      </c>
      <c r="W207" s="238">
        <f t="shared" si="54"/>
        <v>0.39</v>
      </c>
      <c r="X207" s="238">
        <f t="shared" si="55"/>
        <v>0</v>
      </c>
      <c r="Y207" s="238">
        <f t="shared" si="56"/>
        <v>0</v>
      </c>
      <c r="Z207" s="70">
        <v>0.39</v>
      </c>
      <c r="AA207" s="70"/>
      <c r="AB207" s="70">
        <v>0.39</v>
      </c>
      <c r="AC207" s="70"/>
      <c r="AD207" s="71"/>
      <c r="AE207" s="81"/>
      <c r="AF207" s="84"/>
      <c r="AG207" s="86">
        <v>0.64575000000000005</v>
      </c>
      <c r="AH207" s="86">
        <v>0.3</v>
      </c>
      <c r="AI207" s="86">
        <v>0</v>
      </c>
      <c r="AJ207" s="86">
        <v>0.3</v>
      </c>
      <c r="AK207" s="86">
        <v>0</v>
      </c>
      <c r="AL207" s="87">
        <v>0</v>
      </c>
      <c r="AM207" s="202">
        <f t="shared" si="57"/>
        <v>1.8149808519520118E-5</v>
      </c>
      <c r="AN207" s="202">
        <f t="shared" si="58"/>
        <v>0</v>
      </c>
      <c r="AO207" s="202">
        <f t="shared" si="59"/>
        <v>1.8149808519520118E-5</v>
      </c>
      <c r="AP207" s="202">
        <f t="shared" si="60"/>
        <v>0</v>
      </c>
      <c r="AQ207" s="202">
        <f t="shared" si="61"/>
        <v>0</v>
      </c>
      <c r="AR207" s="213" t="s">
        <v>465</v>
      </c>
      <c r="AS207" s="210" t="s">
        <v>1662</v>
      </c>
      <c r="AT207" s="234">
        <v>331313</v>
      </c>
      <c r="AU207" s="244">
        <f t="shared" si="62"/>
        <v>0.3</v>
      </c>
      <c r="AV207" s="244">
        <f t="shared" si="63"/>
        <v>0</v>
      </c>
      <c r="AW207" s="244">
        <f t="shared" si="64"/>
        <v>0.3</v>
      </c>
      <c r="AX207" s="244">
        <f t="shared" si="65"/>
        <v>0</v>
      </c>
      <c r="AY207" s="244">
        <f t="shared" si="66"/>
        <v>0</v>
      </c>
      <c r="AZ207">
        <v>1.9718032140392388E-4</v>
      </c>
    </row>
    <row r="208" spans="1:52" ht="15.75" customHeight="1" x14ac:dyDescent="0.35">
      <c r="A208" s="67" t="s">
        <v>465</v>
      </c>
      <c r="B208" s="67" t="s">
        <v>529</v>
      </c>
      <c r="C208" s="67" t="s">
        <v>48</v>
      </c>
      <c r="D208" s="67" t="s">
        <v>113</v>
      </c>
      <c r="E208" s="67" t="s">
        <v>498</v>
      </c>
      <c r="F208" s="67" t="s">
        <v>499</v>
      </c>
      <c r="G208" s="67" t="s">
        <v>52</v>
      </c>
      <c r="H208" s="67" t="s">
        <v>115</v>
      </c>
      <c r="I208" s="67" t="s">
        <v>500</v>
      </c>
      <c r="J208" s="105">
        <v>0.75</v>
      </c>
      <c r="K208" s="228">
        <f t="shared" si="51"/>
        <v>1200</v>
      </c>
      <c r="L208" s="269">
        <v>1200</v>
      </c>
      <c r="M208" s="269">
        <v>25</v>
      </c>
      <c r="N208" s="269">
        <v>1200</v>
      </c>
      <c r="O208" s="269">
        <v>1</v>
      </c>
      <c r="P208" s="269"/>
      <c r="Q208" s="269"/>
      <c r="R208" s="269"/>
      <c r="S208" s="67" t="s">
        <v>501</v>
      </c>
      <c r="T208" s="70">
        <v>0.5</v>
      </c>
      <c r="U208" s="238">
        <f t="shared" si="52"/>
        <v>1.87</v>
      </c>
      <c r="V208" s="238">
        <f t="shared" si="53"/>
        <v>0</v>
      </c>
      <c r="W208" s="238">
        <f t="shared" si="54"/>
        <v>0.06</v>
      </c>
      <c r="X208" s="238">
        <f t="shared" si="55"/>
        <v>1.8</v>
      </c>
      <c r="Y208" s="238">
        <f t="shared" si="56"/>
        <v>0</v>
      </c>
      <c r="Z208" s="82">
        <v>1.87</v>
      </c>
      <c r="AA208" s="82"/>
      <c r="AB208" s="82">
        <v>0.06</v>
      </c>
      <c r="AC208" s="82">
        <v>1.8</v>
      </c>
      <c r="AD208" s="83"/>
      <c r="AE208" s="233"/>
      <c r="AF208" s="72"/>
      <c r="AG208" s="74">
        <v>0.21525</v>
      </c>
      <c r="AH208" s="74">
        <v>0.4</v>
      </c>
      <c r="AI208" s="74">
        <v>0</v>
      </c>
      <c r="AJ208" s="74">
        <v>0</v>
      </c>
      <c r="AK208" s="74">
        <v>0.4</v>
      </c>
      <c r="AL208" s="75">
        <v>0</v>
      </c>
      <c r="AM208" s="202">
        <f t="shared" si="57"/>
        <v>2.4199744692693497E-5</v>
      </c>
      <c r="AN208" s="202">
        <f t="shared" si="58"/>
        <v>0</v>
      </c>
      <c r="AO208" s="202">
        <f t="shared" si="59"/>
        <v>0</v>
      </c>
      <c r="AP208" s="202">
        <f t="shared" si="60"/>
        <v>2.4199744692693497E-5</v>
      </c>
      <c r="AQ208" s="202">
        <f t="shared" si="61"/>
        <v>0</v>
      </c>
      <c r="AR208" s="209" t="s">
        <v>465</v>
      </c>
      <c r="AS208" s="210" t="s">
        <v>1662</v>
      </c>
      <c r="AT208" s="234">
        <v>331313</v>
      </c>
      <c r="AU208" s="244">
        <f t="shared" si="62"/>
        <v>0.4</v>
      </c>
      <c r="AV208" s="244">
        <f t="shared" si="63"/>
        <v>0</v>
      </c>
      <c r="AW208" s="244">
        <f t="shared" si="64"/>
        <v>0</v>
      </c>
      <c r="AX208" s="244">
        <f t="shared" si="65"/>
        <v>0.4</v>
      </c>
      <c r="AY208" s="244">
        <f t="shared" si="66"/>
        <v>0</v>
      </c>
      <c r="AZ208">
        <v>2.6290709520523188E-4</v>
      </c>
    </row>
    <row r="209" spans="1:52" ht="15.75" customHeight="1" x14ac:dyDescent="0.35">
      <c r="A209" s="67" t="s">
        <v>465</v>
      </c>
      <c r="B209" s="67" t="s">
        <v>529</v>
      </c>
      <c r="C209" s="67" t="s">
        <v>74</v>
      </c>
      <c r="D209" s="67" t="s">
        <v>83</v>
      </c>
      <c r="E209" s="67" t="s">
        <v>502</v>
      </c>
      <c r="F209" s="67" t="s">
        <v>503</v>
      </c>
      <c r="G209" s="67" t="s">
        <v>52</v>
      </c>
      <c r="H209" s="67" t="s">
        <v>504</v>
      </c>
      <c r="I209" s="67" t="s">
        <v>505</v>
      </c>
      <c r="J209" s="76" t="s">
        <v>87</v>
      </c>
      <c r="K209" s="228">
        <f t="shared" si="51"/>
        <v>400</v>
      </c>
      <c r="L209" s="269">
        <v>400</v>
      </c>
      <c r="M209" s="269"/>
      <c r="N209" s="269"/>
      <c r="O209" s="269">
        <v>1</v>
      </c>
      <c r="P209" s="269"/>
      <c r="Q209" s="269"/>
      <c r="R209" s="269"/>
      <c r="S209" s="67" t="s">
        <v>501</v>
      </c>
      <c r="T209" s="70">
        <v>0.1</v>
      </c>
      <c r="U209" s="238">
        <f t="shared" si="52"/>
        <v>0.03</v>
      </c>
      <c r="V209" s="238">
        <f t="shared" si="53"/>
        <v>0</v>
      </c>
      <c r="W209" s="238">
        <f t="shared" si="54"/>
        <v>0</v>
      </c>
      <c r="X209" s="238">
        <f t="shared" si="55"/>
        <v>0</v>
      </c>
      <c r="Y209" s="238">
        <f t="shared" si="56"/>
        <v>0.03</v>
      </c>
      <c r="Z209" s="70">
        <v>0.03</v>
      </c>
      <c r="AA209" s="70"/>
      <c r="AB209" s="70"/>
      <c r="AC209" s="70"/>
      <c r="AD209" s="71">
        <v>0.03</v>
      </c>
      <c r="AE209" s="233">
        <v>450</v>
      </c>
      <c r="AF209" s="72">
        <v>300</v>
      </c>
      <c r="AG209" s="74">
        <v>0.21525</v>
      </c>
      <c r="AH209" s="74">
        <v>0</v>
      </c>
      <c r="AI209" s="74">
        <v>0</v>
      </c>
      <c r="AJ209" s="74">
        <v>0</v>
      </c>
      <c r="AK209" s="74">
        <v>0</v>
      </c>
      <c r="AL209" s="75">
        <v>0</v>
      </c>
      <c r="AM209" s="202">
        <f t="shared" si="57"/>
        <v>0</v>
      </c>
      <c r="AN209" s="202">
        <f t="shared" si="58"/>
        <v>0</v>
      </c>
      <c r="AO209" s="202">
        <f t="shared" si="59"/>
        <v>0</v>
      </c>
      <c r="AP209" s="202">
        <f t="shared" si="60"/>
        <v>0</v>
      </c>
      <c r="AQ209" s="202">
        <f t="shared" si="61"/>
        <v>0</v>
      </c>
      <c r="AR209" s="209" t="s">
        <v>465</v>
      </c>
      <c r="AS209" s="210" t="s">
        <v>1662</v>
      </c>
      <c r="AT209" s="234">
        <v>331313</v>
      </c>
      <c r="AU209" s="244">
        <f t="shared" si="62"/>
        <v>0</v>
      </c>
      <c r="AV209" s="244">
        <f t="shared" si="63"/>
        <v>0</v>
      </c>
      <c r="AW209" s="244">
        <f t="shared" si="64"/>
        <v>0</v>
      </c>
      <c r="AX209" s="244">
        <f t="shared" si="65"/>
        <v>0</v>
      </c>
      <c r="AY209" s="244">
        <f t="shared" si="66"/>
        <v>0</v>
      </c>
      <c r="AZ209">
        <v>0</v>
      </c>
    </row>
    <row r="210" spans="1:52" ht="15.75" customHeight="1" x14ac:dyDescent="0.35">
      <c r="A210" s="67" t="s">
        <v>465</v>
      </c>
      <c r="B210" s="67" t="s">
        <v>529</v>
      </c>
      <c r="C210" s="67" t="s">
        <v>99</v>
      </c>
      <c r="D210" s="67" t="s">
        <v>506</v>
      </c>
      <c r="E210" s="67" t="s">
        <v>507</v>
      </c>
      <c r="F210" s="67" t="s">
        <v>508</v>
      </c>
      <c r="G210" s="67" t="s">
        <v>52</v>
      </c>
      <c r="H210" s="67" t="s">
        <v>509</v>
      </c>
      <c r="I210" s="67" t="s">
        <v>510</v>
      </c>
      <c r="J210" s="95"/>
      <c r="K210" s="228">
        <f t="shared" si="51"/>
        <v>25</v>
      </c>
      <c r="L210" s="269">
        <v>25</v>
      </c>
      <c r="M210" s="269"/>
      <c r="N210" s="269"/>
      <c r="O210" s="269">
        <v>1</v>
      </c>
      <c r="P210" s="269"/>
      <c r="Q210" s="269"/>
      <c r="R210" s="269"/>
      <c r="S210" s="67" t="s">
        <v>501</v>
      </c>
      <c r="T210" s="70"/>
      <c r="U210" s="238">
        <f t="shared" si="52"/>
        <v>0.63</v>
      </c>
      <c r="V210" s="238">
        <f t="shared" si="53"/>
        <v>0</v>
      </c>
      <c r="W210" s="238">
        <f t="shared" si="54"/>
        <v>0.63</v>
      </c>
      <c r="X210" s="238">
        <f t="shared" si="55"/>
        <v>0</v>
      </c>
      <c r="Y210" s="238">
        <f t="shared" si="56"/>
        <v>0</v>
      </c>
      <c r="Z210" s="70">
        <v>0.63</v>
      </c>
      <c r="AA210" s="70"/>
      <c r="AB210" s="70">
        <v>0.63</v>
      </c>
      <c r="AC210" s="70"/>
      <c r="AD210" s="71"/>
      <c r="AE210" s="233"/>
      <c r="AF210" s="72"/>
      <c r="AG210" s="74">
        <v>0.21525</v>
      </c>
      <c r="AH210" s="74">
        <v>0.1</v>
      </c>
      <c r="AI210" s="74">
        <v>0</v>
      </c>
      <c r="AJ210" s="74">
        <v>0.1</v>
      </c>
      <c r="AK210" s="74">
        <v>0</v>
      </c>
      <c r="AL210" s="75">
        <v>0</v>
      </c>
      <c r="AM210" s="202">
        <f t="shared" si="57"/>
        <v>6.0499361731733742E-6</v>
      </c>
      <c r="AN210" s="202">
        <f t="shared" si="58"/>
        <v>0</v>
      </c>
      <c r="AO210" s="202">
        <f t="shared" si="59"/>
        <v>6.0499361731733742E-6</v>
      </c>
      <c r="AP210" s="202">
        <f t="shared" si="60"/>
        <v>0</v>
      </c>
      <c r="AQ210" s="202">
        <f t="shared" si="61"/>
        <v>0</v>
      </c>
      <c r="AR210" s="209" t="s">
        <v>465</v>
      </c>
      <c r="AS210" s="210" t="s">
        <v>1662</v>
      </c>
      <c r="AT210" s="234">
        <v>331313</v>
      </c>
      <c r="AU210" s="244">
        <f t="shared" si="62"/>
        <v>0.1</v>
      </c>
      <c r="AV210" s="244">
        <f t="shared" si="63"/>
        <v>0</v>
      </c>
      <c r="AW210" s="244">
        <f t="shared" si="64"/>
        <v>0.1</v>
      </c>
      <c r="AX210" s="244">
        <f t="shared" si="65"/>
        <v>0</v>
      </c>
      <c r="AY210" s="244">
        <f t="shared" si="66"/>
        <v>0</v>
      </c>
      <c r="AZ210">
        <v>6.5726773801307969E-5</v>
      </c>
    </row>
    <row r="211" spans="1:52" ht="15.75" customHeight="1" x14ac:dyDescent="0.35">
      <c r="A211" s="67" t="s">
        <v>465</v>
      </c>
      <c r="B211" s="67" t="s">
        <v>529</v>
      </c>
      <c r="C211" s="67" t="s">
        <v>108</v>
      </c>
      <c r="D211" s="67" t="s">
        <v>511</v>
      </c>
      <c r="E211" s="67" t="s">
        <v>512</v>
      </c>
      <c r="F211" s="67" t="s">
        <v>530</v>
      </c>
      <c r="G211" s="67" t="s">
        <v>52</v>
      </c>
      <c r="H211" s="67" t="s">
        <v>514</v>
      </c>
      <c r="I211" s="67" t="s">
        <v>515</v>
      </c>
      <c r="J211" s="95"/>
      <c r="K211" s="228">
        <f t="shared" si="51"/>
        <v>180</v>
      </c>
      <c r="L211" s="269">
        <v>180</v>
      </c>
      <c r="M211" s="269">
        <v>25</v>
      </c>
      <c r="N211" s="269">
        <v>180</v>
      </c>
      <c r="O211" s="269">
        <v>1</v>
      </c>
      <c r="P211" s="269"/>
      <c r="Q211" s="269"/>
      <c r="R211" s="269"/>
      <c r="S211" s="67" t="s">
        <v>501</v>
      </c>
      <c r="T211" s="70"/>
      <c r="U211" s="238">
        <f t="shared" si="52"/>
        <v>0.04</v>
      </c>
      <c r="V211" s="238">
        <f t="shared" si="53"/>
        <v>0</v>
      </c>
      <c r="W211" s="238">
        <f t="shared" si="54"/>
        <v>0.04</v>
      </c>
      <c r="X211" s="238">
        <f t="shared" si="55"/>
        <v>0</v>
      </c>
      <c r="Y211" s="238">
        <f t="shared" si="56"/>
        <v>0</v>
      </c>
      <c r="Z211" s="70">
        <v>0.04</v>
      </c>
      <c r="AA211" s="70"/>
      <c r="AB211" s="70">
        <v>0.04</v>
      </c>
      <c r="AC211" s="70"/>
      <c r="AD211" s="71"/>
      <c r="AE211" s="233"/>
      <c r="AF211" s="72"/>
      <c r="AG211" s="74">
        <v>0.21525</v>
      </c>
      <c r="AH211" s="74">
        <v>0</v>
      </c>
      <c r="AI211" s="74">
        <v>0</v>
      </c>
      <c r="AJ211" s="74">
        <v>0</v>
      </c>
      <c r="AK211" s="74">
        <v>0</v>
      </c>
      <c r="AL211" s="75">
        <v>0</v>
      </c>
      <c r="AM211" s="202">
        <f t="shared" si="57"/>
        <v>0</v>
      </c>
      <c r="AN211" s="202">
        <f t="shared" si="58"/>
        <v>0</v>
      </c>
      <c r="AO211" s="202">
        <f t="shared" si="59"/>
        <v>0</v>
      </c>
      <c r="AP211" s="202">
        <f t="shared" si="60"/>
        <v>0</v>
      </c>
      <c r="AQ211" s="202">
        <f t="shared" si="61"/>
        <v>0</v>
      </c>
      <c r="AR211" s="209" t="s">
        <v>465</v>
      </c>
      <c r="AS211" s="210" t="s">
        <v>1662</v>
      </c>
      <c r="AT211" s="234">
        <v>331313</v>
      </c>
      <c r="AU211" s="244">
        <f t="shared" si="62"/>
        <v>0</v>
      </c>
      <c r="AV211" s="244">
        <f t="shared" si="63"/>
        <v>0</v>
      </c>
      <c r="AW211" s="244">
        <f t="shared" si="64"/>
        <v>0</v>
      </c>
      <c r="AX211" s="244">
        <f t="shared" si="65"/>
        <v>0</v>
      </c>
      <c r="AY211" s="244">
        <f t="shared" si="66"/>
        <v>0</v>
      </c>
      <c r="AZ211">
        <v>0</v>
      </c>
    </row>
    <row r="212" spans="1:52" ht="15.75" customHeight="1" x14ac:dyDescent="0.35">
      <c r="A212" s="67" t="s">
        <v>465</v>
      </c>
      <c r="B212" s="67" t="s">
        <v>529</v>
      </c>
      <c r="C212" s="67" t="s">
        <v>48</v>
      </c>
      <c r="D212" s="67" t="s">
        <v>288</v>
      </c>
      <c r="E212" s="67" t="s">
        <v>288</v>
      </c>
      <c r="F212" s="67" t="s">
        <v>523</v>
      </c>
      <c r="G212" s="67" t="s">
        <v>52</v>
      </c>
      <c r="H212" s="67" t="s">
        <v>524</v>
      </c>
      <c r="I212" s="67" t="s">
        <v>525</v>
      </c>
      <c r="J212" s="105">
        <v>0.92</v>
      </c>
      <c r="K212" s="228">
        <f t="shared" si="51"/>
        <v>960</v>
      </c>
      <c r="L212" s="269">
        <v>960</v>
      </c>
      <c r="M212" s="269">
        <v>180</v>
      </c>
      <c r="N212" s="269">
        <v>960</v>
      </c>
      <c r="O212" s="269">
        <v>1</v>
      </c>
      <c r="P212" s="269"/>
      <c r="Q212" s="269"/>
      <c r="R212" s="269"/>
      <c r="S212" s="67" t="s">
        <v>501</v>
      </c>
      <c r="T212" s="70">
        <v>1.9</v>
      </c>
      <c r="U212" s="238">
        <f t="shared" si="52"/>
        <v>57.6</v>
      </c>
      <c r="V212" s="238">
        <f t="shared" si="53"/>
        <v>0</v>
      </c>
      <c r="W212" s="238">
        <f t="shared" si="54"/>
        <v>57.6</v>
      </c>
      <c r="X212" s="238">
        <f t="shared" si="55"/>
        <v>0</v>
      </c>
      <c r="Y212" s="238">
        <f t="shared" si="56"/>
        <v>0</v>
      </c>
      <c r="Z212" s="70">
        <v>57.6</v>
      </c>
      <c r="AA212" s="70"/>
      <c r="AB212" s="70">
        <v>57.6</v>
      </c>
      <c r="AC212" s="70"/>
      <c r="AD212" s="71"/>
      <c r="AE212" s="233"/>
      <c r="AF212" s="72"/>
      <c r="AG212" s="74">
        <v>0.21525</v>
      </c>
      <c r="AH212" s="74">
        <v>12.8</v>
      </c>
      <c r="AI212" s="74">
        <v>0</v>
      </c>
      <c r="AJ212" s="74">
        <v>12.8</v>
      </c>
      <c r="AK212" s="74">
        <v>0</v>
      </c>
      <c r="AL212" s="75">
        <v>0</v>
      </c>
      <c r="AM212" s="202">
        <f t="shared" si="57"/>
        <v>7.743918301661919E-4</v>
      </c>
      <c r="AN212" s="202">
        <f t="shared" si="58"/>
        <v>0</v>
      </c>
      <c r="AO212" s="202">
        <f t="shared" si="59"/>
        <v>7.743918301661919E-4</v>
      </c>
      <c r="AP212" s="202">
        <f t="shared" si="60"/>
        <v>0</v>
      </c>
      <c r="AQ212" s="202">
        <f t="shared" si="61"/>
        <v>0</v>
      </c>
      <c r="AR212" s="209" t="s">
        <v>465</v>
      </c>
      <c r="AS212" s="210" t="s">
        <v>1662</v>
      </c>
      <c r="AT212" s="234">
        <v>331313</v>
      </c>
      <c r="AU212" s="244">
        <f t="shared" si="62"/>
        <v>12.8</v>
      </c>
      <c r="AV212" s="244">
        <f t="shared" si="63"/>
        <v>0</v>
      </c>
      <c r="AW212" s="244">
        <f t="shared" si="64"/>
        <v>12.8</v>
      </c>
      <c r="AX212" s="244">
        <f t="shared" si="65"/>
        <v>0</v>
      </c>
      <c r="AY212" s="244">
        <f t="shared" si="66"/>
        <v>0</v>
      </c>
      <c r="AZ212">
        <v>8.4130270465674201E-3</v>
      </c>
    </row>
    <row r="213" spans="1:52" ht="15.75" customHeight="1" x14ac:dyDescent="0.35">
      <c r="A213" s="67" t="s">
        <v>465</v>
      </c>
      <c r="B213" s="67" t="s">
        <v>529</v>
      </c>
      <c r="C213" s="67" t="s">
        <v>92</v>
      </c>
      <c r="D213" s="67" t="s">
        <v>526</v>
      </c>
      <c r="E213" s="67" t="s">
        <v>526</v>
      </c>
      <c r="F213" s="67" t="s">
        <v>523</v>
      </c>
      <c r="G213" s="67" t="s">
        <v>52</v>
      </c>
      <c r="H213" s="67" t="s">
        <v>53</v>
      </c>
      <c r="I213" s="67" t="s">
        <v>527</v>
      </c>
      <c r="J213" s="95"/>
      <c r="K213" s="228">
        <f t="shared" si="51"/>
        <v>370</v>
      </c>
      <c r="L213" s="269">
        <v>370</v>
      </c>
      <c r="M213" s="269">
        <v>960</v>
      </c>
      <c r="N213" s="269">
        <v>370</v>
      </c>
      <c r="O213" s="269">
        <v>1</v>
      </c>
      <c r="P213" s="269"/>
      <c r="Q213" s="269"/>
      <c r="R213" s="269"/>
      <c r="S213" s="67" t="s">
        <v>501</v>
      </c>
      <c r="T213" s="70"/>
      <c r="U213" s="238">
        <f t="shared" si="52"/>
        <v>0.78</v>
      </c>
      <c r="V213" s="238">
        <f t="shared" si="53"/>
        <v>0</v>
      </c>
      <c r="W213" s="238">
        <f t="shared" si="54"/>
        <v>0.78</v>
      </c>
      <c r="X213" s="238">
        <f t="shared" si="55"/>
        <v>0</v>
      </c>
      <c r="Y213" s="238">
        <f t="shared" si="56"/>
        <v>0</v>
      </c>
      <c r="Z213" s="70">
        <v>0.78</v>
      </c>
      <c r="AA213" s="70"/>
      <c r="AB213" s="70">
        <v>0.78</v>
      </c>
      <c r="AC213" s="70"/>
      <c r="AD213" s="71"/>
      <c r="AE213" s="233"/>
      <c r="AF213" s="72"/>
      <c r="AG213" s="74">
        <v>0.21525</v>
      </c>
      <c r="AH213" s="74">
        <v>0.2</v>
      </c>
      <c r="AI213" s="74">
        <v>0</v>
      </c>
      <c r="AJ213" s="74">
        <v>0.2</v>
      </c>
      <c r="AK213" s="74">
        <v>0</v>
      </c>
      <c r="AL213" s="75">
        <v>0</v>
      </c>
      <c r="AM213" s="202">
        <f t="shared" si="57"/>
        <v>1.2099872346346748E-5</v>
      </c>
      <c r="AN213" s="202">
        <f t="shared" si="58"/>
        <v>0</v>
      </c>
      <c r="AO213" s="202">
        <f t="shared" si="59"/>
        <v>1.2099872346346748E-5</v>
      </c>
      <c r="AP213" s="202">
        <f t="shared" si="60"/>
        <v>0</v>
      </c>
      <c r="AQ213" s="202">
        <f t="shared" si="61"/>
        <v>0</v>
      </c>
      <c r="AR213" s="209" t="s">
        <v>465</v>
      </c>
      <c r="AS213" s="210" t="s">
        <v>1662</v>
      </c>
      <c r="AT213" s="234">
        <v>331313</v>
      </c>
      <c r="AU213" s="244">
        <f t="shared" si="62"/>
        <v>0.2</v>
      </c>
      <c r="AV213" s="244">
        <f t="shared" si="63"/>
        <v>0</v>
      </c>
      <c r="AW213" s="244">
        <f t="shared" si="64"/>
        <v>0.2</v>
      </c>
      <c r="AX213" s="244">
        <f t="shared" si="65"/>
        <v>0</v>
      </c>
      <c r="AY213" s="244">
        <f t="shared" si="66"/>
        <v>0</v>
      </c>
      <c r="AZ213">
        <v>1.3145354760261594E-4</v>
      </c>
    </row>
    <row r="214" spans="1:52" ht="15.75" customHeight="1" x14ac:dyDescent="0.35">
      <c r="A214" s="78" t="s">
        <v>465</v>
      </c>
      <c r="B214" s="78" t="s">
        <v>529</v>
      </c>
      <c r="C214" s="78" t="s">
        <v>67</v>
      </c>
      <c r="D214" s="78" t="s">
        <v>67</v>
      </c>
      <c r="E214" s="78" t="s">
        <v>67</v>
      </c>
      <c r="F214" s="78" t="s">
        <v>523</v>
      </c>
      <c r="G214" s="78" t="s">
        <v>52</v>
      </c>
      <c r="H214" s="78" t="s">
        <v>517</v>
      </c>
      <c r="I214" s="78" t="s">
        <v>528</v>
      </c>
      <c r="J214" s="98"/>
      <c r="K214" s="228">
        <f t="shared" si="51"/>
        <v>25</v>
      </c>
      <c r="L214" s="269">
        <v>25</v>
      </c>
      <c r="M214" s="269">
        <v>370</v>
      </c>
      <c r="N214" s="269">
        <v>25</v>
      </c>
      <c r="O214" s="269">
        <v>1</v>
      </c>
      <c r="P214" s="269"/>
      <c r="Q214" s="269"/>
      <c r="R214" s="269"/>
      <c r="S214" s="78" t="s">
        <v>501</v>
      </c>
      <c r="T214" s="82"/>
      <c r="U214" s="238">
        <f t="shared" si="52"/>
        <v>0.39</v>
      </c>
      <c r="V214" s="238">
        <f t="shared" si="53"/>
        <v>0</v>
      </c>
      <c r="W214" s="238">
        <f t="shared" si="54"/>
        <v>0.39</v>
      </c>
      <c r="X214" s="238">
        <f t="shared" si="55"/>
        <v>0</v>
      </c>
      <c r="Y214" s="238">
        <f t="shared" si="56"/>
        <v>0</v>
      </c>
      <c r="Z214" s="70">
        <v>0.39</v>
      </c>
      <c r="AA214" s="70"/>
      <c r="AB214" s="70">
        <v>0.39</v>
      </c>
      <c r="AC214" s="70"/>
      <c r="AD214" s="71"/>
      <c r="AE214" s="81"/>
      <c r="AF214" s="84"/>
      <c r="AG214" s="86">
        <v>0.21525</v>
      </c>
      <c r="AH214" s="86">
        <v>0.1</v>
      </c>
      <c r="AI214" s="86">
        <v>0</v>
      </c>
      <c r="AJ214" s="86">
        <v>0.1</v>
      </c>
      <c r="AK214" s="86">
        <v>0</v>
      </c>
      <c r="AL214" s="87">
        <v>0</v>
      </c>
      <c r="AM214" s="202">
        <f t="shared" si="57"/>
        <v>6.0499361731733742E-6</v>
      </c>
      <c r="AN214" s="202">
        <f t="shared" si="58"/>
        <v>0</v>
      </c>
      <c r="AO214" s="202">
        <f t="shared" si="59"/>
        <v>6.0499361731733742E-6</v>
      </c>
      <c r="AP214" s="202">
        <f t="shared" si="60"/>
        <v>0</v>
      </c>
      <c r="AQ214" s="202">
        <f t="shared" si="61"/>
        <v>0</v>
      </c>
      <c r="AR214" s="213" t="s">
        <v>465</v>
      </c>
      <c r="AS214" s="210" t="s">
        <v>1662</v>
      </c>
      <c r="AT214" s="234">
        <v>331313</v>
      </c>
      <c r="AU214" s="244">
        <f t="shared" si="62"/>
        <v>0.1</v>
      </c>
      <c r="AV214" s="244">
        <f t="shared" si="63"/>
        <v>0</v>
      </c>
      <c r="AW214" s="244">
        <f t="shared" si="64"/>
        <v>0.1</v>
      </c>
      <c r="AX214" s="244">
        <f t="shared" si="65"/>
        <v>0</v>
      </c>
      <c r="AY214" s="244">
        <f t="shared" si="66"/>
        <v>0</v>
      </c>
      <c r="AZ214">
        <v>6.5726773801307969E-5</v>
      </c>
    </row>
    <row r="215" spans="1:52" ht="15.75" customHeight="1" x14ac:dyDescent="0.35">
      <c r="A215" s="67" t="s">
        <v>465</v>
      </c>
      <c r="B215" s="67" t="s">
        <v>531</v>
      </c>
      <c r="C215" s="67" t="s">
        <v>99</v>
      </c>
      <c r="D215" s="67" t="s">
        <v>532</v>
      </c>
      <c r="E215" s="67" t="s">
        <v>533</v>
      </c>
      <c r="F215" s="67" t="s">
        <v>534</v>
      </c>
      <c r="G215" s="67" t="s">
        <v>52</v>
      </c>
      <c r="H215" s="67" t="s">
        <v>509</v>
      </c>
      <c r="I215" s="67" t="s">
        <v>535</v>
      </c>
      <c r="J215" s="95"/>
      <c r="K215" s="228">
        <f t="shared" si="51"/>
        <v>25</v>
      </c>
      <c r="L215" s="269">
        <v>25</v>
      </c>
      <c r="M215" s="269"/>
      <c r="N215" s="269"/>
      <c r="O215" s="269">
        <v>1</v>
      </c>
      <c r="P215" s="269"/>
      <c r="Q215" s="269"/>
      <c r="R215" s="269"/>
      <c r="S215" s="67" t="s">
        <v>536</v>
      </c>
      <c r="T215" s="70"/>
      <c r="U215" s="238">
        <f t="shared" si="52"/>
        <v>0.25</v>
      </c>
      <c r="V215" s="238">
        <f t="shared" si="53"/>
        <v>0</v>
      </c>
      <c r="W215" s="238">
        <f t="shared" si="54"/>
        <v>0.25</v>
      </c>
      <c r="X215" s="238">
        <f t="shared" si="55"/>
        <v>0</v>
      </c>
      <c r="Y215" s="238">
        <f t="shared" si="56"/>
        <v>0</v>
      </c>
      <c r="Z215" s="82">
        <v>0.25</v>
      </c>
      <c r="AA215" s="82"/>
      <c r="AB215" s="82">
        <v>0.25</v>
      </c>
      <c r="AC215" s="82"/>
      <c r="AD215" s="83"/>
      <c r="AE215" s="233"/>
      <c r="AF215" s="72"/>
      <c r="AG215" s="74">
        <v>1.3320000000000001</v>
      </c>
      <c r="AH215" s="74">
        <v>0.4</v>
      </c>
      <c r="AI215" s="74">
        <v>0</v>
      </c>
      <c r="AJ215" s="74">
        <v>0.4</v>
      </c>
      <c r="AK215" s="74">
        <v>0</v>
      </c>
      <c r="AL215" s="75">
        <v>0</v>
      </c>
      <c r="AM215" s="202">
        <f t="shared" si="57"/>
        <v>2.4199744692693497E-5</v>
      </c>
      <c r="AN215" s="202">
        <f t="shared" si="58"/>
        <v>0</v>
      </c>
      <c r="AO215" s="202">
        <f t="shared" si="59"/>
        <v>2.4199744692693497E-5</v>
      </c>
      <c r="AP215" s="202">
        <f t="shared" si="60"/>
        <v>0</v>
      </c>
      <c r="AQ215" s="202">
        <f t="shared" si="61"/>
        <v>0</v>
      </c>
      <c r="AR215" s="209" t="s">
        <v>465</v>
      </c>
      <c r="AS215" s="210" t="s">
        <v>1662</v>
      </c>
      <c r="AT215" s="234">
        <v>331313</v>
      </c>
      <c r="AU215" s="244">
        <f t="shared" si="62"/>
        <v>0.4</v>
      </c>
      <c r="AV215" s="244">
        <f t="shared" si="63"/>
        <v>0</v>
      </c>
      <c r="AW215" s="244">
        <f t="shared" si="64"/>
        <v>0.4</v>
      </c>
      <c r="AX215" s="244">
        <f t="shared" si="65"/>
        <v>0</v>
      </c>
      <c r="AY215" s="244">
        <f t="shared" si="66"/>
        <v>0</v>
      </c>
      <c r="AZ215">
        <v>2.6290709520523188E-4</v>
      </c>
    </row>
    <row r="216" spans="1:52" ht="15.75" customHeight="1" x14ac:dyDescent="0.35">
      <c r="A216" s="67" t="s">
        <v>465</v>
      </c>
      <c r="B216" s="67" t="s">
        <v>531</v>
      </c>
      <c r="C216" s="67" t="s">
        <v>74</v>
      </c>
      <c r="D216" s="67" t="s">
        <v>75</v>
      </c>
      <c r="E216" s="67" t="s">
        <v>537</v>
      </c>
      <c r="F216" s="67" t="s">
        <v>534</v>
      </c>
      <c r="G216" s="67" t="s">
        <v>52</v>
      </c>
      <c r="H216" s="67" t="s">
        <v>160</v>
      </c>
      <c r="I216" s="67" t="s">
        <v>538</v>
      </c>
      <c r="J216" s="76" t="s">
        <v>78</v>
      </c>
      <c r="K216" s="228">
        <f t="shared" si="51"/>
        <v>500</v>
      </c>
      <c r="L216" s="269">
        <v>500</v>
      </c>
      <c r="M216" s="269">
        <v>25</v>
      </c>
      <c r="N216" s="269">
        <v>500</v>
      </c>
      <c r="O216" s="269">
        <v>1</v>
      </c>
      <c r="P216" s="269"/>
      <c r="Q216" s="269"/>
      <c r="R216" s="269"/>
      <c r="S216" s="67" t="s">
        <v>536</v>
      </c>
      <c r="T216" s="70"/>
      <c r="U216" s="238">
        <f t="shared" si="52"/>
        <v>1.07</v>
      </c>
      <c r="V216" s="238">
        <f t="shared" si="53"/>
        <v>0</v>
      </c>
      <c r="W216" s="238">
        <f t="shared" si="54"/>
        <v>0</v>
      </c>
      <c r="X216" s="238">
        <f t="shared" si="55"/>
        <v>1.07</v>
      </c>
      <c r="Y216" s="238">
        <f t="shared" si="56"/>
        <v>0</v>
      </c>
      <c r="Z216" s="70">
        <v>1.07</v>
      </c>
      <c r="AA216" s="70"/>
      <c r="AB216" s="70"/>
      <c r="AC216" s="70">
        <v>1.07</v>
      </c>
      <c r="AD216" s="71"/>
      <c r="AE216" s="233"/>
      <c r="AF216" s="72"/>
      <c r="AG216" s="74">
        <v>1.998</v>
      </c>
      <c r="AH216" s="74">
        <v>2.4</v>
      </c>
      <c r="AI216" s="74">
        <v>0</v>
      </c>
      <c r="AJ216" s="74">
        <v>0</v>
      </c>
      <c r="AK216" s="74">
        <v>2.4</v>
      </c>
      <c r="AL216" s="75">
        <v>0</v>
      </c>
      <c r="AM216" s="202">
        <f t="shared" si="57"/>
        <v>1.4519846815616095E-4</v>
      </c>
      <c r="AN216" s="202">
        <f t="shared" si="58"/>
        <v>0</v>
      </c>
      <c r="AO216" s="202">
        <f t="shared" si="59"/>
        <v>0</v>
      </c>
      <c r="AP216" s="202">
        <f t="shared" si="60"/>
        <v>1.4519846815616095E-4</v>
      </c>
      <c r="AQ216" s="202">
        <f t="shared" si="61"/>
        <v>0</v>
      </c>
      <c r="AR216" s="209" t="s">
        <v>465</v>
      </c>
      <c r="AS216" s="210" t="s">
        <v>1662</v>
      </c>
      <c r="AT216" s="234">
        <v>331313</v>
      </c>
      <c r="AU216" s="244">
        <f t="shared" si="62"/>
        <v>2.4</v>
      </c>
      <c r="AV216" s="244">
        <f t="shared" si="63"/>
        <v>0</v>
      </c>
      <c r="AW216" s="244">
        <f t="shared" si="64"/>
        <v>0</v>
      </c>
      <c r="AX216" s="244">
        <f t="shared" si="65"/>
        <v>2.4</v>
      </c>
      <c r="AY216" s="244">
        <f t="shared" si="66"/>
        <v>0</v>
      </c>
      <c r="AZ216">
        <v>1.577442571231391E-3</v>
      </c>
    </row>
    <row r="217" spans="1:52" ht="15.75" customHeight="1" x14ac:dyDescent="0.35">
      <c r="A217" s="67" t="s">
        <v>465</v>
      </c>
      <c r="B217" s="67" t="s">
        <v>531</v>
      </c>
      <c r="C217" s="67" t="s">
        <v>92</v>
      </c>
      <c r="D217" s="67" t="s">
        <v>256</v>
      </c>
      <c r="E217" s="67" t="s">
        <v>539</v>
      </c>
      <c r="F217" s="67" t="s">
        <v>523</v>
      </c>
      <c r="G217" s="67" t="s">
        <v>52</v>
      </c>
      <c r="H217" s="67" t="s">
        <v>540</v>
      </c>
      <c r="I217" s="67" t="s">
        <v>541</v>
      </c>
      <c r="J217" s="105">
        <v>0.45</v>
      </c>
      <c r="K217" s="228">
        <f t="shared" si="51"/>
        <v>765</v>
      </c>
      <c r="L217" s="269">
        <v>765</v>
      </c>
      <c r="M217" s="269">
        <v>25</v>
      </c>
      <c r="N217" s="269">
        <v>765</v>
      </c>
      <c r="O217" s="269">
        <v>1</v>
      </c>
      <c r="P217" s="269"/>
      <c r="Q217" s="269"/>
      <c r="R217" s="269"/>
      <c r="S217" s="67" t="s">
        <v>536</v>
      </c>
      <c r="T217" s="70"/>
      <c r="U217" s="238">
        <f t="shared" si="52"/>
        <v>4.6399999999999997</v>
      </c>
      <c r="V217" s="238">
        <f t="shared" si="53"/>
        <v>0</v>
      </c>
      <c r="W217" s="238">
        <f t="shared" si="54"/>
        <v>0.49</v>
      </c>
      <c r="X217" s="238">
        <f t="shared" si="55"/>
        <v>4.1500000000000004</v>
      </c>
      <c r="Y217" s="238">
        <f t="shared" si="56"/>
        <v>0</v>
      </c>
      <c r="Z217" s="70">
        <v>4.6399999999999997</v>
      </c>
      <c r="AA217" s="70"/>
      <c r="AB217" s="70">
        <v>0.49</v>
      </c>
      <c r="AC217" s="70">
        <v>4.1500000000000004</v>
      </c>
      <c r="AD217" s="71"/>
      <c r="AE217" s="233"/>
      <c r="AF217" s="72"/>
      <c r="AG217" s="74">
        <v>3.33</v>
      </c>
      <c r="AH217" s="74">
        <v>17.2</v>
      </c>
      <c r="AI217" s="74">
        <v>0</v>
      </c>
      <c r="AJ217" s="74">
        <v>1.8</v>
      </c>
      <c r="AK217" s="74">
        <v>15.4</v>
      </c>
      <c r="AL217" s="75">
        <v>0</v>
      </c>
      <c r="AM217" s="202">
        <f t="shared" si="57"/>
        <v>1.0405890217858203E-3</v>
      </c>
      <c r="AN217" s="202">
        <f t="shared" si="58"/>
        <v>0</v>
      </c>
      <c r="AO217" s="202">
        <f t="shared" si="59"/>
        <v>1.0889885111712072E-4</v>
      </c>
      <c r="AP217" s="202">
        <f t="shared" si="60"/>
        <v>9.3169017066869954E-4</v>
      </c>
      <c r="AQ217" s="202">
        <f t="shared" si="61"/>
        <v>0</v>
      </c>
      <c r="AR217" s="209" t="s">
        <v>465</v>
      </c>
      <c r="AS217" s="210" t="s">
        <v>1662</v>
      </c>
      <c r="AT217" s="234">
        <v>331313</v>
      </c>
      <c r="AU217" s="244">
        <f t="shared" si="62"/>
        <v>17.2</v>
      </c>
      <c r="AV217" s="244">
        <f t="shared" si="63"/>
        <v>0</v>
      </c>
      <c r="AW217" s="244">
        <f t="shared" si="64"/>
        <v>1.8</v>
      </c>
      <c r="AX217" s="244">
        <f t="shared" si="65"/>
        <v>15.4</v>
      </c>
      <c r="AY217" s="244">
        <f t="shared" si="66"/>
        <v>0</v>
      </c>
      <c r="AZ217">
        <v>1.1305005093824969E-2</v>
      </c>
    </row>
    <row r="218" spans="1:52" ht="15.75" customHeight="1" x14ac:dyDescent="0.35">
      <c r="A218" s="67" t="s">
        <v>465</v>
      </c>
      <c r="B218" s="67" t="s">
        <v>531</v>
      </c>
      <c r="C218" s="67" t="s">
        <v>48</v>
      </c>
      <c r="D218" s="67" t="s">
        <v>542</v>
      </c>
      <c r="E218" s="67" t="s">
        <v>543</v>
      </c>
      <c r="F218" s="67" t="s">
        <v>523</v>
      </c>
      <c r="G218" s="67" t="s">
        <v>52</v>
      </c>
      <c r="H218" s="67" t="s">
        <v>544</v>
      </c>
      <c r="I218" s="67" t="s">
        <v>545</v>
      </c>
      <c r="J218" s="95"/>
      <c r="K218" s="228">
        <f t="shared" si="51"/>
        <v>760</v>
      </c>
      <c r="L218" s="269">
        <v>760</v>
      </c>
      <c r="M218" s="269">
        <v>765</v>
      </c>
      <c r="N218" s="269">
        <v>760</v>
      </c>
      <c r="O218" s="269">
        <v>1</v>
      </c>
      <c r="P218" s="269"/>
      <c r="Q218" s="269"/>
      <c r="R218" s="269"/>
      <c r="S218" s="67" t="s">
        <v>536</v>
      </c>
      <c r="T218" s="70"/>
      <c r="U218" s="238">
        <f t="shared" si="52"/>
        <v>0.02</v>
      </c>
      <c r="V218" s="238">
        <f t="shared" si="53"/>
        <v>0</v>
      </c>
      <c r="W218" s="238">
        <f t="shared" si="54"/>
        <v>0.02</v>
      </c>
      <c r="X218" s="238">
        <f t="shared" si="55"/>
        <v>0</v>
      </c>
      <c r="Y218" s="238">
        <f t="shared" si="56"/>
        <v>0</v>
      </c>
      <c r="Z218" s="70">
        <v>0.02</v>
      </c>
      <c r="AA218" s="70"/>
      <c r="AB218" s="70">
        <v>0.02</v>
      </c>
      <c r="AC218" s="70"/>
      <c r="AD218" s="71"/>
      <c r="AE218" s="233"/>
      <c r="AF218" s="72"/>
      <c r="AG218" s="74">
        <v>3.33</v>
      </c>
      <c r="AH218" s="74">
        <v>0.1</v>
      </c>
      <c r="AI218" s="74">
        <v>0</v>
      </c>
      <c r="AJ218" s="74">
        <v>0.1</v>
      </c>
      <c r="AK218" s="74">
        <v>0</v>
      </c>
      <c r="AL218" s="75">
        <v>0</v>
      </c>
      <c r="AM218" s="202">
        <f t="shared" si="57"/>
        <v>6.0499361731733742E-6</v>
      </c>
      <c r="AN218" s="202">
        <f t="shared" si="58"/>
        <v>0</v>
      </c>
      <c r="AO218" s="202">
        <f t="shared" si="59"/>
        <v>6.0499361731733742E-6</v>
      </c>
      <c r="AP218" s="202">
        <f t="shared" si="60"/>
        <v>0</v>
      </c>
      <c r="AQ218" s="202">
        <f t="shared" si="61"/>
        <v>0</v>
      </c>
      <c r="AR218" s="209" t="s">
        <v>465</v>
      </c>
      <c r="AS218" s="210" t="s">
        <v>1662</v>
      </c>
      <c r="AT218" s="234">
        <v>331313</v>
      </c>
      <c r="AU218" s="244">
        <f t="shared" si="62"/>
        <v>0.1</v>
      </c>
      <c r="AV218" s="244">
        <f t="shared" si="63"/>
        <v>0</v>
      </c>
      <c r="AW218" s="244">
        <f t="shared" si="64"/>
        <v>0.1</v>
      </c>
      <c r="AX218" s="244">
        <f t="shared" si="65"/>
        <v>0</v>
      </c>
      <c r="AY218" s="244">
        <f t="shared" si="66"/>
        <v>0</v>
      </c>
      <c r="AZ218">
        <v>6.5726773801307969E-5</v>
      </c>
    </row>
    <row r="219" spans="1:52" ht="15.75" customHeight="1" x14ac:dyDescent="0.35">
      <c r="A219" s="67" t="s">
        <v>465</v>
      </c>
      <c r="B219" s="67" t="s">
        <v>531</v>
      </c>
      <c r="C219" s="67" t="s">
        <v>92</v>
      </c>
      <c r="D219" s="67" t="s">
        <v>526</v>
      </c>
      <c r="E219" s="67" t="s">
        <v>526</v>
      </c>
      <c r="F219" s="67" t="s">
        <v>523</v>
      </c>
      <c r="G219" s="67" t="s">
        <v>52</v>
      </c>
      <c r="H219" s="67" t="s">
        <v>546</v>
      </c>
      <c r="I219" s="67" t="s">
        <v>527</v>
      </c>
      <c r="J219" s="95"/>
      <c r="K219" s="228">
        <f t="shared" si="51"/>
        <v>760</v>
      </c>
      <c r="L219" s="269">
        <v>760</v>
      </c>
      <c r="M219" s="269"/>
      <c r="N219" s="269"/>
      <c r="O219" s="269">
        <v>1</v>
      </c>
      <c r="P219" s="269"/>
      <c r="Q219" s="269"/>
      <c r="R219" s="269"/>
      <c r="S219" s="67" t="s">
        <v>536</v>
      </c>
      <c r="T219" s="70"/>
      <c r="U219" s="238">
        <f t="shared" si="52"/>
        <v>0.12</v>
      </c>
      <c r="V219" s="238">
        <f t="shared" si="53"/>
        <v>0</v>
      </c>
      <c r="W219" s="238">
        <f t="shared" si="54"/>
        <v>0.12</v>
      </c>
      <c r="X219" s="238">
        <f t="shared" si="55"/>
        <v>0</v>
      </c>
      <c r="Y219" s="238">
        <f t="shared" si="56"/>
        <v>0</v>
      </c>
      <c r="Z219" s="70">
        <v>0.12</v>
      </c>
      <c r="AA219" s="70"/>
      <c r="AB219" s="70">
        <v>0.12</v>
      </c>
      <c r="AC219" s="70"/>
      <c r="AD219" s="71"/>
      <c r="AE219" s="233"/>
      <c r="AF219" s="72"/>
      <c r="AG219" s="74">
        <v>3.33</v>
      </c>
      <c r="AH219" s="74">
        <v>0.4</v>
      </c>
      <c r="AI219" s="74">
        <v>0</v>
      </c>
      <c r="AJ219" s="74">
        <v>0.4</v>
      </c>
      <c r="AK219" s="74">
        <v>0</v>
      </c>
      <c r="AL219" s="75">
        <v>0</v>
      </c>
      <c r="AM219" s="202">
        <f t="shared" si="57"/>
        <v>2.4199744692693497E-5</v>
      </c>
      <c r="AN219" s="202">
        <f t="shared" si="58"/>
        <v>0</v>
      </c>
      <c r="AO219" s="202">
        <f t="shared" si="59"/>
        <v>2.4199744692693497E-5</v>
      </c>
      <c r="AP219" s="202">
        <f t="shared" si="60"/>
        <v>0</v>
      </c>
      <c r="AQ219" s="202">
        <f t="shared" si="61"/>
        <v>0</v>
      </c>
      <c r="AR219" s="209" t="s">
        <v>465</v>
      </c>
      <c r="AS219" s="210" t="s">
        <v>1662</v>
      </c>
      <c r="AT219" s="234">
        <v>331313</v>
      </c>
      <c r="AU219" s="244">
        <f t="shared" si="62"/>
        <v>0.4</v>
      </c>
      <c r="AV219" s="244">
        <f t="shared" si="63"/>
        <v>0</v>
      </c>
      <c r="AW219" s="244">
        <f t="shared" si="64"/>
        <v>0.4</v>
      </c>
      <c r="AX219" s="244">
        <f t="shared" si="65"/>
        <v>0</v>
      </c>
      <c r="AY219" s="244">
        <f t="shared" si="66"/>
        <v>0</v>
      </c>
      <c r="AZ219">
        <v>2.6290709520523188E-4</v>
      </c>
    </row>
    <row r="220" spans="1:52" ht="15.75" customHeight="1" x14ac:dyDescent="0.35">
      <c r="A220" s="78" t="s">
        <v>465</v>
      </c>
      <c r="B220" s="78" t="s">
        <v>531</v>
      </c>
      <c r="C220" s="78" t="s">
        <v>67</v>
      </c>
      <c r="D220" s="78" t="s">
        <v>67</v>
      </c>
      <c r="E220" s="78" t="s">
        <v>67</v>
      </c>
      <c r="F220" s="78" t="s">
        <v>523</v>
      </c>
      <c r="G220" s="78" t="s">
        <v>52</v>
      </c>
      <c r="H220" s="78" t="s">
        <v>517</v>
      </c>
      <c r="I220" s="78" t="s">
        <v>528</v>
      </c>
      <c r="J220" s="98"/>
      <c r="K220" s="228">
        <f t="shared" si="51"/>
        <v>25</v>
      </c>
      <c r="L220" s="269">
        <v>25</v>
      </c>
      <c r="M220" s="269">
        <v>760</v>
      </c>
      <c r="N220" s="269">
        <v>25</v>
      </c>
      <c r="O220" s="269">
        <v>1</v>
      </c>
      <c r="P220" s="269"/>
      <c r="Q220" s="269"/>
      <c r="R220" s="269"/>
      <c r="S220" s="78" t="s">
        <v>536</v>
      </c>
      <c r="T220" s="82"/>
      <c r="U220" s="238">
        <f t="shared" si="52"/>
        <v>0.03</v>
      </c>
      <c r="V220" s="238">
        <f t="shared" si="53"/>
        <v>0</v>
      </c>
      <c r="W220" s="238">
        <f t="shared" si="54"/>
        <v>0.03</v>
      </c>
      <c r="X220" s="238">
        <f t="shared" si="55"/>
        <v>0</v>
      </c>
      <c r="Y220" s="238">
        <f t="shared" si="56"/>
        <v>0</v>
      </c>
      <c r="Z220" s="70">
        <v>0.03</v>
      </c>
      <c r="AA220" s="70"/>
      <c r="AB220" s="70">
        <v>0.03</v>
      </c>
      <c r="AC220" s="70"/>
      <c r="AD220" s="71"/>
      <c r="AE220" s="81"/>
      <c r="AF220" s="84"/>
      <c r="AG220" s="86">
        <v>3.33</v>
      </c>
      <c r="AH220" s="86">
        <v>0.1</v>
      </c>
      <c r="AI220" s="86">
        <v>0</v>
      </c>
      <c r="AJ220" s="86">
        <v>0.1</v>
      </c>
      <c r="AK220" s="86">
        <v>0</v>
      </c>
      <c r="AL220" s="87">
        <v>0</v>
      </c>
      <c r="AM220" s="202">
        <f t="shared" si="57"/>
        <v>6.0499361731733742E-6</v>
      </c>
      <c r="AN220" s="202">
        <f t="shared" si="58"/>
        <v>0</v>
      </c>
      <c r="AO220" s="202">
        <f t="shared" si="59"/>
        <v>6.0499361731733742E-6</v>
      </c>
      <c r="AP220" s="202">
        <f t="shared" si="60"/>
        <v>0</v>
      </c>
      <c r="AQ220" s="202">
        <f t="shared" si="61"/>
        <v>0</v>
      </c>
      <c r="AR220" s="213" t="s">
        <v>465</v>
      </c>
      <c r="AS220" s="210" t="s">
        <v>1662</v>
      </c>
      <c r="AT220" s="234">
        <v>331313</v>
      </c>
      <c r="AU220" s="244">
        <f t="shared" si="62"/>
        <v>0.1</v>
      </c>
      <c r="AV220" s="244">
        <f t="shared" si="63"/>
        <v>0</v>
      </c>
      <c r="AW220" s="244">
        <f t="shared" si="64"/>
        <v>0.1</v>
      </c>
      <c r="AX220" s="244">
        <f t="shared" si="65"/>
        <v>0</v>
      </c>
      <c r="AY220" s="244">
        <f t="shared" si="66"/>
        <v>0</v>
      </c>
      <c r="AZ220">
        <v>6.5726773801307969E-5</v>
      </c>
    </row>
    <row r="221" spans="1:52" ht="15.75" customHeight="1" x14ac:dyDescent="0.35">
      <c r="A221" s="67" t="s">
        <v>547</v>
      </c>
      <c r="B221" s="57" t="s">
        <v>548</v>
      </c>
      <c r="C221" s="67" t="s">
        <v>71</v>
      </c>
      <c r="D221" s="67" t="s">
        <v>71</v>
      </c>
      <c r="E221" s="67" t="s">
        <v>389</v>
      </c>
      <c r="F221" s="67" t="s">
        <v>549</v>
      </c>
      <c r="G221" s="67" t="s">
        <v>52</v>
      </c>
      <c r="H221" s="67" t="s">
        <v>72</v>
      </c>
      <c r="I221" s="67" t="s">
        <v>550</v>
      </c>
      <c r="J221" s="105">
        <v>0.9</v>
      </c>
      <c r="K221" s="228">
        <f t="shared" si="51"/>
        <v>550</v>
      </c>
      <c r="L221" s="269">
        <v>550</v>
      </c>
      <c r="M221" s="269">
        <v>25</v>
      </c>
      <c r="N221" s="269">
        <v>155</v>
      </c>
      <c r="O221" s="269">
        <v>30</v>
      </c>
      <c r="P221" s="269">
        <v>1</v>
      </c>
      <c r="Q221" s="269">
        <v>30</v>
      </c>
      <c r="R221" s="269"/>
      <c r="S221" s="67" t="s">
        <v>551</v>
      </c>
      <c r="T221" s="70"/>
      <c r="U221" s="238">
        <f t="shared" si="52"/>
        <v>0.56000000000000005</v>
      </c>
      <c r="V221" s="238">
        <f t="shared" si="53"/>
        <v>0</v>
      </c>
      <c r="W221" s="238">
        <f t="shared" si="54"/>
        <v>0.56000000000000005</v>
      </c>
      <c r="X221" s="238">
        <f t="shared" si="55"/>
        <v>0</v>
      </c>
      <c r="Y221" s="238">
        <f t="shared" si="56"/>
        <v>0</v>
      </c>
      <c r="Z221" s="82">
        <v>0.56000000000000005</v>
      </c>
      <c r="AA221" s="82"/>
      <c r="AB221" s="82">
        <v>0.56000000000000005</v>
      </c>
      <c r="AC221" s="82"/>
      <c r="AD221" s="83"/>
      <c r="AE221" s="233"/>
      <c r="AF221" s="72"/>
      <c r="AG221" s="74">
        <v>16.8</v>
      </c>
      <c r="AH221" s="74">
        <v>9.4080000000000013</v>
      </c>
      <c r="AI221" s="74">
        <v>0</v>
      </c>
      <c r="AJ221" s="74">
        <v>9.4080000000000013</v>
      </c>
      <c r="AK221" s="74">
        <v>0</v>
      </c>
      <c r="AL221" s="75">
        <v>0</v>
      </c>
      <c r="AM221" s="202">
        <f t="shared" si="57"/>
        <v>5.691779951721511E-4</v>
      </c>
      <c r="AN221" s="202">
        <f t="shared" si="58"/>
        <v>0</v>
      </c>
      <c r="AO221" s="202">
        <f t="shared" si="59"/>
        <v>5.691779951721511E-4</v>
      </c>
      <c r="AP221" s="202">
        <f t="shared" si="60"/>
        <v>0</v>
      </c>
      <c r="AQ221" s="202">
        <f t="shared" si="61"/>
        <v>0</v>
      </c>
      <c r="AR221" s="209" t="s">
        <v>547</v>
      </c>
      <c r="AS221" s="223" t="s">
        <v>1658</v>
      </c>
      <c r="AT221" s="234">
        <v>325311</v>
      </c>
      <c r="AU221" s="244">
        <f t="shared" si="62"/>
        <v>9.4080000000000013</v>
      </c>
      <c r="AV221" s="244">
        <f t="shared" si="63"/>
        <v>0</v>
      </c>
      <c r="AW221" s="244">
        <f t="shared" si="64"/>
        <v>9.4080000000000013</v>
      </c>
      <c r="AX221" s="244">
        <f t="shared" si="65"/>
        <v>0</v>
      </c>
      <c r="AY221" s="244">
        <f t="shared" si="66"/>
        <v>0</v>
      </c>
      <c r="AZ221">
        <v>2.2535211267605635E-3</v>
      </c>
    </row>
    <row r="222" spans="1:52" ht="15.75" customHeight="1" x14ac:dyDescent="0.35">
      <c r="A222" s="67" t="s">
        <v>547</v>
      </c>
      <c r="B222" s="67" t="s">
        <v>548</v>
      </c>
      <c r="C222" s="67" t="s">
        <v>48</v>
      </c>
      <c r="D222" s="67" t="s">
        <v>552</v>
      </c>
      <c r="E222" s="67" t="s">
        <v>552</v>
      </c>
      <c r="F222" s="67" t="s">
        <v>553</v>
      </c>
      <c r="G222" s="67" t="s">
        <v>52</v>
      </c>
      <c r="H222" s="67" t="s">
        <v>554</v>
      </c>
      <c r="I222" s="67" t="s">
        <v>555</v>
      </c>
      <c r="J222" s="105">
        <v>0.8</v>
      </c>
      <c r="K222" s="228">
        <f t="shared" si="51"/>
        <v>1000</v>
      </c>
      <c r="L222" s="269">
        <v>1000</v>
      </c>
      <c r="M222" s="269">
        <v>230</v>
      </c>
      <c r="N222" s="269">
        <v>1000</v>
      </c>
      <c r="O222" s="269"/>
      <c r="P222" s="269"/>
      <c r="Q222" s="269"/>
      <c r="R222" s="269"/>
      <c r="S222" s="67" t="s">
        <v>551</v>
      </c>
      <c r="T222" s="70">
        <v>0.5</v>
      </c>
      <c r="U222" s="238">
        <f t="shared" si="52"/>
        <v>15.08</v>
      </c>
      <c r="V222" s="238">
        <f t="shared" si="53"/>
        <v>0</v>
      </c>
      <c r="W222" s="238">
        <f t="shared" si="54"/>
        <v>0</v>
      </c>
      <c r="X222" s="238">
        <f t="shared" si="55"/>
        <v>9.5</v>
      </c>
      <c r="Y222" s="238">
        <f t="shared" si="56"/>
        <v>5.58</v>
      </c>
      <c r="Z222" s="70">
        <v>15.08</v>
      </c>
      <c r="AA222" s="70"/>
      <c r="AB222" s="70"/>
      <c r="AC222" s="70">
        <v>9.5</v>
      </c>
      <c r="AD222" s="71">
        <v>5.58</v>
      </c>
      <c r="AE222" s="233">
        <v>250</v>
      </c>
      <c r="AF222" s="72">
        <v>15.5</v>
      </c>
      <c r="AG222" s="74">
        <v>16.8</v>
      </c>
      <c r="AH222" s="74">
        <v>253.34400000000002</v>
      </c>
      <c r="AI222" s="74">
        <v>0</v>
      </c>
      <c r="AJ222" s="74">
        <v>0</v>
      </c>
      <c r="AK222" s="74">
        <v>159.6</v>
      </c>
      <c r="AL222" s="75">
        <v>93.744</v>
      </c>
      <c r="AM222" s="202">
        <f t="shared" si="57"/>
        <v>1.5327150298564353E-2</v>
      </c>
      <c r="AN222" s="202">
        <f t="shared" si="58"/>
        <v>0</v>
      </c>
      <c r="AO222" s="202">
        <f t="shared" si="59"/>
        <v>0</v>
      </c>
      <c r="AP222" s="202">
        <f t="shared" si="60"/>
        <v>9.6556981323847046E-3</v>
      </c>
      <c r="AQ222" s="202">
        <f t="shared" si="61"/>
        <v>5.6714521661796469E-3</v>
      </c>
      <c r="AR222" s="209" t="s">
        <v>547</v>
      </c>
      <c r="AS222" s="223" t="s">
        <v>1658</v>
      </c>
      <c r="AT222" s="234">
        <v>325311</v>
      </c>
      <c r="AU222" s="244">
        <f t="shared" si="62"/>
        <v>253.34400000000002</v>
      </c>
      <c r="AV222" s="244">
        <f t="shared" si="63"/>
        <v>0</v>
      </c>
      <c r="AW222" s="244">
        <f t="shared" si="64"/>
        <v>0</v>
      </c>
      <c r="AX222" s="244">
        <f t="shared" si="65"/>
        <v>159.6</v>
      </c>
      <c r="AY222" s="244">
        <f t="shared" si="66"/>
        <v>93.744</v>
      </c>
      <c r="AZ222">
        <v>6.0684104627766605E-2</v>
      </c>
    </row>
    <row r="223" spans="1:52" ht="15.75" customHeight="1" x14ac:dyDescent="0.35">
      <c r="A223" s="67" t="s">
        <v>547</v>
      </c>
      <c r="B223" s="67" t="s">
        <v>548</v>
      </c>
      <c r="C223" s="67" t="s">
        <v>67</v>
      </c>
      <c r="D223" s="67" t="s">
        <v>67</v>
      </c>
      <c r="E223" s="67" t="s">
        <v>556</v>
      </c>
      <c r="F223" s="67" t="s">
        <v>553</v>
      </c>
      <c r="G223" s="67" t="s">
        <v>52</v>
      </c>
      <c r="H223" s="67" t="s">
        <v>557</v>
      </c>
      <c r="I223" s="67" t="s">
        <v>558</v>
      </c>
      <c r="J223" s="68" t="s">
        <v>87</v>
      </c>
      <c r="K223" s="228">
        <f t="shared" si="51"/>
        <v>350</v>
      </c>
      <c r="L223" s="269">
        <v>350</v>
      </c>
      <c r="M223" s="269">
        <v>1000</v>
      </c>
      <c r="N223" s="269">
        <v>360</v>
      </c>
      <c r="O223" s="269"/>
      <c r="P223" s="269"/>
      <c r="Q223" s="269"/>
      <c r="R223" s="269"/>
      <c r="S223" s="67" t="s">
        <v>551</v>
      </c>
      <c r="T223" s="70"/>
      <c r="U223" s="238">
        <f t="shared" si="52"/>
        <v>5.69</v>
      </c>
      <c r="V223" s="238">
        <f t="shared" si="53"/>
        <v>0</v>
      </c>
      <c r="W223" s="238">
        <f t="shared" si="54"/>
        <v>0</v>
      </c>
      <c r="X223" s="238">
        <f t="shared" si="55"/>
        <v>0</v>
      </c>
      <c r="Y223" s="238">
        <f t="shared" si="56"/>
        <v>5.69</v>
      </c>
      <c r="Z223" s="70">
        <v>-5.69</v>
      </c>
      <c r="AA223" s="70"/>
      <c r="AB223" s="70"/>
      <c r="AC223" s="70"/>
      <c r="AD223" s="71">
        <v>-5.69</v>
      </c>
      <c r="AE223" s="233">
        <v>315</v>
      </c>
      <c r="AF223" s="72">
        <v>105</v>
      </c>
      <c r="AG223" s="74">
        <v>16.8</v>
      </c>
      <c r="AH223" s="74">
        <v>-95.592000000000013</v>
      </c>
      <c r="AI223" s="74">
        <v>0</v>
      </c>
      <c r="AJ223" s="74">
        <v>0</v>
      </c>
      <c r="AK223" s="74">
        <v>0</v>
      </c>
      <c r="AL223" s="75">
        <v>-95.592000000000013</v>
      </c>
      <c r="AM223" s="202">
        <f t="shared" si="57"/>
        <v>-5.7832549866598916E-3</v>
      </c>
      <c r="AN223" s="202">
        <f t="shared" si="58"/>
        <v>0</v>
      </c>
      <c r="AO223" s="202">
        <f t="shared" si="59"/>
        <v>0</v>
      </c>
      <c r="AP223" s="202">
        <f t="shared" si="60"/>
        <v>0</v>
      </c>
      <c r="AQ223" s="202">
        <f t="shared" si="61"/>
        <v>-5.7832549866598916E-3</v>
      </c>
      <c r="AR223" s="209" t="s">
        <v>547</v>
      </c>
      <c r="AS223" s="223" t="s">
        <v>1658</v>
      </c>
      <c r="AT223" s="234">
        <v>325311</v>
      </c>
      <c r="AU223" s="244">
        <f t="shared" si="62"/>
        <v>95.592000000000013</v>
      </c>
      <c r="AV223" s="244">
        <f t="shared" si="63"/>
        <v>0</v>
      </c>
      <c r="AW223" s="244">
        <f t="shared" si="64"/>
        <v>0</v>
      </c>
      <c r="AX223" s="244">
        <f t="shared" si="65"/>
        <v>0</v>
      </c>
      <c r="AY223" s="244">
        <f t="shared" si="66"/>
        <v>95.592000000000013</v>
      </c>
      <c r="AZ223">
        <v>-2.2897384305835013E-2</v>
      </c>
    </row>
    <row r="224" spans="1:52" s="246" customFormat="1" ht="15" customHeight="1" x14ac:dyDescent="0.35">
      <c r="A224" s="67" t="s">
        <v>547</v>
      </c>
      <c r="B224" s="67" t="s">
        <v>548</v>
      </c>
      <c r="C224" s="67" t="s">
        <v>62</v>
      </c>
      <c r="D224" s="67" t="s">
        <v>63</v>
      </c>
      <c r="E224" s="67" t="s">
        <v>63</v>
      </c>
      <c r="F224" s="67" t="s">
        <v>64</v>
      </c>
      <c r="G224" s="67" t="s">
        <v>52</v>
      </c>
      <c r="H224" s="67" t="s">
        <v>65</v>
      </c>
      <c r="I224" s="67" t="s">
        <v>559</v>
      </c>
      <c r="J224" s="105">
        <v>0.3</v>
      </c>
      <c r="K224" s="228">
        <f t="shared" si="51"/>
        <v>460</v>
      </c>
      <c r="L224" s="269">
        <v>460</v>
      </c>
      <c r="M224" s="269">
        <v>460</v>
      </c>
      <c r="N224" s="269">
        <v>165</v>
      </c>
      <c r="O224" s="269">
        <v>100</v>
      </c>
      <c r="P224" s="269">
        <v>100</v>
      </c>
      <c r="Q224" s="269">
        <v>7</v>
      </c>
      <c r="R224" s="269"/>
      <c r="S224" s="67" t="s">
        <v>551</v>
      </c>
      <c r="T224" s="70"/>
      <c r="U224" s="238">
        <f t="shared" si="52"/>
        <v>0.93</v>
      </c>
      <c r="V224" s="238">
        <f t="shared" si="53"/>
        <v>0</v>
      </c>
      <c r="W224" s="238">
        <f t="shared" si="54"/>
        <v>0.93</v>
      </c>
      <c r="X224" s="238">
        <f t="shared" si="55"/>
        <v>0</v>
      </c>
      <c r="Y224" s="238">
        <f t="shared" si="56"/>
        <v>0</v>
      </c>
      <c r="Z224" s="70">
        <v>-0.93</v>
      </c>
      <c r="AA224" s="70"/>
      <c r="AB224" s="70">
        <v>-0.93</v>
      </c>
      <c r="AC224" s="70"/>
      <c r="AD224" s="71"/>
      <c r="AE224" s="245"/>
      <c r="AF224" s="72"/>
      <c r="AG224" s="74">
        <v>16.8</v>
      </c>
      <c r="AH224" s="74">
        <v>-15.624000000000002</v>
      </c>
      <c r="AI224" s="74">
        <v>0</v>
      </c>
      <c r="AJ224" s="74">
        <v>-15.624000000000002</v>
      </c>
      <c r="AK224" s="74">
        <v>0</v>
      </c>
      <c r="AL224" s="75">
        <v>0</v>
      </c>
      <c r="AM224" s="202">
        <f t="shared" si="57"/>
        <v>-9.4524202769660803E-4</v>
      </c>
      <c r="AN224" s="202">
        <f t="shared" si="58"/>
        <v>0</v>
      </c>
      <c r="AO224" s="202">
        <f t="shared" si="59"/>
        <v>-9.4524202769660803E-4</v>
      </c>
      <c r="AP224" s="202">
        <f t="shared" si="60"/>
        <v>0</v>
      </c>
      <c r="AQ224" s="202">
        <f t="shared" si="61"/>
        <v>0</v>
      </c>
      <c r="AR224" s="209" t="s">
        <v>547</v>
      </c>
      <c r="AS224" s="223" t="s">
        <v>1658</v>
      </c>
      <c r="AT224" s="246">
        <v>325311</v>
      </c>
      <c r="AU224" s="246">
        <f t="shared" si="62"/>
        <v>15.624000000000002</v>
      </c>
      <c r="AV224" s="246">
        <f t="shared" si="63"/>
        <v>0</v>
      </c>
      <c r="AW224" s="246">
        <f t="shared" si="64"/>
        <v>15.624000000000002</v>
      </c>
      <c r="AX224" s="246">
        <f t="shared" si="65"/>
        <v>0</v>
      </c>
      <c r="AY224" s="246">
        <f t="shared" si="66"/>
        <v>0</v>
      </c>
      <c r="AZ224" s="246">
        <v>-3.7424547283702219E-3</v>
      </c>
    </row>
    <row r="225" spans="1:52" ht="15.75" customHeight="1" x14ac:dyDescent="0.35">
      <c r="A225" s="67" t="s">
        <v>547</v>
      </c>
      <c r="B225" s="67" t="s">
        <v>548</v>
      </c>
      <c r="C225" s="67" t="s">
        <v>48</v>
      </c>
      <c r="D225" s="67" t="s">
        <v>560</v>
      </c>
      <c r="E225" s="67" t="s">
        <v>561</v>
      </c>
      <c r="F225" s="67" t="s">
        <v>562</v>
      </c>
      <c r="G225" s="67" t="s">
        <v>52</v>
      </c>
      <c r="H225" s="67" t="s">
        <v>563</v>
      </c>
      <c r="I225" s="67" t="s">
        <v>564</v>
      </c>
      <c r="J225" s="95"/>
      <c r="K225" s="228">
        <f t="shared" si="51"/>
        <v>435</v>
      </c>
      <c r="L225" s="269">
        <v>435</v>
      </c>
      <c r="M225" s="269">
        <v>360</v>
      </c>
      <c r="N225" s="269">
        <v>435</v>
      </c>
      <c r="O225" s="269"/>
      <c r="P225" s="269"/>
      <c r="Q225" s="269"/>
      <c r="R225" s="269"/>
      <c r="S225" s="67" t="s">
        <v>551</v>
      </c>
      <c r="T225" s="70"/>
      <c r="U225" s="238">
        <f t="shared" si="52"/>
        <v>0</v>
      </c>
      <c r="V225" s="238">
        <f t="shared" si="53"/>
        <v>0</v>
      </c>
      <c r="W225" s="238">
        <f t="shared" si="54"/>
        <v>0</v>
      </c>
      <c r="X225" s="238">
        <f t="shared" si="55"/>
        <v>0</v>
      </c>
      <c r="Y225" s="238">
        <f t="shared" si="56"/>
        <v>0</v>
      </c>
      <c r="Z225" s="70">
        <v>0</v>
      </c>
      <c r="AA225" s="70"/>
      <c r="AB225" s="70"/>
      <c r="AC225" s="70"/>
      <c r="AD225" s="71"/>
      <c r="AE225" s="233"/>
      <c r="AF225" s="72"/>
      <c r="AG225" s="74">
        <v>16.8</v>
      </c>
      <c r="AH225" s="74">
        <v>0</v>
      </c>
      <c r="AI225" s="74">
        <v>0</v>
      </c>
      <c r="AJ225" s="74">
        <v>0</v>
      </c>
      <c r="AK225" s="74">
        <v>0</v>
      </c>
      <c r="AL225" s="75">
        <v>0</v>
      </c>
      <c r="AM225" s="202">
        <f t="shared" si="57"/>
        <v>0</v>
      </c>
      <c r="AN225" s="202">
        <f t="shared" si="58"/>
        <v>0</v>
      </c>
      <c r="AO225" s="202">
        <f t="shared" si="59"/>
        <v>0</v>
      </c>
      <c r="AP225" s="202">
        <f t="shared" si="60"/>
        <v>0</v>
      </c>
      <c r="AQ225" s="202">
        <f t="shared" si="61"/>
        <v>0</v>
      </c>
      <c r="AR225" s="209" t="s">
        <v>547</v>
      </c>
      <c r="AS225" s="223" t="s">
        <v>1658</v>
      </c>
      <c r="AT225" s="234">
        <v>325311</v>
      </c>
      <c r="AU225" s="244">
        <f t="shared" si="62"/>
        <v>0</v>
      </c>
      <c r="AV225" s="244">
        <f t="shared" si="63"/>
        <v>0</v>
      </c>
      <c r="AW225" s="244">
        <f t="shared" si="64"/>
        <v>0</v>
      </c>
      <c r="AX225" s="244">
        <f t="shared" si="65"/>
        <v>0</v>
      </c>
      <c r="AY225" s="244">
        <f t="shared" si="66"/>
        <v>0</v>
      </c>
      <c r="AZ225">
        <v>0</v>
      </c>
    </row>
    <row r="226" spans="1:52" ht="15.75" customHeight="1" x14ac:dyDescent="0.35">
      <c r="A226" s="67" t="s">
        <v>547</v>
      </c>
      <c r="B226" s="67" t="s">
        <v>548</v>
      </c>
      <c r="C226" s="67" t="s">
        <v>154</v>
      </c>
      <c r="D226" s="67" t="s">
        <v>565</v>
      </c>
      <c r="E226" s="67" t="s">
        <v>566</v>
      </c>
      <c r="F226" s="67" t="s">
        <v>567</v>
      </c>
      <c r="G226" s="67" t="s">
        <v>52</v>
      </c>
      <c r="H226" s="67" t="s">
        <v>568</v>
      </c>
      <c r="I226" s="67" t="s">
        <v>569</v>
      </c>
      <c r="J226" s="95"/>
      <c r="K226" s="228">
        <f t="shared" si="51"/>
        <v>90</v>
      </c>
      <c r="L226" s="269">
        <v>90</v>
      </c>
      <c r="M226" s="269">
        <v>435</v>
      </c>
      <c r="N226" s="269">
        <v>100</v>
      </c>
      <c r="O226" s="269"/>
      <c r="P226" s="269"/>
      <c r="Q226" s="269"/>
      <c r="R226" s="269"/>
      <c r="S226" s="67" t="s">
        <v>551</v>
      </c>
      <c r="T226" s="70"/>
      <c r="U226" s="238">
        <f t="shared" si="52"/>
        <v>1.26</v>
      </c>
      <c r="V226" s="238">
        <f t="shared" si="53"/>
        <v>0</v>
      </c>
      <c r="W226" s="238">
        <f t="shared" si="54"/>
        <v>0.16</v>
      </c>
      <c r="X226" s="238">
        <f t="shared" si="55"/>
        <v>0</v>
      </c>
      <c r="Y226" s="238">
        <f t="shared" si="56"/>
        <v>1.1000000000000001</v>
      </c>
      <c r="Z226" s="70">
        <v>1.26</v>
      </c>
      <c r="AA226" s="70"/>
      <c r="AB226" s="70">
        <v>0.16</v>
      </c>
      <c r="AC226" s="70"/>
      <c r="AD226" s="71">
        <v>1.1000000000000001</v>
      </c>
      <c r="AE226" s="233">
        <v>120</v>
      </c>
      <c r="AF226" s="72">
        <v>2</v>
      </c>
      <c r="AG226" s="74">
        <v>16.8</v>
      </c>
      <c r="AH226" s="74">
        <v>21.168000000000003</v>
      </c>
      <c r="AI226" s="74">
        <v>0</v>
      </c>
      <c r="AJ226" s="74">
        <v>2.6880000000000002</v>
      </c>
      <c r="AK226" s="74">
        <v>0</v>
      </c>
      <c r="AL226" s="75">
        <v>18.480000000000004</v>
      </c>
      <c r="AM226" s="202">
        <f t="shared" si="57"/>
        <v>1.2806504891373399E-3</v>
      </c>
      <c r="AN226" s="202">
        <f t="shared" si="58"/>
        <v>0</v>
      </c>
      <c r="AO226" s="202">
        <f t="shared" si="59"/>
        <v>1.6262228433490029E-4</v>
      </c>
      <c r="AP226" s="202">
        <f t="shared" si="60"/>
        <v>0</v>
      </c>
      <c r="AQ226" s="202">
        <f t="shared" si="61"/>
        <v>1.1180282048024396E-3</v>
      </c>
      <c r="AR226" s="209" t="s">
        <v>547</v>
      </c>
      <c r="AS226" s="223" t="s">
        <v>1658</v>
      </c>
      <c r="AT226" s="234">
        <v>325311</v>
      </c>
      <c r="AU226" s="244">
        <f t="shared" si="62"/>
        <v>21.168000000000003</v>
      </c>
      <c r="AV226" s="244">
        <f t="shared" si="63"/>
        <v>0</v>
      </c>
      <c r="AW226" s="244">
        <f t="shared" si="64"/>
        <v>2.6880000000000002</v>
      </c>
      <c r="AX226" s="244">
        <f t="shared" si="65"/>
        <v>0</v>
      </c>
      <c r="AY226" s="244">
        <f t="shared" si="66"/>
        <v>18.480000000000004</v>
      </c>
      <c r="AZ226">
        <v>5.0704225352112683E-3</v>
      </c>
    </row>
    <row r="227" spans="1:52" ht="15.75" customHeight="1" x14ac:dyDescent="0.35">
      <c r="A227" s="67" t="s">
        <v>547</v>
      </c>
      <c r="B227" s="67" t="s">
        <v>548</v>
      </c>
      <c r="C227" s="67" t="s">
        <v>48</v>
      </c>
      <c r="D227" s="67" t="s">
        <v>570</v>
      </c>
      <c r="E227" s="67" t="s">
        <v>570</v>
      </c>
      <c r="F227" s="67" t="s">
        <v>571</v>
      </c>
      <c r="G227" s="67" t="s">
        <v>52</v>
      </c>
      <c r="H227" s="67" t="s">
        <v>572</v>
      </c>
      <c r="I227" s="67" t="s">
        <v>573</v>
      </c>
      <c r="J227" s="95"/>
      <c r="K227" s="228">
        <f t="shared" si="51"/>
        <v>100</v>
      </c>
      <c r="L227" s="269">
        <v>100</v>
      </c>
      <c r="M227" s="269">
        <v>100</v>
      </c>
      <c r="N227" s="269">
        <v>40</v>
      </c>
      <c r="O227" s="269"/>
      <c r="P227" s="269"/>
      <c r="Q227" s="269"/>
      <c r="R227" s="269"/>
      <c r="S227" s="67" t="s">
        <v>551</v>
      </c>
      <c r="T227" s="70"/>
      <c r="U227" s="238">
        <f t="shared" si="52"/>
        <v>0</v>
      </c>
      <c r="V227" s="238">
        <f t="shared" si="53"/>
        <v>0</v>
      </c>
      <c r="W227" s="238">
        <f t="shared" si="54"/>
        <v>0</v>
      </c>
      <c r="X227" s="238">
        <f t="shared" si="55"/>
        <v>0</v>
      </c>
      <c r="Y227" s="238">
        <f t="shared" si="56"/>
        <v>0</v>
      </c>
      <c r="Z227" s="70">
        <v>0</v>
      </c>
      <c r="AA227" s="70"/>
      <c r="AB227" s="70"/>
      <c r="AC227" s="70"/>
      <c r="AD227" s="71"/>
      <c r="AE227" s="233"/>
      <c r="AF227" s="72"/>
      <c r="AG227" s="74">
        <v>16.8</v>
      </c>
      <c r="AH227" s="74">
        <v>0</v>
      </c>
      <c r="AI227" s="74">
        <v>0</v>
      </c>
      <c r="AJ227" s="74">
        <v>0</v>
      </c>
      <c r="AK227" s="74">
        <v>0</v>
      </c>
      <c r="AL227" s="75">
        <v>0</v>
      </c>
      <c r="AM227" s="202">
        <f t="shared" si="57"/>
        <v>0</v>
      </c>
      <c r="AN227" s="202">
        <f t="shared" si="58"/>
        <v>0</v>
      </c>
      <c r="AO227" s="202">
        <f t="shared" si="59"/>
        <v>0</v>
      </c>
      <c r="AP227" s="202">
        <f t="shared" si="60"/>
        <v>0</v>
      </c>
      <c r="AQ227" s="202">
        <f t="shared" si="61"/>
        <v>0</v>
      </c>
      <c r="AR227" s="209" t="s">
        <v>547</v>
      </c>
      <c r="AS227" s="223" t="s">
        <v>1658</v>
      </c>
      <c r="AT227" s="234">
        <v>325311</v>
      </c>
      <c r="AU227" s="244">
        <f t="shared" si="62"/>
        <v>0</v>
      </c>
      <c r="AV227" s="244">
        <f t="shared" si="63"/>
        <v>0</v>
      </c>
      <c r="AW227" s="244">
        <f t="shared" si="64"/>
        <v>0</v>
      </c>
      <c r="AX227" s="244">
        <f t="shared" si="65"/>
        <v>0</v>
      </c>
      <c r="AY227" s="244">
        <f t="shared" si="66"/>
        <v>0</v>
      </c>
      <c r="AZ227">
        <v>0</v>
      </c>
    </row>
    <row r="228" spans="1:52" ht="15.75" customHeight="1" x14ac:dyDescent="0.35">
      <c r="A228" s="67" t="s">
        <v>547</v>
      </c>
      <c r="B228" s="67" t="s">
        <v>548</v>
      </c>
      <c r="C228" s="67" t="s">
        <v>71</v>
      </c>
      <c r="D228" s="67" t="s">
        <v>71</v>
      </c>
      <c r="E228" s="67" t="s">
        <v>574</v>
      </c>
      <c r="F228" s="67" t="s">
        <v>575</v>
      </c>
      <c r="G228" s="67" t="s">
        <v>52</v>
      </c>
      <c r="H228" s="67" t="s">
        <v>72</v>
      </c>
      <c r="I228" s="67" t="s">
        <v>550</v>
      </c>
      <c r="J228" s="105">
        <v>0.9</v>
      </c>
      <c r="K228" s="228">
        <f t="shared" si="51"/>
        <v>40</v>
      </c>
      <c r="L228" s="269">
        <v>40</v>
      </c>
      <c r="M228" s="269">
        <v>40</v>
      </c>
      <c r="N228" s="269">
        <v>40</v>
      </c>
      <c r="O228" s="269">
        <v>200</v>
      </c>
      <c r="P228" s="269">
        <v>30</v>
      </c>
      <c r="Q228" s="269">
        <v>200</v>
      </c>
      <c r="R228" s="269"/>
      <c r="S228" s="67" t="s">
        <v>551</v>
      </c>
      <c r="T228" s="70"/>
      <c r="U228" s="238">
        <f t="shared" si="52"/>
        <v>1.49</v>
      </c>
      <c r="V228" s="238">
        <f t="shared" si="53"/>
        <v>0</v>
      </c>
      <c r="W228" s="238">
        <f t="shared" si="54"/>
        <v>1.49</v>
      </c>
      <c r="X228" s="238">
        <f t="shared" si="55"/>
        <v>0</v>
      </c>
      <c r="Y228" s="238">
        <f t="shared" si="56"/>
        <v>0</v>
      </c>
      <c r="Z228" s="70">
        <v>1.49</v>
      </c>
      <c r="AA228" s="70"/>
      <c r="AB228" s="70">
        <v>1.49</v>
      </c>
      <c r="AC228" s="70"/>
      <c r="AD228" s="71"/>
      <c r="AE228" s="233"/>
      <c r="AF228" s="72"/>
      <c r="AG228" s="74">
        <v>16.8</v>
      </c>
      <c r="AH228" s="74">
        <v>25.032</v>
      </c>
      <c r="AI228" s="74">
        <v>0</v>
      </c>
      <c r="AJ228" s="74">
        <v>25.032</v>
      </c>
      <c r="AK228" s="74">
        <v>0</v>
      </c>
      <c r="AL228" s="75">
        <v>0</v>
      </c>
      <c r="AM228" s="202">
        <f t="shared" si="57"/>
        <v>1.5144200228687588E-3</v>
      </c>
      <c r="AN228" s="202">
        <f t="shared" si="58"/>
        <v>0</v>
      </c>
      <c r="AO228" s="202">
        <f t="shared" si="59"/>
        <v>1.5144200228687588E-3</v>
      </c>
      <c r="AP228" s="202">
        <f t="shared" si="60"/>
        <v>0</v>
      </c>
      <c r="AQ228" s="202">
        <f t="shared" si="61"/>
        <v>0</v>
      </c>
      <c r="AR228" s="209" t="s">
        <v>547</v>
      </c>
      <c r="AS228" s="223" t="s">
        <v>1658</v>
      </c>
      <c r="AT228" s="234">
        <v>325311</v>
      </c>
      <c r="AU228" s="244">
        <f t="shared" si="62"/>
        <v>25.032</v>
      </c>
      <c r="AV228" s="244">
        <f t="shared" si="63"/>
        <v>0</v>
      </c>
      <c r="AW228" s="244">
        <f t="shared" si="64"/>
        <v>25.032</v>
      </c>
      <c r="AX228" s="244">
        <f t="shared" si="65"/>
        <v>0</v>
      </c>
      <c r="AY228" s="244">
        <f t="shared" si="66"/>
        <v>0</v>
      </c>
      <c r="AZ228">
        <v>5.9959758551307845E-3</v>
      </c>
    </row>
    <row r="229" spans="1:52" ht="15.75" customHeight="1" x14ac:dyDescent="0.35">
      <c r="A229" s="67" t="s">
        <v>547</v>
      </c>
      <c r="B229" s="67" t="s">
        <v>548</v>
      </c>
      <c r="C229" s="67" t="s">
        <v>48</v>
      </c>
      <c r="D229" s="67" t="s">
        <v>560</v>
      </c>
      <c r="E229" s="67" t="s">
        <v>576</v>
      </c>
      <c r="F229" s="67" t="s">
        <v>577</v>
      </c>
      <c r="G229" s="67" t="s">
        <v>52</v>
      </c>
      <c r="H229" s="67" t="s">
        <v>578</v>
      </c>
      <c r="I229" s="67" t="s">
        <v>579</v>
      </c>
      <c r="J229" s="95"/>
      <c r="K229" s="228">
        <f t="shared" si="51"/>
        <v>450</v>
      </c>
      <c r="L229" s="269">
        <v>450</v>
      </c>
      <c r="M229" s="269">
        <v>450</v>
      </c>
      <c r="N229" s="269">
        <v>40</v>
      </c>
      <c r="O229" s="269">
        <v>200</v>
      </c>
      <c r="P229" s="269"/>
      <c r="Q229" s="269"/>
      <c r="R229" s="269"/>
      <c r="S229" s="67" t="s">
        <v>551</v>
      </c>
      <c r="T229" s="70"/>
      <c r="U229" s="238">
        <f t="shared" si="52"/>
        <v>1.56</v>
      </c>
      <c r="V229" s="238">
        <f t="shared" si="53"/>
        <v>0</v>
      </c>
      <c r="W229" s="238">
        <f t="shared" si="54"/>
        <v>0.16</v>
      </c>
      <c r="X229" s="238">
        <f t="shared" si="55"/>
        <v>0</v>
      </c>
      <c r="Y229" s="238">
        <f t="shared" si="56"/>
        <v>1.72</v>
      </c>
      <c r="Z229" s="70">
        <v>-1.56</v>
      </c>
      <c r="AA229" s="70"/>
      <c r="AB229" s="70">
        <v>0.16</v>
      </c>
      <c r="AC229" s="70"/>
      <c r="AD229" s="71">
        <v>-1.72</v>
      </c>
      <c r="AE229" s="233">
        <v>200</v>
      </c>
      <c r="AF229" s="72">
        <v>15.5</v>
      </c>
      <c r="AG229" s="74">
        <v>16.8</v>
      </c>
      <c r="AH229" s="74">
        <v>-26.208000000000002</v>
      </c>
      <c r="AI229" s="74">
        <v>0</v>
      </c>
      <c r="AJ229" s="74">
        <v>2.6880000000000002</v>
      </c>
      <c r="AK229" s="74">
        <v>0</v>
      </c>
      <c r="AL229" s="75">
        <v>-28.896000000000001</v>
      </c>
      <c r="AM229" s="202">
        <f t="shared" si="57"/>
        <v>-1.5855672722652778E-3</v>
      </c>
      <c r="AN229" s="202">
        <f t="shared" si="58"/>
        <v>0</v>
      </c>
      <c r="AO229" s="202">
        <f t="shared" si="59"/>
        <v>1.6262228433490029E-4</v>
      </c>
      <c r="AP229" s="202">
        <f t="shared" si="60"/>
        <v>0</v>
      </c>
      <c r="AQ229" s="202">
        <f t="shared" si="61"/>
        <v>-1.7481895566001781E-3</v>
      </c>
      <c r="AR229" s="209" t="s">
        <v>547</v>
      </c>
      <c r="AS229" s="223" t="s">
        <v>1658</v>
      </c>
      <c r="AT229" s="234">
        <v>325311</v>
      </c>
      <c r="AU229" s="244">
        <f t="shared" si="62"/>
        <v>26.208000000000002</v>
      </c>
      <c r="AV229" s="244">
        <f t="shared" si="63"/>
        <v>0</v>
      </c>
      <c r="AW229" s="244">
        <f t="shared" si="64"/>
        <v>2.6880000000000002</v>
      </c>
      <c r="AX229" s="244">
        <f t="shared" si="65"/>
        <v>0</v>
      </c>
      <c r="AY229" s="244">
        <f t="shared" si="66"/>
        <v>28.896000000000001</v>
      </c>
      <c r="AZ229">
        <v>-6.2776659959758556E-3</v>
      </c>
    </row>
    <row r="230" spans="1:52" ht="15.75" customHeight="1" x14ac:dyDescent="0.35">
      <c r="A230" s="67" t="s">
        <v>547</v>
      </c>
      <c r="B230" s="67" t="s">
        <v>548</v>
      </c>
      <c r="C230" s="67" t="s">
        <v>67</v>
      </c>
      <c r="D230" s="67" t="s">
        <v>67</v>
      </c>
      <c r="E230" s="67" t="s">
        <v>580</v>
      </c>
      <c r="F230" s="67" t="s">
        <v>577</v>
      </c>
      <c r="G230" s="67" t="s">
        <v>52</v>
      </c>
      <c r="H230" s="67" t="s">
        <v>303</v>
      </c>
      <c r="I230" s="67" t="s">
        <v>581</v>
      </c>
      <c r="J230" s="95"/>
      <c r="K230" s="228">
        <f t="shared" si="51"/>
        <v>-30</v>
      </c>
      <c r="L230" s="269">
        <v>-30</v>
      </c>
      <c r="M230" s="269">
        <v>40</v>
      </c>
      <c r="N230" s="269">
        <v>-30</v>
      </c>
      <c r="O230" s="269"/>
      <c r="P230" s="269"/>
      <c r="Q230" s="269"/>
      <c r="R230" s="269"/>
      <c r="S230" s="67" t="s">
        <v>551</v>
      </c>
      <c r="T230" s="70"/>
      <c r="U230" s="238">
        <f t="shared" si="52"/>
        <v>0</v>
      </c>
      <c r="V230" s="238">
        <f t="shared" si="53"/>
        <v>0</v>
      </c>
      <c r="W230" s="238">
        <f t="shared" si="54"/>
        <v>0</v>
      </c>
      <c r="X230" s="238">
        <f t="shared" si="55"/>
        <v>0</v>
      </c>
      <c r="Y230" s="238">
        <f t="shared" si="56"/>
        <v>0</v>
      </c>
      <c r="Z230" s="70">
        <v>0</v>
      </c>
      <c r="AA230" s="70"/>
      <c r="AB230" s="70"/>
      <c r="AC230" s="70"/>
      <c r="AD230" s="71"/>
      <c r="AE230" s="233"/>
      <c r="AF230" s="72"/>
      <c r="AG230" s="74">
        <v>16.8</v>
      </c>
      <c r="AH230" s="74">
        <v>0</v>
      </c>
      <c r="AI230" s="74">
        <v>0</v>
      </c>
      <c r="AJ230" s="74">
        <v>0</v>
      </c>
      <c r="AK230" s="74">
        <v>0</v>
      </c>
      <c r="AL230" s="75">
        <v>0</v>
      </c>
      <c r="AM230" s="202">
        <f t="shared" si="57"/>
        <v>0</v>
      </c>
      <c r="AN230" s="202">
        <f t="shared" si="58"/>
        <v>0</v>
      </c>
      <c r="AO230" s="202">
        <f t="shared" si="59"/>
        <v>0</v>
      </c>
      <c r="AP230" s="202">
        <f t="shared" si="60"/>
        <v>0</v>
      </c>
      <c r="AQ230" s="202">
        <f t="shared" si="61"/>
        <v>0</v>
      </c>
      <c r="AR230" s="209" t="s">
        <v>547</v>
      </c>
      <c r="AS230" s="223" t="s">
        <v>1658</v>
      </c>
      <c r="AT230" s="234">
        <v>325311</v>
      </c>
      <c r="AU230" s="244">
        <f t="shared" si="62"/>
        <v>0</v>
      </c>
      <c r="AV230" s="244">
        <f t="shared" si="63"/>
        <v>0</v>
      </c>
      <c r="AW230" s="244">
        <f t="shared" si="64"/>
        <v>0</v>
      </c>
      <c r="AX230" s="244">
        <f t="shared" si="65"/>
        <v>0</v>
      </c>
      <c r="AY230" s="244">
        <f t="shared" si="66"/>
        <v>0</v>
      </c>
      <c r="AZ230">
        <v>0</v>
      </c>
    </row>
    <row r="231" spans="1:52" ht="15.75" customHeight="1" x14ac:dyDescent="0.35">
      <c r="A231" s="67" t="s">
        <v>547</v>
      </c>
      <c r="B231" s="67" t="s">
        <v>548</v>
      </c>
      <c r="C231" s="67" t="s">
        <v>67</v>
      </c>
      <c r="D231" s="67" t="s">
        <v>79</v>
      </c>
      <c r="E231" s="67" t="s">
        <v>79</v>
      </c>
      <c r="F231" s="67" t="s">
        <v>577</v>
      </c>
      <c r="G231" s="67" t="s">
        <v>52</v>
      </c>
      <c r="H231" s="67" t="s">
        <v>582</v>
      </c>
      <c r="I231" s="67" t="s">
        <v>583</v>
      </c>
      <c r="J231" s="105">
        <v>0.75</v>
      </c>
      <c r="K231" s="228">
        <f t="shared" si="51"/>
        <v>-35</v>
      </c>
      <c r="L231" s="269">
        <v>-35</v>
      </c>
      <c r="M231" s="269"/>
      <c r="N231" s="269"/>
      <c r="O231" s="269"/>
      <c r="P231" s="269"/>
      <c r="Q231" s="269"/>
      <c r="R231" s="269"/>
      <c r="S231" s="67" t="s">
        <v>551</v>
      </c>
      <c r="T231" s="70"/>
      <c r="U231" s="238">
        <f t="shared" si="52"/>
        <v>0.81</v>
      </c>
      <c r="V231" s="238">
        <f t="shared" si="53"/>
        <v>0</v>
      </c>
      <c r="W231" s="238">
        <f t="shared" si="54"/>
        <v>0.81</v>
      </c>
      <c r="X231" s="238">
        <f t="shared" si="55"/>
        <v>0</v>
      </c>
      <c r="Y231" s="238">
        <f t="shared" si="56"/>
        <v>0</v>
      </c>
      <c r="Z231" s="70">
        <v>0.81</v>
      </c>
      <c r="AA231" s="70"/>
      <c r="AB231" s="70">
        <v>0.81</v>
      </c>
      <c r="AC231" s="70"/>
      <c r="AD231" s="71"/>
      <c r="AE231" s="233"/>
      <c r="AF231" s="72"/>
      <c r="AG231" s="74">
        <v>16.8</v>
      </c>
      <c r="AH231" s="74">
        <v>13.608000000000002</v>
      </c>
      <c r="AI231" s="74">
        <v>0</v>
      </c>
      <c r="AJ231" s="74">
        <v>13.608000000000002</v>
      </c>
      <c r="AK231" s="74">
        <v>0</v>
      </c>
      <c r="AL231" s="75">
        <v>0</v>
      </c>
      <c r="AM231" s="202">
        <f t="shared" si="57"/>
        <v>8.2327531444543285E-4</v>
      </c>
      <c r="AN231" s="202">
        <f t="shared" si="58"/>
        <v>0</v>
      </c>
      <c r="AO231" s="202">
        <f t="shared" si="59"/>
        <v>8.2327531444543285E-4</v>
      </c>
      <c r="AP231" s="202">
        <f t="shared" si="60"/>
        <v>0</v>
      </c>
      <c r="AQ231" s="202">
        <f t="shared" si="61"/>
        <v>0</v>
      </c>
      <c r="AR231" s="209" t="s">
        <v>547</v>
      </c>
      <c r="AS231" s="223" t="s">
        <v>1658</v>
      </c>
      <c r="AT231" s="234">
        <v>325311</v>
      </c>
      <c r="AU231" s="244">
        <f t="shared" si="62"/>
        <v>13.608000000000002</v>
      </c>
      <c r="AV231" s="244">
        <f t="shared" si="63"/>
        <v>0</v>
      </c>
      <c r="AW231" s="244">
        <f t="shared" si="64"/>
        <v>13.608000000000002</v>
      </c>
      <c r="AX231" s="244">
        <f t="shared" si="65"/>
        <v>0</v>
      </c>
      <c r="AY231" s="244">
        <f t="shared" si="66"/>
        <v>0</v>
      </c>
      <c r="AZ231">
        <v>3.2595573440643865E-3</v>
      </c>
    </row>
    <row r="232" spans="1:52" s="155" customFormat="1" ht="15.75" customHeight="1" x14ac:dyDescent="0.35">
      <c r="A232" s="67" t="s">
        <v>547</v>
      </c>
      <c r="B232" s="67" t="s">
        <v>548</v>
      </c>
      <c r="C232" s="78" t="s">
        <v>92</v>
      </c>
      <c r="D232" s="67" t="s">
        <v>93</v>
      </c>
      <c r="E232" s="67" t="s">
        <v>93</v>
      </c>
      <c r="F232" s="67" t="s">
        <v>94</v>
      </c>
      <c r="G232" s="67" t="s">
        <v>52</v>
      </c>
      <c r="H232" s="67" t="s">
        <v>584</v>
      </c>
      <c r="I232" s="67" t="s">
        <v>584</v>
      </c>
      <c r="J232" s="95"/>
      <c r="K232" s="228">
        <v>350</v>
      </c>
      <c r="L232" s="269"/>
      <c r="M232" s="269"/>
      <c r="N232" s="269"/>
      <c r="O232" s="269"/>
      <c r="P232" s="269"/>
      <c r="Q232" s="269"/>
      <c r="R232" s="269"/>
      <c r="S232" s="67" t="s">
        <v>551</v>
      </c>
      <c r="T232" s="70"/>
      <c r="U232" s="238">
        <f t="shared" si="52"/>
        <v>0.73</v>
      </c>
      <c r="V232" s="238">
        <f t="shared" si="53"/>
        <v>0</v>
      </c>
      <c r="W232" s="238">
        <f t="shared" si="54"/>
        <v>0</v>
      </c>
      <c r="X232" s="238">
        <f t="shared" si="55"/>
        <v>0</v>
      </c>
      <c r="Y232" s="238">
        <f t="shared" si="56"/>
        <v>0.73</v>
      </c>
      <c r="Z232" s="70">
        <v>0.73</v>
      </c>
      <c r="AA232" s="70"/>
      <c r="AB232" s="70"/>
      <c r="AC232" s="70"/>
      <c r="AD232" s="71">
        <v>0.73</v>
      </c>
      <c r="AE232" s="233">
        <v>165</v>
      </c>
      <c r="AF232" s="72">
        <v>7</v>
      </c>
      <c r="AG232" s="74">
        <v>16.8</v>
      </c>
      <c r="AH232" s="74">
        <v>12.263999999999999</v>
      </c>
      <c r="AI232" s="74">
        <v>0</v>
      </c>
      <c r="AJ232" s="74">
        <v>0</v>
      </c>
      <c r="AK232" s="74">
        <v>0</v>
      </c>
      <c r="AL232" s="75">
        <v>12.263999999999999</v>
      </c>
      <c r="AM232" s="202">
        <f t="shared" si="57"/>
        <v>7.4196417227798247E-4</v>
      </c>
      <c r="AN232" s="202">
        <f t="shared" si="58"/>
        <v>0</v>
      </c>
      <c r="AO232" s="202">
        <f t="shared" si="59"/>
        <v>0</v>
      </c>
      <c r="AP232" s="202">
        <f t="shared" si="60"/>
        <v>0</v>
      </c>
      <c r="AQ232" s="202">
        <f t="shared" si="61"/>
        <v>7.4196417227798247E-4</v>
      </c>
      <c r="AR232" s="209" t="s">
        <v>547</v>
      </c>
      <c r="AS232" s="223" t="s">
        <v>1658</v>
      </c>
      <c r="AT232" s="234">
        <v>325311</v>
      </c>
      <c r="AU232" s="244">
        <f t="shared" si="62"/>
        <v>12.263999999999999</v>
      </c>
      <c r="AV232" s="244">
        <f t="shared" si="63"/>
        <v>0</v>
      </c>
      <c r="AW232" s="244">
        <f t="shared" si="64"/>
        <v>0</v>
      </c>
      <c r="AX232" s="244">
        <f t="shared" si="65"/>
        <v>0</v>
      </c>
      <c r="AY232" s="244">
        <f t="shared" si="66"/>
        <v>12.263999999999999</v>
      </c>
      <c r="AZ232" s="155">
        <v>2.9376257545271627E-3</v>
      </c>
    </row>
    <row r="233" spans="1:52" ht="15.75" customHeight="1" x14ac:dyDescent="0.35">
      <c r="A233" s="56" t="s">
        <v>585</v>
      </c>
      <c r="B233" s="57" t="s">
        <v>586</v>
      </c>
      <c r="C233" s="67" t="s">
        <v>149</v>
      </c>
      <c r="D233" s="57" t="s">
        <v>587</v>
      </c>
      <c r="E233" s="57" t="s">
        <v>588</v>
      </c>
      <c r="F233" s="57" t="s">
        <v>589</v>
      </c>
      <c r="G233" s="57" t="s">
        <v>52</v>
      </c>
      <c r="H233" s="57" t="s">
        <v>590</v>
      </c>
      <c r="I233" s="57" t="s">
        <v>591</v>
      </c>
      <c r="J233" s="90"/>
      <c r="K233" s="228">
        <v>30</v>
      </c>
      <c r="L233" s="269"/>
      <c r="M233" s="269"/>
      <c r="N233" s="269"/>
      <c r="O233" s="269"/>
      <c r="P233" s="269"/>
      <c r="Q233" s="269"/>
      <c r="R233" s="269"/>
      <c r="S233" s="57" t="s">
        <v>592</v>
      </c>
      <c r="T233" s="60"/>
      <c r="U233" s="238">
        <f t="shared" si="52"/>
        <v>0.3578400847917399</v>
      </c>
      <c r="V233" s="238">
        <f t="shared" si="53"/>
        <v>0</v>
      </c>
      <c r="W233" s="238">
        <f t="shared" si="54"/>
        <v>0.3578400847917399</v>
      </c>
      <c r="X233" s="238">
        <f t="shared" si="55"/>
        <v>0</v>
      </c>
      <c r="Y233" s="238">
        <f t="shared" si="56"/>
        <v>0</v>
      </c>
      <c r="Z233" s="70">
        <v>0.3578400847917399</v>
      </c>
      <c r="AA233" s="70"/>
      <c r="AB233" s="70">
        <v>0.3578400847917399</v>
      </c>
      <c r="AC233" s="70"/>
      <c r="AD233" s="71"/>
      <c r="AE233" s="59"/>
      <c r="AF233" s="62"/>
      <c r="AG233" s="63">
        <v>10</v>
      </c>
      <c r="AH233" s="63">
        <v>3.5784008479173988</v>
      </c>
      <c r="AI233" s="63">
        <v>0</v>
      </c>
      <c r="AJ233" s="63">
        <v>3.5784008479173988</v>
      </c>
      <c r="AK233" s="63">
        <v>0</v>
      </c>
      <c r="AL233" s="125">
        <v>0</v>
      </c>
      <c r="AM233" s="202">
        <f t="shared" si="57"/>
        <v>2.1649096731929743E-4</v>
      </c>
      <c r="AN233" s="202">
        <f t="shared" si="58"/>
        <v>0</v>
      </c>
      <c r="AO233" s="202">
        <f t="shared" si="59"/>
        <v>2.1649096731929743E-4</v>
      </c>
      <c r="AP233" s="202">
        <f t="shared" si="60"/>
        <v>0</v>
      </c>
      <c r="AQ233" s="202">
        <f t="shared" si="61"/>
        <v>0</v>
      </c>
      <c r="AR233" s="205" t="s">
        <v>585</v>
      </c>
      <c r="AS233" s="221" t="s">
        <v>1663</v>
      </c>
      <c r="AT233" s="234">
        <v>322110</v>
      </c>
      <c r="AU233" s="244">
        <f t="shared" si="62"/>
        <v>3.5784008479173988</v>
      </c>
      <c r="AV233" s="244">
        <f t="shared" si="63"/>
        <v>0</v>
      </c>
      <c r="AW233" s="244">
        <f t="shared" si="64"/>
        <v>3.5784008479173988</v>
      </c>
      <c r="AX233" s="244">
        <f t="shared" si="65"/>
        <v>0</v>
      </c>
      <c r="AY233" s="244">
        <f t="shared" si="66"/>
        <v>0</v>
      </c>
      <c r="AZ233">
        <v>1.7014482314230551E-3</v>
      </c>
    </row>
    <row r="234" spans="1:52" ht="15.75" customHeight="1" x14ac:dyDescent="0.35">
      <c r="A234" s="66" t="s">
        <v>585</v>
      </c>
      <c r="B234" s="67" t="s">
        <v>586</v>
      </c>
      <c r="C234" s="67" t="s">
        <v>48</v>
      </c>
      <c r="D234" s="67" t="s">
        <v>593</v>
      </c>
      <c r="E234" s="67" t="s">
        <v>594</v>
      </c>
      <c r="F234" s="67" t="s">
        <v>595</v>
      </c>
      <c r="G234" s="67" t="s">
        <v>596</v>
      </c>
      <c r="H234" s="67" t="s">
        <v>476</v>
      </c>
      <c r="I234" s="67" t="s">
        <v>597</v>
      </c>
      <c r="J234" s="105">
        <v>0.75</v>
      </c>
      <c r="K234" s="228">
        <f t="shared" si="51"/>
        <v>170</v>
      </c>
      <c r="L234" s="269">
        <v>170</v>
      </c>
      <c r="M234" s="269">
        <v>22</v>
      </c>
      <c r="N234" s="269">
        <v>170</v>
      </c>
      <c r="O234" s="269">
        <v>3.5</v>
      </c>
      <c r="P234" s="269">
        <v>1</v>
      </c>
      <c r="Q234" s="269">
        <v>1</v>
      </c>
      <c r="R234" s="269" t="s">
        <v>193</v>
      </c>
      <c r="S234" s="67" t="s">
        <v>592</v>
      </c>
      <c r="T234" s="70"/>
      <c r="U234" s="238">
        <f t="shared" si="52"/>
        <v>4.1099200829150613</v>
      </c>
      <c r="V234" s="238">
        <f t="shared" si="53"/>
        <v>0</v>
      </c>
      <c r="W234" s="238">
        <f t="shared" si="54"/>
        <v>0.34992008291506149</v>
      </c>
      <c r="X234" s="238">
        <f t="shared" si="55"/>
        <v>0</v>
      </c>
      <c r="Y234" s="238">
        <f t="shared" si="56"/>
        <v>3.76</v>
      </c>
      <c r="Z234" s="60">
        <v>4.1099200829150613</v>
      </c>
      <c r="AA234" s="60"/>
      <c r="AB234" s="60">
        <v>0.34992008291506149</v>
      </c>
      <c r="AC234" s="60"/>
      <c r="AD234" s="61">
        <v>3.76</v>
      </c>
      <c r="AE234" s="233">
        <v>170</v>
      </c>
      <c r="AF234" s="72">
        <v>8</v>
      </c>
      <c r="AG234" s="73">
        <v>10</v>
      </c>
      <c r="AH234" s="73">
        <v>41.099200829150611</v>
      </c>
      <c r="AI234" s="73">
        <v>0</v>
      </c>
      <c r="AJ234" s="73">
        <v>3.4992008291506149</v>
      </c>
      <c r="AK234" s="73">
        <v>0</v>
      </c>
      <c r="AL234" s="129">
        <v>37.599999999999994</v>
      </c>
      <c r="AM234" s="202">
        <f t="shared" si="57"/>
        <v>2.4864754178479539E-3</v>
      </c>
      <c r="AN234" s="202">
        <f t="shared" si="58"/>
        <v>0</v>
      </c>
      <c r="AO234" s="202">
        <f t="shared" si="59"/>
        <v>2.1169941673476568E-4</v>
      </c>
      <c r="AP234" s="202">
        <f t="shared" si="60"/>
        <v>0</v>
      </c>
      <c r="AQ234" s="202">
        <f t="shared" si="61"/>
        <v>2.2747760011131882E-3</v>
      </c>
      <c r="AR234" s="208" t="s">
        <v>585</v>
      </c>
      <c r="AS234" s="221" t="s">
        <v>1663</v>
      </c>
      <c r="AT234" s="234">
        <v>322110</v>
      </c>
      <c r="AU234" s="244">
        <f t="shared" si="62"/>
        <v>41.099200829150611</v>
      </c>
      <c r="AV234" s="244">
        <f t="shared" si="63"/>
        <v>0</v>
      </c>
      <c r="AW234" s="244">
        <f t="shared" si="64"/>
        <v>3.4992008291506149</v>
      </c>
      <c r="AX234" s="244">
        <f t="shared" si="65"/>
        <v>0</v>
      </c>
      <c r="AY234" s="244">
        <f t="shared" si="66"/>
        <v>37.599999999999994</v>
      </c>
      <c r="AZ234">
        <v>1.9541735410765093E-2</v>
      </c>
    </row>
    <row r="235" spans="1:52" ht="15.75" customHeight="1" x14ac:dyDescent="0.35">
      <c r="A235" s="66" t="s">
        <v>585</v>
      </c>
      <c r="B235" s="67" t="s">
        <v>586</v>
      </c>
      <c r="C235" s="67" t="s">
        <v>154</v>
      </c>
      <c r="D235" s="67" t="s">
        <v>162</v>
      </c>
      <c r="E235" s="67" t="s">
        <v>598</v>
      </c>
      <c r="F235" s="67" t="s">
        <v>595</v>
      </c>
      <c r="G235" s="67" t="s">
        <v>52</v>
      </c>
      <c r="H235" s="67" t="s">
        <v>444</v>
      </c>
      <c r="I235" s="67" t="s">
        <v>599</v>
      </c>
      <c r="J235" s="105"/>
      <c r="K235" s="228">
        <v>30</v>
      </c>
      <c r="L235" s="269"/>
      <c r="M235" s="269"/>
      <c r="N235" s="269"/>
      <c r="O235" s="269"/>
      <c r="P235" s="269"/>
      <c r="Q235" s="269"/>
      <c r="R235" s="269"/>
      <c r="S235" s="67" t="s">
        <v>592</v>
      </c>
      <c r="T235" s="70"/>
      <c r="U235" s="238">
        <f t="shared" si="52"/>
        <v>0.78408018579115646</v>
      </c>
      <c r="V235" s="238">
        <f t="shared" si="53"/>
        <v>0</v>
      </c>
      <c r="W235" s="238">
        <f t="shared" si="54"/>
        <v>0.78408018579115646</v>
      </c>
      <c r="X235" s="238">
        <f t="shared" si="55"/>
        <v>0</v>
      </c>
      <c r="Y235" s="238">
        <f t="shared" si="56"/>
        <v>0</v>
      </c>
      <c r="Z235" s="70">
        <v>0.78408018579115646</v>
      </c>
      <c r="AA235" s="70"/>
      <c r="AB235" s="70">
        <v>0.78408018579115646</v>
      </c>
      <c r="AC235" s="70"/>
      <c r="AD235" s="71"/>
      <c r="AE235" s="233"/>
      <c r="AF235" s="72"/>
      <c r="AG235" s="73">
        <v>10</v>
      </c>
      <c r="AH235" s="73">
        <v>7.8408018579115648</v>
      </c>
      <c r="AI235" s="73">
        <v>0</v>
      </c>
      <c r="AJ235" s="73">
        <v>7.8408018579115648</v>
      </c>
      <c r="AK235" s="73">
        <v>0</v>
      </c>
      <c r="AL235" s="129">
        <v>0</v>
      </c>
      <c r="AM235" s="202">
        <f t="shared" si="57"/>
        <v>4.7436350786864173E-4</v>
      </c>
      <c r="AN235" s="202">
        <f t="shared" si="58"/>
        <v>0</v>
      </c>
      <c r="AO235" s="202">
        <f t="shared" si="59"/>
        <v>4.7436350786864173E-4</v>
      </c>
      <c r="AP235" s="202">
        <f t="shared" si="60"/>
        <v>0</v>
      </c>
      <c r="AQ235" s="202">
        <f t="shared" si="61"/>
        <v>0</v>
      </c>
      <c r="AR235" s="208" t="s">
        <v>585</v>
      </c>
      <c r="AS235" s="221" t="s">
        <v>1663</v>
      </c>
      <c r="AT235" s="234">
        <v>322110</v>
      </c>
      <c r="AU235" s="244">
        <f t="shared" si="62"/>
        <v>7.8408018579115648</v>
      </c>
      <c r="AV235" s="244">
        <f t="shared" si="63"/>
        <v>0</v>
      </c>
      <c r="AW235" s="244">
        <f t="shared" si="64"/>
        <v>7.8408018579115648</v>
      </c>
      <c r="AX235" s="244">
        <f t="shared" si="65"/>
        <v>0</v>
      </c>
      <c r="AY235" s="244">
        <f t="shared" si="66"/>
        <v>0</v>
      </c>
      <c r="AZ235">
        <v>3.7281229859551456E-3</v>
      </c>
    </row>
    <row r="236" spans="1:52" ht="15.75" customHeight="1" x14ac:dyDescent="0.35">
      <c r="A236" s="66" t="s">
        <v>585</v>
      </c>
      <c r="B236" s="67" t="s">
        <v>586</v>
      </c>
      <c r="C236" s="67" t="s">
        <v>74</v>
      </c>
      <c r="D236" s="67" t="s">
        <v>140</v>
      </c>
      <c r="E236" s="67" t="s">
        <v>600</v>
      </c>
      <c r="F236" s="67" t="s">
        <v>601</v>
      </c>
      <c r="G236" s="67" t="s">
        <v>52</v>
      </c>
      <c r="H236" s="67" t="s">
        <v>143</v>
      </c>
      <c r="I236" s="67" t="s">
        <v>492</v>
      </c>
      <c r="J236" s="105">
        <v>0.75</v>
      </c>
      <c r="K236" s="228">
        <f t="shared" si="51"/>
        <v>101</v>
      </c>
      <c r="L236" s="269">
        <v>101</v>
      </c>
      <c r="M236" s="269">
        <v>53</v>
      </c>
      <c r="N236" s="269">
        <v>122</v>
      </c>
      <c r="O236" s="269">
        <v>0.08</v>
      </c>
      <c r="P236" s="269">
        <v>2.2000000000000002</v>
      </c>
      <c r="Q236" s="269">
        <v>0.08</v>
      </c>
      <c r="R236" s="269"/>
      <c r="S236" s="67" t="s">
        <v>592</v>
      </c>
      <c r="T236" s="70"/>
      <c r="U236" s="238">
        <f t="shared" si="52"/>
        <v>4.1601200355715848</v>
      </c>
      <c r="V236" s="238">
        <f t="shared" si="53"/>
        <v>0</v>
      </c>
      <c r="W236" s="238">
        <f t="shared" si="54"/>
        <v>0.15012003557158504</v>
      </c>
      <c r="X236" s="238">
        <f t="shared" si="55"/>
        <v>0</v>
      </c>
      <c r="Y236" s="238">
        <f t="shared" si="56"/>
        <v>4.01</v>
      </c>
      <c r="Z236" s="70">
        <v>4.1601200355715848</v>
      </c>
      <c r="AA236" s="70"/>
      <c r="AB236" s="70">
        <v>0.15012003557158504</v>
      </c>
      <c r="AC236" s="70"/>
      <c r="AD236" s="71">
        <v>4.01</v>
      </c>
      <c r="AE236" s="233">
        <v>150</v>
      </c>
      <c r="AF236" s="72">
        <v>4.8</v>
      </c>
      <c r="AG236" s="73">
        <v>10</v>
      </c>
      <c r="AH236" s="73">
        <v>41.601200355715847</v>
      </c>
      <c r="AI236" s="73">
        <v>0</v>
      </c>
      <c r="AJ236" s="73">
        <v>1.5012003557158504</v>
      </c>
      <c r="AK236" s="73">
        <v>0</v>
      </c>
      <c r="AL236" s="129">
        <v>40.099999999999994</v>
      </c>
      <c r="AM236" s="202">
        <f t="shared" si="57"/>
        <v>2.5168460687947833E-3</v>
      </c>
      <c r="AN236" s="202">
        <f t="shared" si="58"/>
        <v>0</v>
      </c>
      <c r="AO236" s="202">
        <f t="shared" si="59"/>
        <v>9.082166335226059E-5</v>
      </c>
      <c r="AP236" s="202">
        <f t="shared" si="60"/>
        <v>0</v>
      </c>
      <c r="AQ236" s="202">
        <f t="shared" si="61"/>
        <v>2.4260244054425226E-3</v>
      </c>
      <c r="AR236" s="208" t="s">
        <v>585</v>
      </c>
      <c r="AS236" s="221" t="s">
        <v>1663</v>
      </c>
      <c r="AT236" s="234">
        <v>322110</v>
      </c>
      <c r="AU236" s="244">
        <f t="shared" si="62"/>
        <v>41.601200355715847</v>
      </c>
      <c r="AV236" s="244">
        <f t="shared" si="63"/>
        <v>0</v>
      </c>
      <c r="AW236" s="244">
        <f t="shared" si="64"/>
        <v>1.5012003557158504</v>
      </c>
      <c r="AX236" s="244">
        <f t="shared" si="65"/>
        <v>0</v>
      </c>
      <c r="AY236" s="244">
        <f t="shared" si="66"/>
        <v>40.099999999999994</v>
      </c>
      <c r="AZ236">
        <v>1.9780424770328243E-2</v>
      </c>
    </row>
    <row r="237" spans="1:52" ht="15.75" customHeight="1" x14ac:dyDescent="0.35">
      <c r="A237" s="66" t="s">
        <v>585</v>
      </c>
      <c r="B237" s="67" t="s">
        <v>586</v>
      </c>
      <c r="C237" s="67" t="s">
        <v>48</v>
      </c>
      <c r="D237" s="67" t="s">
        <v>484</v>
      </c>
      <c r="E237" s="67" t="s">
        <v>484</v>
      </c>
      <c r="F237" s="67" t="s">
        <v>602</v>
      </c>
      <c r="G237" s="67" t="s">
        <v>52</v>
      </c>
      <c r="H237" s="67" t="s">
        <v>115</v>
      </c>
      <c r="I237" s="67" t="s">
        <v>603</v>
      </c>
      <c r="J237" s="105">
        <v>0.6</v>
      </c>
      <c r="K237" s="228">
        <f t="shared" si="51"/>
        <v>1000</v>
      </c>
      <c r="L237" s="269">
        <v>1000</v>
      </c>
      <c r="M237" s="269">
        <v>200</v>
      </c>
      <c r="N237" s="269">
        <v>300</v>
      </c>
      <c r="O237" s="269">
        <v>1</v>
      </c>
      <c r="P237" s="269">
        <v>1</v>
      </c>
      <c r="Q237" s="269">
        <v>1</v>
      </c>
      <c r="R237" s="269"/>
      <c r="S237" s="67" t="s">
        <v>592</v>
      </c>
      <c r="T237" s="70"/>
      <c r="U237" s="238">
        <f t="shared" si="52"/>
        <v>2.2000000000000002</v>
      </c>
      <c r="V237" s="238">
        <f t="shared" si="53"/>
        <v>0</v>
      </c>
      <c r="W237" s="238">
        <f t="shared" si="54"/>
        <v>0</v>
      </c>
      <c r="X237" s="238">
        <f t="shared" si="55"/>
        <v>2.2000000000000002</v>
      </c>
      <c r="Y237" s="238">
        <f t="shared" si="56"/>
        <v>0</v>
      </c>
      <c r="Z237" s="70">
        <v>2.2000000000000002</v>
      </c>
      <c r="AA237" s="70"/>
      <c r="AB237" s="70"/>
      <c r="AC237" s="70">
        <v>2.2000000000000002</v>
      </c>
      <c r="AD237" s="71"/>
      <c r="AE237" s="233"/>
      <c r="AF237" s="72"/>
      <c r="AG237" s="73">
        <v>10</v>
      </c>
      <c r="AH237" s="73">
        <v>22</v>
      </c>
      <c r="AI237" s="73">
        <v>0</v>
      </c>
      <c r="AJ237" s="73">
        <v>0</v>
      </c>
      <c r="AK237" s="73">
        <v>22</v>
      </c>
      <c r="AL237" s="129">
        <v>0</v>
      </c>
      <c r="AM237" s="202">
        <f t="shared" si="57"/>
        <v>1.3309859580981421E-3</v>
      </c>
      <c r="AN237" s="202">
        <f t="shared" si="58"/>
        <v>0</v>
      </c>
      <c r="AO237" s="202">
        <f t="shared" si="59"/>
        <v>0</v>
      </c>
      <c r="AP237" s="202">
        <f t="shared" si="60"/>
        <v>1.3309859580981421E-3</v>
      </c>
      <c r="AQ237" s="202">
        <f t="shared" si="61"/>
        <v>0</v>
      </c>
      <c r="AR237" s="208" t="s">
        <v>585</v>
      </c>
      <c r="AS237" s="221" t="s">
        <v>1663</v>
      </c>
      <c r="AT237" s="234">
        <v>322110</v>
      </c>
      <c r="AU237" s="244">
        <f t="shared" si="62"/>
        <v>22</v>
      </c>
      <c r="AV237" s="244">
        <f t="shared" si="63"/>
        <v>0</v>
      </c>
      <c r="AW237" s="244">
        <f t="shared" si="64"/>
        <v>0</v>
      </c>
      <c r="AX237" s="244">
        <f t="shared" si="65"/>
        <v>22</v>
      </c>
      <c r="AY237" s="244">
        <f t="shared" si="66"/>
        <v>0</v>
      </c>
      <c r="AZ237">
        <v>1.0460499726600575E-2</v>
      </c>
    </row>
    <row r="238" spans="1:52" ht="15.75" customHeight="1" x14ac:dyDescent="0.35">
      <c r="A238" s="66" t="s">
        <v>585</v>
      </c>
      <c r="B238" s="67" t="s">
        <v>586</v>
      </c>
      <c r="C238" s="67" t="s">
        <v>48</v>
      </c>
      <c r="D238" s="67" t="s">
        <v>604</v>
      </c>
      <c r="E238" s="67" t="s">
        <v>605</v>
      </c>
      <c r="F238" s="67" t="s">
        <v>606</v>
      </c>
      <c r="G238" s="67" t="s">
        <v>52</v>
      </c>
      <c r="H238" s="67" t="s">
        <v>607</v>
      </c>
      <c r="I238" s="67" t="s">
        <v>607</v>
      </c>
      <c r="J238" s="105">
        <v>0.75</v>
      </c>
      <c r="K238" s="228">
        <f t="shared" si="51"/>
        <v>90</v>
      </c>
      <c r="L238" s="269">
        <v>90</v>
      </c>
      <c r="M238" s="269">
        <v>90</v>
      </c>
      <c r="N238" s="269">
        <v>90</v>
      </c>
      <c r="O238" s="269"/>
      <c r="P238" s="269"/>
      <c r="Q238" s="269"/>
      <c r="R238" s="269"/>
      <c r="S238" s="67" t="s">
        <v>592</v>
      </c>
      <c r="T238" s="70"/>
      <c r="U238" s="238">
        <f t="shared" si="52"/>
        <v>4.9204401091032546</v>
      </c>
      <c r="V238" s="238">
        <f t="shared" si="53"/>
        <v>0</v>
      </c>
      <c r="W238" s="238">
        <f t="shared" si="54"/>
        <v>0.46044010910325484</v>
      </c>
      <c r="X238" s="238">
        <f t="shared" si="55"/>
        <v>0</v>
      </c>
      <c r="Y238" s="238">
        <f t="shared" si="56"/>
        <v>4.46</v>
      </c>
      <c r="Z238" s="70">
        <v>4.9204401091032546</v>
      </c>
      <c r="AA238" s="70"/>
      <c r="AB238" s="70">
        <v>0.46044010910325484</v>
      </c>
      <c r="AC238" s="70"/>
      <c r="AD238" s="71">
        <v>4.46</v>
      </c>
      <c r="AE238" s="233">
        <v>110</v>
      </c>
      <c r="AF238" s="72">
        <v>1.4</v>
      </c>
      <c r="AG238" s="73">
        <v>10</v>
      </c>
      <c r="AH238" s="73">
        <v>49.204401091032544</v>
      </c>
      <c r="AI238" s="73">
        <v>0</v>
      </c>
      <c r="AJ238" s="73">
        <v>4.6044010910325479</v>
      </c>
      <c r="AK238" s="73">
        <v>0</v>
      </c>
      <c r="AL238" s="129">
        <v>44.6</v>
      </c>
      <c r="AM238" s="202">
        <f t="shared" si="57"/>
        <v>2.9768348603996918E-3</v>
      </c>
      <c r="AN238" s="202">
        <f t="shared" si="58"/>
        <v>0</v>
      </c>
      <c r="AO238" s="202">
        <f t="shared" si="59"/>
        <v>2.785633271643676E-4</v>
      </c>
      <c r="AP238" s="202">
        <f t="shared" si="60"/>
        <v>0</v>
      </c>
      <c r="AQ238" s="202">
        <f t="shared" si="61"/>
        <v>2.6982715332353247E-3</v>
      </c>
      <c r="AR238" s="208" t="s">
        <v>585</v>
      </c>
      <c r="AS238" s="221" t="s">
        <v>1663</v>
      </c>
      <c r="AT238" s="234">
        <v>322110</v>
      </c>
      <c r="AU238" s="244">
        <f t="shared" si="62"/>
        <v>49.204401091032544</v>
      </c>
      <c r="AV238" s="244">
        <f t="shared" si="63"/>
        <v>0</v>
      </c>
      <c r="AW238" s="244">
        <f t="shared" si="64"/>
        <v>4.6044010910325479</v>
      </c>
      <c r="AX238" s="244">
        <f t="shared" si="65"/>
        <v>0</v>
      </c>
      <c r="AY238" s="244">
        <f t="shared" si="66"/>
        <v>44.6</v>
      </c>
      <c r="AZ238">
        <v>2.339557382546777E-2</v>
      </c>
    </row>
    <row r="239" spans="1:52" ht="15.75" customHeight="1" x14ac:dyDescent="0.35">
      <c r="A239" s="77" t="s">
        <v>585</v>
      </c>
      <c r="B239" s="78" t="s">
        <v>586</v>
      </c>
      <c r="C239" s="78" t="s">
        <v>74</v>
      </c>
      <c r="D239" s="78" t="s">
        <v>75</v>
      </c>
      <c r="E239" s="78" t="s">
        <v>75</v>
      </c>
      <c r="F239" s="78" t="s">
        <v>608</v>
      </c>
      <c r="G239" s="78" t="s">
        <v>52</v>
      </c>
      <c r="H239" s="78" t="s">
        <v>609</v>
      </c>
      <c r="I239" s="78" t="s">
        <v>610</v>
      </c>
      <c r="J239" s="76" t="s">
        <v>78</v>
      </c>
      <c r="K239" s="228">
        <f t="shared" si="51"/>
        <v>190</v>
      </c>
      <c r="L239" s="269">
        <v>190</v>
      </c>
      <c r="M239" s="269">
        <v>55</v>
      </c>
      <c r="N239" s="269">
        <v>60</v>
      </c>
      <c r="O239" s="269"/>
      <c r="P239" s="269"/>
      <c r="Q239" s="269"/>
      <c r="R239" s="269"/>
      <c r="S239" s="78" t="s">
        <v>592</v>
      </c>
      <c r="T239" s="82"/>
      <c r="U239" s="238">
        <f t="shared" si="52"/>
        <v>9.4190803030835539</v>
      </c>
      <c r="V239" s="238">
        <f t="shared" si="53"/>
        <v>0</v>
      </c>
      <c r="W239" s="238">
        <f t="shared" si="54"/>
        <v>1.2790803030835531</v>
      </c>
      <c r="X239" s="238">
        <f t="shared" si="55"/>
        <v>0</v>
      </c>
      <c r="Y239" s="238">
        <f t="shared" si="56"/>
        <v>8.14</v>
      </c>
      <c r="Z239" s="70">
        <v>9.4190803030835539</v>
      </c>
      <c r="AA239" s="70"/>
      <c r="AB239" s="70">
        <v>1.2790803030835531</v>
      </c>
      <c r="AC239" s="70"/>
      <c r="AD239" s="71">
        <v>8.14</v>
      </c>
      <c r="AE239" s="81">
        <v>200</v>
      </c>
      <c r="AF239" s="84">
        <v>15.5</v>
      </c>
      <c r="AG239" s="85">
        <v>10</v>
      </c>
      <c r="AH239" s="85">
        <v>94.190803030835539</v>
      </c>
      <c r="AI239" s="85">
        <v>0</v>
      </c>
      <c r="AJ239" s="85">
        <v>12.790803030835532</v>
      </c>
      <c r="AK239" s="85">
        <v>0</v>
      </c>
      <c r="AL239" s="133">
        <v>81.400000000000006</v>
      </c>
      <c r="AM239" s="202">
        <f t="shared" si="57"/>
        <v>5.6984834643650012E-3</v>
      </c>
      <c r="AN239" s="202">
        <f t="shared" si="58"/>
        <v>0</v>
      </c>
      <c r="AO239" s="202">
        <f t="shared" si="59"/>
        <v>7.7383541940187505E-4</v>
      </c>
      <c r="AP239" s="202">
        <f t="shared" si="60"/>
        <v>0</v>
      </c>
      <c r="AQ239" s="202">
        <f t="shared" si="61"/>
        <v>4.9246480449631263E-3</v>
      </c>
      <c r="AR239" s="212" t="s">
        <v>585</v>
      </c>
      <c r="AS239" s="221" t="s">
        <v>1663</v>
      </c>
      <c r="AT239" s="234">
        <v>322110</v>
      </c>
      <c r="AU239" s="244">
        <f t="shared" si="62"/>
        <v>94.190803030835539</v>
      </c>
      <c r="AV239" s="244">
        <f t="shared" si="63"/>
        <v>0</v>
      </c>
      <c r="AW239" s="244">
        <f t="shared" si="64"/>
        <v>12.790803030835532</v>
      </c>
      <c r="AX239" s="244">
        <f t="shared" si="65"/>
        <v>0</v>
      </c>
      <c r="AY239" s="244">
        <f t="shared" si="66"/>
        <v>81.400000000000006</v>
      </c>
      <c r="AZ239">
        <v>4.4785584970561079E-2</v>
      </c>
    </row>
    <row r="240" spans="1:52" ht="15.75" customHeight="1" x14ac:dyDescent="0.35">
      <c r="A240" s="67" t="s">
        <v>611</v>
      </c>
      <c r="B240" s="67" t="s">
        <v>612</v>
      </c>
      <c r="C240" s="67" t="s">
        <v>99</v>
      </c>
      <c r="D240" s="67" t="s">
        <v>613</v>
      </c>
      <c r="E240" s="67" t="s">
        <v>588</v>
      </c>
      <c r="F240" s="67" t="s">
        <v>589</v>
      </c>
      <c r="G240" s="67" t="s">
        <v>52</v>
      </c>
      <c r="H240" s="67" t="s">
        <v>590</v>
      </c>
      <c r="I240" s="67" t="s">
        <v>591</v>
      </c>
      <c r="J240" s="135"/>
      <c r="K240" s="228">
        <v>30</v>
      </c>
      <c r="L240" s="269"/>
      <c r="M240" s="269"/>
      <c r="N240" s="269"/>
      <c r="O240" s="269"/>
      <c r="P240" s="269"/>
      <c r="Q240" s="269"/>
      <c r="R240" s="269"/>
      <c r="S240" s="56" t="s">
        <v>614</v>
      </c>
      <c r="T240" s="60"/>
      <c r="U240" s="238">
        <f t="shared" si="52"/>
        <v>0.3578400847917399</v>
      </c>
      <c r="V240" s="238">
        <f t="shared" si="53"/>
        <v>0</v>
      </c>
      <c r="W240" s="238">
        <f t="shared" si="54"/>
        <v>0.3578400847917399</v>
      </c>
      <c r="X240" s="238">
        <f t="shared" si="55"/>
        <v>0</v>
      </c>
      <c r="Y240" s="238">
        <f t="shared" si="56"/>
        <v>0</v>
      </c>
      <c r="Z240" s="82">
        <v>0.3578400847917399</v>
      </c>
      <c r="AA240" s="82"/>
      <c r="AB240" s="82">
        <v>0.3578400847917399</v>
      </c>
      <c r="AC240" s="82"/>
      <c r="AD240" s="83"/>
      <c r="AE240" s="233"/>
      <c r="AF240" s="72"/>
      <c r="AG240" s="57">
        <v>9.5399999999999991</v>
      </c>
      <c r="AH240" s="63">
        <v>3.4137944089131982</v>
      </c>
      <c r="AI240" s="63">
        <v>0</v>
      </c>
      <c r="AJ240" s="63">
        <v>3.4137944089131982</v>
      </c>
      <c r="AK240" s="63">
        <v>0</v>
      </c>
      <c r="AL240" s="125">
        <v>0</v>
      </c>
      <c r="AM240" s="202">
        <f t="shared" si="57"/>
        <v>2.0653238282260973E-4</v>
      </c>
      <c r="AN240" s="202">
        <f t="shared" si="58"/>
        <v>0</v>
      </c>
      <c r="AO240" s="202">
        <f t="shared" si="59"/>
        <v>2.0653238282260973E-4</v>
      </c>
      <c r="AP240" s="202">
        <f t="shared" si="60"/>
        <v>0</v>
      </c>
      <c r="AQ240" s="202">
        <f t="shared" si="61"/>
        <v>0</v>
      </c>
      <c r="AR240" s="209" t="s">
        <v>611</v>
      </c>
      <c r="AS240" s="221" t="s">
        <v>1663</v>
      </c>
      <c r="AT240" s="234">
        <v>322120</v>
      </c>
      <c r="AU240" s="244">
        <f t="shared" si="62"/>
        <v>3.4137944089131982</v>
      </c>
      <c r="AV240" s="244">
        <f t="shared" si="63"/>
        <v>0</v>
      </c>
      <c r="AW240" s="244">
        <f t="shared" si="64"/>
        <v>3.4137944089131982</v>
      </c>
      <c r="AX240" s="244">
        <f t="shared" si="65"/>
        <v>0</v>
      </c>
      <c r="AY240" s="244">
        <f t="shared" si="66"/>
        <v>0</v>
      </c>
      <c r="AZ240">
        <v>1.6231816127775945E-3</v>
      </c>
    </row>
    <row r="241" spans="1:52" ht="15.75" customHeight="1" x14ac:dyDescent="0.35">
      <c r="A241" s="67" t="s">
        <v>611</v>
      </c>
      <c r="B241" s="67" t="s">
        <v>612</v>
      </c>
      <c r="C241" s="67" t="s">
        <v>48</v>
      </c>
      <c r="D241" s="67" t="s">
        <v>593</v>
      </c>
      <c r="E241" s="67" t="s">
        <v>594</v>
      </c>
      <c r="F241" s="67" t="s">
        <v>595</v>
      </c>
      <c r="G241" s="67" t="s">
        <v>596</v>
      </c>
      <c r="H241" s="67" t="s">
        <v>476</v>
      </c>
      <c r="I241" s="67" t="s">
        <v>597</v>
      </c>
      <c r="J241" s="105">
        <v>0.74560000000000004</v>
      </c>
      <c r="K241" s="228">
        <f t="shared" si="51"/>
        <v>170</v>
      </c>
      <c r="L241" s="269">
        <v>170</v>
      </c>
      <c r="M241" s="269">
        <v>22</v>
      </c>
      <c r="N241" s="269">
        <v>170</v>
      </c>
      <c r="O241" s="269">
        <v>3.5</v>
      </c>
      <c r="P241" s="269">
        <v>1</v>
      </c>
      <c r="Q241" s="269">
        <v>1</v>
      </c>
      <c r="R241" s="269" t="s">
        <v>193</v>
      </c>
      <c r="S241" s="66" t="s">
        <v>614</v>
      </c>
      <c r="T241" s="70"/>
      <c r="U241" s="238">
        <f t="shared" si="52"/>
        <v>4.1099200829150613</v>
      </c>
      <c r="V241" s="238">
        <f t="shared" si="53"/>
        <v>0</v>
      </c>
      <c r="W241" s="238">
        <f t="shared" si="54"/>
        <v>0.34992008291506149</v>
      </c>
      <c r="X241" s="238">
        <f t="shared" si="55"/>
        <v>0</v>
      </c>
      <c r="Y241" s="238">
        <f t="shared" si="56"/>
        <v>3.76</v>
      </c>
      <c r="Z241" s="60">
        <v>4.1099200829150613</v>
      </c>
      <c r="AA241" s="60"/>
      <c r="AB241" s="60">
        <v>0.34992008291506149</v>
      </c>
      <c r="AC241" s="60"/>
      <c r="AD241" s="61">
        <v>3.76</v>
      </c>
      <c r="AE241" s="233">
        <v>170</v>
      </c>
      <c r="AF241" s="72">
        <v>8</v>
      </c>
      <c r="AG241" s="67">
        <v>9.5399999999999991</v>
      </c>
      <c r="AH241" s="73">
        <v>39.208637591009683</v>
      </c>
      <c r="AI241" s="73">
        <v>0</v>
      </c>
      <c r="AJ241" s="73">
        <v>3.3382375910096864</v>
      </c>
      <c r="AK241" s="73">
        <v>0</v>
      </c>
      <c r="AL241" s="129">
        <v>35.870399999999997</v>
      </c>
      <c r="AM241" s="202">
        <f t="shared" si="57"/>
        <v>2.3720975486269482E-3</v>
      </c>
      <c r="AN241" s="202">
        <f t="shared" si="58"/>
        <v>0</v>
      </c>
      <c r="AO241" s="202">
        <f t="shared" si="59"/>
        <v>2.0196124356496644E-4</v>
      </c>
      <c r="AP241" s="202">
        <f t="shared" si="60"/>
        <v>0</v>
      </c>
      <c r="AQ241" s="202">
        <f t="shared" si="61"/>
        <v>2.1701363050619818E-3</v>
      </c>
      <c r="AR241" s="209" t="s">
        <v>611</v>
      </c>
      <c r="AS241" s="221" t="s">
        <v>1663</v>
      </c>
      <c r="AT241" s="234">
        <v>322120</v>
      </c>
      <c r="AU241" s="244">
        <f t="shared" si="62"/>
        <v>39.208637591009683</v>
      </c>
      <c r="AV241" s="244">
        <f t="shared" si="63"/>
        <v>0</v>
      </c>
      <c r="AW241" s="244">
        <f t="shared" si="64"/>
        <v>3.3382375910096864</v>
      </c>
      <c r="AX241" s="244">
        <f t="shared" si="65"/>
        <v>0</v>
      </c>
      <c r="AY241" s="244">
        <f t="shared" si="66"/>
        <v>35.870399999999997</v>
      </c>
      <c r="AZ241">
        <v>1.86428155818699E-2</v>
      </c>
    </row>
    <row r="242" spans="1:52" ht="15.75" customHeight="1" x14ac:dyDescent="0.35">
      <c r="A242" s="67" t="s">
        <v>611</v>
      </c>
      <c r="B242" s="67" t="s">
        <v>612</v>
      </c>
      <c r="C242" s="67" t="s">
        <v>154</v>
      </c>
      <c r="D242" s="67" t="s">
        <v>162</v>
      </c>
      <c r="E242" s="67" t="s">
        <v>598</v>
      </c>
      <c r="F242" s="67" t="s">
        <v>595</v>
      </c>
      <c r="G242" s="67" t="s">
        <v>52</v>
      </c>
      <c r="H242" s="67" t="s">
        <v>444</v>
      </c>
      <c r="I242" s="67" t="s">
        <v>599</v>
      </c>
      <c r="J242" s="105"/>
      <c r="K242" s="228">
        <v>30</v>
      </c>
      <c r="L242" s="269"/>
      <c r="M242" s="269"/>
      <c r="N242" s="269"/>
      <c r="O242" s="269"/>
      <c r="P242" s="269"/>
      <c r="Q242" s="269"/>
      <c r="R242" s="269"/>
      <c r="S242" s="66" t="s">
        <v>614</v>
      </c>
      <c r="T242" s="70"/>
      <c r="U242" s="238">
        <f t="shared" si="52"/>
        <v>0.78408018579115646</v>
      </c>
      <c r="V242" s="238">
        <f t="shared" si="53"/>
        <v>0</v>
      </c>
      <c r="W242" s="238">
        <f t="shared" si="54"/>
        <v>0.78408018579115646</v>
      </c>
      <c r="X242" s="238">
        <f t="shared" si="55"/>
        <v>0</v>
      </c>
      <c r="Y242" s="238">
        <f t="shared" si="56"/>
        <v>0</v>
      </c>
      <c r="Z242" s="70">
        <v>0.78408018579115646</v>
      </c>
      <c r="AA242" s="70"/>
      <c r="AB242" s="70">
        <v>0.78408018579115646</v>
      </c>
      <c r="AC242" s="70"/>
      <c r="AD242" s="71"/>
      <c r="AE242" s="233"/>
      <c r="AF242" s="72"/>
      <c r="AG242" s="67">
        <v>9.5399999999999991</v>
      </c>
      <c r="AH242" s="73">
        <v>7.4801249724476317</v>
      </c>
      <c r="AI242" s="73">
        <v>0</v>
      </c>
      <c r="AJ242" s="73">
        <v>7.4801249724476317</v>
      </c>
      <c r="AK242" s="73">
        <v>0</v>
      </c>
      <c r="AL242" s="129">
        <v>0</v>
      </c>
      <c r="AM242" s="202">
        <f t="shared" si="57"/>
        <v>4.5254278650668411E-4</v>
      </c>
      <c r="AN242" s="202">
        <f t="shared" si="58"/>
        <v>0</v>
      </c>
      <c r="AO242" s="202">
        <f t="shared" si="59"/>
        <v>4.5254278650668411E-4</v>
      </c>
      <c r="AP242" s="202">
        <f t="shared" si="60"/>
        <v>0</v>
      </c>
      <c r="AQ242" s="202">
        <f t="shared" si="61"/>
        <v>0</v>
      </c>
      <c r="AR242" s="209" t="s">
        <v>611</v>
      </c>
      <c r="AS242" s="221" t="s">
        <v>1663</v>
      </c>
      <c r="AT242" s="234">
        <v>322120</v>
      </c>
      <c r="AU242" s="244">
        <f t="shared" si="62"/>
        <v>7.4801249724476317</v>
      </c>
      <c r="AV242" s="244">
        <f t="shared" si="63"/>
        <v>0</v>
      </c>
      <c r="AW242" s="244">
        <f t="shared" si="64"/>
        <v>7.4801249724476317</v>
      </c>
      <c r="AX242" s="244">
        <f t="shared" si="65"/>
        <v>0</v>
      </c>
      <c r="AY242" s="244">
        <f t="shared" si="66"/>
        <v>0</v>
      </c>
      <c r="AZ242">
        <v>3.5566293286012083E-3</v>
      </c>
    </row>
    <row r="243" spans="1:52" ht="15.75" customHeight="1" x14ac:dyDescent="0.35">
      <c r="A243" s="67" t="s">
        <v>611</v>
      </c>
      <c r="B243" s="67" t="s">
        <v>612</v>
      </c>
      <c r="C243" s="67" t="s">
        <v>74</v>
      </c>
      <c r="D243" s="67" t="s">
        <v>140</v>
      </c>
      <c r="E243" s="67" t="s">
        <v>600</v>
      </c>
      <c r="F243" s="67" t="s">
        <v>601</v>
      </c>
      <c r="G243" s="67" t="s">
        <v>52</v>
      </c>
      <c r="H243" s="67" t="s">
        <v>143</v>
      </c>
      <c r="I243" s="67" t="s">
        <v>492</v>
      </c>
      <c r="J243" s="105">
        <v>0.74560000000000004</v>
      </c>
      <c r="K243" s="228">
        <f t="shared" si="51"/>
        <v>101</v>
      </c>
      <c r="L243" s="269">
        <v>101</v>
      </c>
      <c r="M243" s="269">
        <v>53</v>
      </c>
      <c r="N243" s="269">
        <v>122</v>
      </c>
      <c r="O243" s="269">
        <v>0.08</v>
      </c>
      <c r="P243" s="269">
        <v>2.2000000000000002</v>
      </c>
      <c r="Q243" s="269">
        <v>0.08</v>
      </c>
      <c r="R243" s="269"/>
      <c r="S243" s="66" t="s">
        <v>614</v>
      </c>
      <c r="T243" s="70"/>
      <c r="U243" s="238">
        <f t="shared" si="52"/>
        <v>4.1601200355715848</v>
      </c>
      <c r="V243" s="238">
        <f t="shared" si="53"/>
        <v>0</v>
      </c>
      <c r="W243" s="238">
        <f t="shared" si="54"/>
        <v>0.15012003557158504</v>
      </c>
      <c r="X243" s="238">
        <f t="shared" si="55"/>
        <v>0</v>
      </c>
      <c r="Y243" s="238">
        <f t="shared" si="56"/>
        <v>4.01</v>
      </c>
      <c r="Z243" s="70">
        <v>4.1601200355715848</v>
      </c>
      <c r="AA243" s="70"/>
      <c r="AB243" s="70">
        <v>0.15012003557158504</v>
      </c>
      <c r="AC243" s="70"/>
      <c r="AD243" s="71">
        <v>4.01</v>
      </c>
      <c r="AE243" s="233">
        <v>150</v>
      </c>
      <c r="AF243" s="72">
        <v>4.8</v>
      </c>
      <c r="AG243" s="67">
        <v>9.5399999999999991</v>
      </c>
      <c r="AH243" s="73">
        <v>39.687545139352913</v>
      </c>
      <c r="AI243" s="73">
        <v>0</v>
      </c>
      <c r="AJ243" s="73">
        <v>1.4321451393529212</v>
      </c>
      <c r="AK243" s="73">
        <v>0</v>
      </c>
      <c r="AL243" s="129">
        <v>38.255399999999995</v>
      </c>
      <c r="AM243" s="202">
        <f t="shared" si="57"/>
        <v>2.401071149630223E-3</v>
      </c>
      <c r="AN243" s="202">
        <f t="shared" si="58"/>
        <v>0</v>
      </c>
      <c r="AO243" s="202">
        <f t="shared" si="59"/>
        <v>8.6643866838056593E-5</v>
      </c>
      <c r="AP243" s="202">
        <f t="shared" si="60"/>
        <v>0</v>
      </c>
      <c r="AQ243" s="202">
        <f t="shared" si="61"/>
        <v>2.3144272827921664E-3</v>
      </c>
      <c r="AR243" s="209" t="s">
        <v>611</v>
      </c>
      <c r="AS243" s="221" t="s">
        <v>1663</v>
      </c>
      <c r="AT243" s="234">
        <v>322120</v>
      </c>
      <c r="AU243" s="244">
        <f t="shared" si="62"/>
        <v>39.687545139352913</v>
      </c>
      <c r="AV243" s="244">
        <f t="shared" si="63"/>
        <v>0</v>
      </c>
      <c r="AW243" s="244">
        <f t="shared" si="64"/>
        <v>1.4321451393529212</v>
      </c>
      <c r="AX243" s="244">
        <f t="shared" si="65"/>
        <v>0</v>
      </c>
      <c r="AY243" s="244">
        <f t="shared" si="66"/>
        <v>38.255399999999995</v>
      </c>
      <c r="AZ243">
        <v>1.8870525230893141E-2</v>
      </c>
    </row>
    <row r="244" spans="1:52" ht="15.75" customHeight="1" x14ac:dyDescent="0.35">
      <c r="A244" s="67" t="s">
        <v>611</v>
      </c>
      <c r="B244" s="67" t="s">
        <v>612</v>
      </c>
      <c r="C244" s="67" t="s">
        <v>48</v>
      </c>
      <c r="D244" s="67" t="s">
        <v>484</v>
      </c>
      <c r="E244" s="67" t="s">
        <v>484</v>
      </c>
      <c r="F244" s="67" t="s">
        <v>602</v>
      </c>
      <c r="G244" s="67" t="s">
        <v>52</v>
      </c>
      <c r="H244" s="67" t="s">
        <v>115</v>
      </c>
      <c r="I244" s="67" t="s">
        <v>603</v>
      </c>
      <c r="J244" s="105">
        <v>0.6</v>
      </c>
      <c r="K244" s="228">
        <f t="shared" si="51"/>
        <v>1000</v>
      </c>
      <c r="L244" s="269">
        <v>1000</v>
      </c>
      <c r="M244" s="269">
        <v>200</v>
      </c>
      <c r="N244" s="269">
        <v>300</v>
      </c>
      <c r="O244" s="269">
        <v>1</v>
      </c>
      <c r="P244" s="269">
        <v>1</v>
      </c>
      <c r="Q244" s="269">
        <v>1</v>
      </c>
      <c r="R244" s="269"/>
      <c r="S244" s="66" t="s">
        <v>614</v>
      </c>
      <c r="T244" s="70"/>
      <c r="U244" s="238">
        <f t="shared" si="52"/>
        <v>2.2000000000000002</v>
      </c>
      <c r="V244" s="238">
        <f t="shared" si="53"/>
        <v>0</v>
      </c>
      <c r="W244" s="238">
        <f t="shared" si="54"/>
        <v>0</v>
      </c>
      <c r="X244" s="238">
        <f t="shared" si="55"/>
        <v>2.2000000000000002</v>
      </c>
      <c r="Y244" s="238">
        <f t="shared" si="56"/>
        <v>0</v>
      </c>
      <c r="Z244" s="70">
        <v>2.2000000000000002</v>
      </c>
      <c r="AA244" s="70"/>
      <c r="AB244" s="70"/>
      <c r="AC244" s="70">
        <v>2.2000000000000002</v>
      </c>
      <c r="AD244" s="71"/>
      <c r="AE244" s="233"/>
      <c r="AF244" s="72"/>
      <c r="AG244" s="67">
        <v>9.5399999999999991</v>
      </c>
      <c r="AH244" s="73">
        <v>20.988</v>
      </c>
      <c r="AI244" s="73">
        <v>0</v>
      </c>
      <c r="AJ244" s="73">
        <v>0</v>
      </c>
      <c r="AK244" s="73">
        <v>20.988</v>
      </c>
      <c r="AL244" s="129">
        <v>0</v>
      </c>
      <c r="AM244" s="202">
        <f t="shared" si="57"/>
        <v>1.2697606040256277E-3</v>
      </c>
      <c r="AN244" s="202">
        <f t="shared" si="58"/>
        <v>0</v>
      </c>
      <c r="AO244" s="202">
        <f t="shared" si="59"/>
        <v>0</v>
      </c>
      <c r="AP244" s="202">
        <f t="shared" si="60"/>
        <v>1.2697606040256277E-3</v>
      </c>
      <c r="AQ244" s="202">
        <f t="shared" si="61"/>
        <v>0</v>
      </c>
      <c r="AR244" s="209" t="s">
        <v>611</v>
      </c>
      <c r="AS244" s="221" t="s">
        <v>1663</v>
      </c>
      <c r="AT244" s="234">
        <v>322120</v>
      </c>
      <c r="AU244" s="244">
        <f t="shared" si="62"/>
        <v>20.988</v>
      </c>
      <c r="AV244" s="244">
        <f t="shared" si="63"/>
        <v>0</v>
      </c>
      <c r="AW244" s="244">
        <f t="shared" si="64"/>
        <v>0</v>
      </c>
      <c r="AX244" s="244">
        <f t="shared" si="65"/>
        <v>20.988</v>
      </c>
      <c r="AY244" s="244">
        <f t="shared" si="66"/>
        <v>0</v>
      </c>
      <c r="AZ244">
        <v>9.979316739176949E-3</v>
      </c>
    </row>
    <row r="245" spans="1:52" ht="15.75" customHeight="1" x14ac:dyDescent="0.35">
      <c r="A245" s="67" t="s">
        <v>611</v>
      </c>
      <c r="B245" s="67" t="s">
        <v>612</v>
      </c>
      <c r="C245" s="67" t="s">
        <v>48</v>
      </c>
      <c r="D245" s="67" t="s">
        <v>604</v>
      </c>
      <c r="E245" s="67" t="s">
        <v>605</v>
      </c>
      <c r="F245" s="67" t="s">
        <v>606</v>
      </c>
      <c r="G245" s="67" t="s">
        <v>52</v>
      </c>
      <c r="H245" s="67" t="s">
        <v>607</v>
      </c>
      <c r="I245" s="67" t="s">
        <v>607</v>
      </c>
      <c r="J245" s="105">
        <v>0.74560000000000004</v>
      </c>
      <c r="K245" s="228">
        <f t="shared" si="51"/>
        <v>90</v>
      </c>
      <c r="L245" s="269">
        <v>90</v>
      </c>
      <c r="M245" s="269">
        <v>90</v>
      </c>
      <c r="N245" s="269">
        <v>90</v>
      </c>
      <c r="O245" s="269"/>
      <c r="P245" s="269"/>
      <c r="Q245" s="269"/>
      <c r="R245" s="269"/>
      <c r="S245" s="66" t="s">
        <v>614</v>
      </c>
      <c r="T245" s="70"/>
      <c r="U245" s="238">
        <f t="shared" si="52"/>
        <v>4.9204401091032546</v>
      </c>
      <c r="V245" s="238">
        <f t="shared" si="53"/>
        <v>0</v>
      </c>
      <c r="W245" s="238">
        <f t="shared" si="54"/>
        <v>0.46044010910325484</v>
      </c>
      <c r="X245" s="238">
        <f t="shared" si="55"/>
        <v>0</v>
      </c>
      <c r="Y245" s="238">
        <f t="shared" si="56"/>
        <v>4.46</v>
      </c>
      <c r="Z245" s="70">
        <v>4.9204401091032546</v>
      </c>
      <c r="AA245" s="70"/>
      <c r="AB245" s="70">
        <v>0.46044010910325484</v>
      </c>
      <c r="AC245" s="70"/>
      <c r="AD245" s="71">
        <v>4.46</v>
      </c>
      <c r="AE245" s="233">
        <v>110</v>
      </c>
      <c r="AF245" s="72">
        <v>1.4</v>
      </c>
      <c r="AG245" s="67">
        <v>8.42</v>
      </c>
      <c r="AH245" s="73">
        <v>41.430105718649401</v>
      </c>
      <c r="AI245" s="73">
        <v>0</v>
      </c>
      <c r="AJ245" s="73">
        <v>3.8769057186494056</v>
      </c>
      <c r="AK245" s="73">
        <v>0</v>
      </c>
      <c r="AL245" s="129">
        <v>37.553199999999997</v>
      </c>
      <c r="AM245" s="202">
        <f t="shared" si="57"/>
        <v>2.5064949524565405E-3</v>
      </c>
      <c r="AN245" s="202">
        <f t="shared" si="58"/>
        <v>0</v>
      </c>
      <c r="AO245" s="202">
        <f t="shared" si="59"/>
        <v>2.3455032147239751E-4</v>
      </c>
      <c r="AP245" s="202">
        <f t="shared" si="60"/>
        <v>0</v>
      </c>
      <c r="AQ245" s="202">
        <f t="shared" si="61"/>
        <v>2.2719446309841431E-3</v>
      </c>
      <c r="AR245" s="209" t="s">
        <v>611</v>
      </c>
      <c r="AS245" s="221" t="s">
        <v>1663</v>
      </c>
      <c r="AT245" s="234">
        <v>322120</v>
      </c>
      <c r="AU245" s="244">
        <f t="shared" si="62"/>
        <v>41.430105718649401</v>
      </c>
      <c r="AV245" s="244">
        <f t="shared" si="63"/>
        <v>0</v>
      </c>
      <c r="AW245" s="244">
        <f t="shared" si="64"/>
        <v>3.8769057186494056</v>
      </c>
      <c r="AX245" s="244">
        <f t="shared" si="65"/>
        <v>0</v>
      </c>
      <c r="AY245" s="244">
        <f t="shared" si="66"/>
        <v>37.553199999999997</v>
      </c>
      <c r="AZ245">
        <v>1.9699073161043863E-2</v>
      </c>
    </row>
    <row r="246" spans="1:52" ht="15.75" customHeight="1" x14ac:dyDescent="0.35">
      <c r="A246" s="67" t="s">
        <v>611</v>
      </c>
      <c r="B246" s="67" t="s">
        <v>612</v>
      </c>
      <c r="C246" s="67" t="s">
        <v>48</v>
      </c>
      <c r="D246" s="67" t="s">
        <v>615</v>
      </c>
      <c r="E246" s="67" t="s">
        <v>616</v>
      </c>
      <c r="F246" s="67" t="s">
        <v>617</v>
      </c>
      <c r="G246" s="67" t="s">
        <v>596</v>
      </c>
      <c r="H246" s="67" t="s">
        <v>476</v>
      </c>
      <c r="I246" s="67" t="s">
        <v>618</v>
      </c>
      <c r="J246" s="105">
        <v>0.74560000000000004</v>
      </c>
      <c r="K246" s="228">
        <f t="shared" si="51"/>
        <v>80</v>
      </c>
      <c r="L246" s="269">
        <v>80</v>
      </c>
      <c r="M246" s="269">
        <v>22</v>
      </c>
      <c r="N246" s="269">
        <v>80</v>
      </c>
      <c r="O246" s="269"/>
      <c r="P246" s="269"/>
      <c r="Q246" s="269"/>
      <c r="R246" s="269"/>
      <c r="S246" s="66" t="s">
        <v>614</v>
      </c>
      <c r="T246" s="70"/>
      <c r="U246" s="238">
        <f t="shared" si="52"/>
        <v>0.82</v>
      </c>
      <c r="V246" s="238">
        <f t="shared" si="53"/>
        <v>0</v>
      </c>
      <c r="W246" s="238">
        <f t="shared" si="54"/>
        <v>0.35</v>
      </c>
      <c r="X246" s="238">
        <f t="shared" si="55"/>
        <v>0</v>
      </c>
      <c r="Y246" s="238">
        <f t="shared" si="56"/>
        <v>0.47</v>
      </c>
      <c r="Z246" s="70">
        <v>0.82</v>
      </c>
      <c r="AA246" s="70"/>
      <c r="AB246" s="70">
        <v>0.35</v>
      </c>
      <c r="AC246" s="70"/>
      <c r="AD246" s="71">
        <v>0.47</v>
      </c>
      <c r="AE246" s="233">
        <v>110</v>
      </c>
      <c r="AF246" s="72">
        <v>1.4</v>
      </c>
      <c r="AG246" s="67">
        <v>1.25</v>
      </c>
      <c r="AH246" s="73">
        <v>1.0249999999999999</v>
      </c>
      <c r="AI246" s="73">
        <v>0</v>
      </c>
      <c r="AJ246" s="73">
        <v>0.4375</v>
      </c>
      <c r="AK246" s="73">
        <v>0</v>
      </c>
      <c r="AL246" s="129">
        <v>0.58749999999999991</v>
      </c>
      <c r="AM246" s="202">
        <f t="shared" si="57"/>
        <v>6.2011845775027067E-5</v>
      </c>
      <c r="AN246" s="202">
        <f t="shared" si="58"/>
        <v>0</v>
      </c>
      <c r="AO246" s="202">
        <f t="shared" si="59"/>
        <v>2.6468470757633509E-5</v>
      </c>
      <c r="AP246" s="202">
        <f t="shared" si="60"/>
        <v>0</v>
      </c>
      <c r="AQ246" s="202">
        <f t="shared" si="61"/>
        <v>3.5543375017393565E-5</v>
      </c>
      <c r="AR246" s="209" t="s">
        <v>611</v>
      </c>
      <c r="AS246" s="221" t="s">
        <v>1663</v>
      </c>
      <c r="AT246" s="234">
        <v>322120</v>
      </c>
      <c r="AU246" s="244">
        <f t="shared" si="62"/>
        <v>1.0249999999999999</v>
      </c>
      <c r="AV246" s="244">
        <f t="shared" si="63"/>
        <v>0</v>
      </c>
      <c r="AW246" s="244">
        <f t="shared" si="64"/>
        <v>0.4375</v>
      </c>
      <c r="AX246" s="244">
        <f t="shared" si="65"/>
        <v>0</v>
      </c>
      <c r="AY246" s="244">
        <f t="shared" si="66"/>
        <v>0.58749999999999991</v>
      </c>
      <c r="AZ246">
        <v>4.8736419180752673E-4</v>
      </c>
    </row>
    <row r="247" spans="1:52" ht="15.75" customHeight="1" x14ac:dyDescent="0.35">
      <c r="A247" s="66" t="s">
        <v>611</v>
      </c>
      <c r="B247" s="67" t="s">
        <v>612</v>
      </c>
      <c r="C247" s="67" t="s">
        <v>149</v>
      </c>
      <c r="D247" s="67" t="s">
        <v>150</v>
      </c>
      <c r="E247" s="67" t="s">
        <v>619</v>
      </c>
      <c r="F247" s="67" t="s">
        <v>620</v>
      </c>
      <c r="G247" s="67" t="s">
        <v>52</v>
      </c>
      <c r="H247" s="67" t="s">
        <v>621</v>
      </c>
      <c r="I247" s="67" t="s">
        <v>622</v>
      </c>
      <c r="J247" s="105"/>
      <c r="K247" s="228">
        <v>30</v>
      </c>
      <c r="L247" s="269"/>
      <c r="M247" s="269"/>
      <c r="N247" s="269"/>
      <c r="O247" s="269"/>
      <c r="P247" s="269"/>
      <c r="Q247" s="269"/>
      <c r="R247" s="269"/>
      <c r="S247" s="66" t="s">
        <v>614</v>
      </c>
      <c r="T247" s="70"/>
      <c r="U247" s="238">
        <f t="shared" si="52"/>
        <v>0.55000000000000004</v>
      </c>
      <c r="V247" s="238">
        <f t="shared" si="53"/>
        <v>0</v>
      </c>
      <c r="W247" s="238">
        <f t="shared" si="54"/>
        <v>0.55000000000000004</v>
      </c>
      <c r="X247" s="238">
        <f t="shared" si="55"/>
        <v>0</v>
      </c>
      <c r="Y247" s="238">
        <f t="shared" si="56"/>
        <v>0</v>
      </c>
      <c r="Z247" s="70">
        <v>0.55000000000000004</v>
      </c>
      <c r="AA247" s="70"/>
      <c r="AB247" s="70">
        <v>0.55000000000000004</v>
      </c>
      <c r="AC247" s="70"/>
      <c r="AD247" s="71"/>
      <c r="AE247" s="233"/>
      <c r="AF247" s="107"/>
      <c r="AG247" s="67">
        <v>11.7</v>
      </c>
      <c r="AH247" s="73">
        <v>6.4350000000000005</v>
      </c>
      <c r="AI247" s="73">
        <v>0</v>
      </c>
      <c r="AJ247" s="73">
        <v>6.4350000000000005</v>
      </c>
      <c r="AK247" s="73">
        <v>0</v>
      </c>
      <c r="AL247" s="129">
        <v>0</v>
      </c>
      <c r="AM247" s="202">
        <f t="shared" si="57"/>
        <v>3.8931339274370661E-4</v>
      </c>
      <c r="AN247" s="202">
        <f t="shared" si="58"/>
        <v>0</v>
      </c>
      <c r="AO247" s="202">
        <f t="shared" si="59"/>
        <v>3.8931339274370661E-4</v>
      </c>
      <c r="AP247" s="202">
        <f t="shared" si="60"/>
        <v>0</v>
      </c>
      <c r="AQ247" s="202">
        <f t="shared" si="61"/>
        <v>0</v>
      </c>
      <c r="AR247" s="208" t="s">
        <v>611</v>
      </c>
      <c r="AS247" s="221" t="s">
        <v>1663</v>
      </c>
      <c r="AT247" s="234">
        <v>322120</v>
      </c>
      <c r="AU247" s="244">
        <f t="shared" si="62"/>
        <v>6.4350000000000005</v>
      </c>
      <c r="AV247" s="244">
        <f t="shared" si="63"/>
        <v>0</v>
      </c>
      <c r="AW247" s="244">
        <f t="shared" si="64"/>
        <v>6.4350000000000005</v>
      </c>
      <c r="AX247" s="244">
        <f t="shared" si="65"/>
        <v>0</v>
      </c>
      <c r="AY247" s="244">
        <f t="shared" si="66"/>
        <v>0</v>
      </c>
      <c r="AZ247">
        <v>3.0596961700306686E-3</v>
      </c>
    </row>
    <row r="248" spans="1:52" ht="15.75" customHeight="1" x14ac:dyDescent="0.35">
      <c r="A248" s="66" t="s">
        <v>611</v>
      </c>
      <c r="B248" s="67" t="s">
        <v>612</v>
      </c>
      <c r="C248" s="67" t="s">
        <v>260</v>
      </c>
      <c r="D248" s="67" t="s">
        <v>261</v>
      </c>
      <c r="E248" s="67" t="s">
        <v>623</v>
      </c>
      <c r="F248" s="67" t="s">
        <v>624</v>
      </c>
      <c r="G248" s="67" t="s">
        <v>52</v>
      </c>
      <c r="H248" s="67" t="s">
        <v>625</v>
      </c>
      <c r="I248" s="67" t="s">
        <v>626</v>
      </c>
      <c r="J248" s="105"/>
      <c r="K248" s="228">
        <v>30</v>
      </c>
      <c r="L248" s="269"/>
      <c r="M248" s="269"/>
      <c r="N248" s="269"/>
      <c r="O248" s="269"/>
      <c r="P248" s="269"/>
      <c r="Q248" s="269"/>
      <c r="R248" s="269"/>
      <c r="S248" s="66" t="s">
        <v>614</v>
      </c>
      <c r="T248" s="70"/>
      <c r="U248" s="238">
        <f t="shared" si="52"/>
        <v>1.05</v>
      </c>
      <c r="V248" s="238">
        <f t="shared" si="53"/>
        <v>0</v>
      </c>
      <c r="W248" s="238">
        <f t="shared" si="54"/>
        <v>1.05</v>
      </c>
      <c r="X248" s="238">
        <f t="shared" si="55"/>
        <v>0</v>
      </c>
      <c r="Y248" s="238">
        <f t="shared" si="56"/>
        <v>0</v>
      </c>
      <c r="Z248" s="70">
        <v>1.05</v>
      </c>
      <c r="AA248" s="70"/>
      <c r="AB248" s="91">
        <v>1.05</v>
      </c>
      <c r="AC248" s="91"/>
      <c r="AD248" s="92"/>
      <c r="AE248" s="233"/>
      <c r="AF248" s="107"/>
      <c r="AG248" s="67">
        <v>11.7</v>
      </c>
      <c r="AH248" s="73">
        <v>12.285</v>
      </c>
      <c r="AI248" s="73">
        <v>0</v>
      </c>
      <c r="AJ248" s="73">
        <v>12.285</v>
      </c>
      <c r="AK248" s="73">
        <v>0</v>
      </c>
      <c r="AL248" s="129">
        <v>0</v>
      </c>
      <c r="AM248" s="202">
        <f t="shared" si="57"/>
        <v>7.4323465887434891E-4</v>
      </c>
      <c r="AN248" s="202">
        <f t="shared" si="58"/>
        <v>0</v>
      </c>
      <c r="AO248" s="202">
        <f t="shared" si="59"/>
        <v>7.4323465887434891E-4</v>
      </c>
      <c r="AP248" s="202">
        <f t="shared" si="60"/>
        <v>0</v>
      </c>
      <c r="AQ248" s="202">
        <f t="shared" si="61"/>
        <v>0</v>
      </c>
      <c r="AR248" s="208" t="s">
        <v>611</v>
      </c>
      <c r="AS248" s="221" t="s">
        <v>1663</v>
      </c>
      <c r="AT248" s="234">
        <v>322120</v>
      </c>
      <c r="AU248" s="244">
        <f t="shared" si="62"/>
        <v>12.285</v>
      </c>
      <c r="AV248" s="244">
        <f t="shared" si="63"/>
        <v>0</v>
      </c>
      <c r="AW248" s="244">
        <f t="shared" si="64"/>
        <v>12.285</v>
      </c>
      <c r="AX248" s="244">
        <f t="shared" si="65"/>
        <v>0</v>
      </c>
      <c r="AY248" s="244">
        <f t="shared" si="66"/>
        <v>0</v>
      </c>
      <c r="AZ248">
        <v>5.8412381427858208E-3</v>
      </c>
    </row>
    <row r="249" spans="1:52" ht="15.75" customHeight="1" x14ac:dyDescent="0.35">
      <c r="A249" s="66" t="s">
        <v>611</v>
      </c>
      <c r="B249" s="67" t="s">
        <v>612</v>
      </c>
      <c r="C249" s="67" t="s">
        <v>74</v>
      </c>
      <c r="D249" s="67" t="s">
        <v>75</v>
      </c>
      <c r="E249" s="67" t="s">
        <v>75</v>
      </c>
      <c r="F249" s="67" t="s">
        <v>627</v>
      </c>
      <c r="G249" s="67" t="s">
        <v>52</v>
      </c>
      <c r="H249" s="67" t="s">
        <v>160</v>
      </c>
      <c r="I249" s="67" t="s">
        <v>628</v>
      </c>
      <c r="J249" s="68">
        <v>0.75</v>
      </c>
      <c r="K249" s="228">
        <f t="shared" si="51"/>
        <v>190</v>
      </c>
      <c r="L249" s="269">
        <v>190</v>
      </c>
      <c r="M249" s="269">
        <v>22</v>
      </c>
      <c r="N249" s="269">
        <v>60</v>
      </c>
      <c r="O249" s="269">
        <v>1</v>
      </c>
      <c r="P249" s="269"/>
      <c r="Q249" s="269"/>
      <c r="R249" s="269"/>
      <c r="S249" s="66" t="s">
        <v>614</v>
      </c>
      <c r="T249" s="70"/>
      <c r="U249" s="238">
        <f t="shared" si="52"/>
        <v>8.370000000000001</v>
      </c>
      <c r="V249" s="238">
        <f t="shared" si="53"/>
        <v>0</v>
      </c>
      <c r="W249" s="238">
        <f t="shared" si="54"/>
        <v>0.23</v>
      </c>
      <c r="X249" s="238">
        <f t="shared" si="55"/>
        <v>0</v>
      </c>
      <c r="Y249" s="238">
        <f t="shared" si="56"/>
        <v>8.14</v>
      </c>
      <c r="Z249" s="70">
        <v>8.370000000000001</v>
      </c>
      <c r="AA249" s="70"/>
      <c r="AB249" s="91">
        <v>0.23</v>
      </c>
      <c r="AC249" s="91"/>
      <c r="AD249" s="92">
        <v>8.14</v>
      </c>
      <c r="AE249" s="233">
        <v>136</v>
      </c>
      <c r="AF249" s="107">
        <v>3.3</v>
      </c>
      <c r="AG249" s="67">
        <v>11.7</v>
      </c>
      <c r="AH249" s="73">
        <v>97.929000000000002</v>
      </c>
      <c r="AI249" s="73">
        <v>0</v>
      </c>
      <c r="AJ249" s="73">
        <v>2.6909999999999998</v>
      </c>
      <c r="AK249" s="73">
        <v>0</v>
      </c>
      <c r="AL249" s="129">
        <v>95.238</v>
      </c>
      <c r="AM249" s="202">
        <f t="shared" si="57"/>
        <v>5.9246419950269528E-3</v>
      </c>
      <c r="AN249" s="202">
        <f t="shared" si="58"/>
        <v>0</v>
      </c>
      <c r="AO249" s="202">
        <f t="shared" si="59"/>
        <v>1.6280378242009548E-4</v>
      </c>
      <c r="AP249" s="202">
        <f t="shared" si="60"/>
        <v>0</v>
      </c>
      <c r="AQ249" s="202">
        <f t="shared" si="61"/>
        <v>5.7618382126068575E-3</v>
      </c>
      <c r="AR249" s="208" t="s">
        <v>611</v>
      </c>
      <c r="AS249" s="221" t="s">
        <v>1663</v>
      </c>
      <c r="AT249" s="234">
        <v>322120</v>
      </c>
      <c r="AU249" s="244">
        <f t="shared" si="62"/>
        <v>97.929000000000002</v>
      </c>
      <c r="AV249" s="244">
        <f t="shared" si="63"/>
        <v>0</v>
      </c>
      <c r="AW249" s="244">
        <f t="shared" si="64"/>
        <v>2.6909999999999998</v>
      </c>
      <c r="AX249" s="244">
        <f t="shared" si="65"/>
        <v>0</v>
      </c>
      <c r="AY249" s="244">
        <f t="shared" si="66"/>
        <v>95.238</v>
      </c>
      <c r="AZ249">
        <v>4.6563012623921263E-2</v>
      </c>
    </row>
    <row r="250" spans="1:52" ht="15.75" customHeight="1" x14ac:dyDescent="0.35">
      <c r="A250" s="77" t="s">
        <v>611</v>
      </c>
      <c r="B250" s="78" t="s">
        <v>612</v>
      </c>
      <c r="C250" s="81" t="s">
        <v>270</v>
      </c>
      <c r="D250" s="78" t="s">
        <v>271</v>
      </c>
      <c r="E250" s="78" t="s">
        <v>629</v>
      </c>
      <c r="F250" s="78" t="s">
        <v>630</v>
      </c>
      <c r="G250" s="78" t="s">
        <v>52</v>
      </c>
      <c r="H250" s="78" t="s">
        <v>631</v>
      </c>
      <c r="I250" s="78" t="s">
        <v>632</v>
      </c>
      <c r="J250" s="111"/>
      <c r="K250" s="228">
        <v>30</v>
      </c>
      <c r="L250" s="269"/>
      <c r="M250" s="269"/>
      <c r="N250" s="269"/>
      <c r="O250" s="269"/>
      <c r="P250" s="269"/>
      <c r="Q250" s="269"/>
      <c r="R250" s="269"/>
      <c r="S250" s="77" t="s">
        <v>614</v>
      </c>
      <c r="T250" s="82"/>
      <c r="U250" s="238">
        <f t="shared" si="52"/>
        <v>0.2</v>
      </c>
      <c r="V250" s="238">
        <f t="shared" si="53"/>
        <v>0</v>
      </c>
      <c r="W250" s="238">
        <f t="shared" si="54"/>
        <v>0.2</v>
      </c>
      <c r="X250" s="238">
        <f t="shared" si="55"/>
        <v>0</v>
      </c>
      <c r="Y250" s="238">
        <f t="shared" si="56"/>
        <v>0</v>
      </c>
      <c r="Z250" s="70">
        <v>0.2</v>
      </c>
      <c r="AA250" s="70"/>
      <c r="AB250" s="91">
        <v>0.2</v>
      </c>
      <c r="AC250" s="91"/>
      <c r="AD250" s="92"/>
      <c r="AE250" s="81"/>
      <c r="AF250" s="112"/>
      <c r="AG250" s="78">
        <v>11.7</v>
      </c>
      <c r="AH250" s="85">
        <v>2.34</v>
      </c>
      <c r="AI250" s="85">
        <v>0</v>
      </c>
      <c r="AJ250" s="85">
        <v>2.34</v>
      </c>
      <c r="AK250" s="85">
        <v>0</v>
      </c>
      <c r="AL250" s="133">
        <v>0</v>
      </c>
      <c r="AM250" s="202">
        <f t="shared" si="57"/>
        <v>1.4156850645225693E-4</v>
      </c>
      <c r="AN250" s="202">
        <f t="shared" si="58"/>
        <v>0</v>
      </c>
      <c r="AO250" s="202">
        <f t="shared" si="59"/>
        <v>1.4156850645225693E-4</v>
      </c>
      <c r="AP250" s="202">
        <f t="shared" si="60"/>
        <v>0</v>
      </c>
      <c r="AQ250" s="202">
        <f t="shared" si="61"/>
        <v>0</v>
      </c>
      <c r="AR250" s="212" t="s">
        <v>611</v>
      </c>
      <c r="AS250" s="221" t="s">
        <v>1663</v>
      </c>
      <c r="AT250" s="234">
        <v>322120</v>
      </c>
      <c r="AU250" s="244">
        <f t="shared" si="62"/>
        <v>2.34</v>
      </c>
      <c r="AV250" s="244">
        <f t="shared" si="63"/>
        <v>0</v>
      </c>
      <c r="AW250" s="244">
        <f t="shared" si="64"/>
        <v>2.34</v>
      </c>
      <c r="AX250" s="244">
        <f t="shared" si="65"/>
        <v>0</v>
      </c>
      <c r="AY250" s="244">
        <f t="shared" si="66"/>
        <v>0</v>
      </c>
      <c r="AZ250">
        <v>1.1126167891020611E-3</v>
      </c>
    </row>
    <row r="251" spans="1:52" ht="15.75" customHeight="1" x14ac:dyDescent="0.35">
      <c r="A251" s="56" t="s">
        <v>611</v>
      </c>
      <c r="B251" s="57" t="s">
        <v>633</v>
      </c>
      <c r="C251" s="67" t="s">
        <v>149</v>
      </c>
      <c r="D251" s="57" t="s">
        <v>613</v>
      </c>
      <c r="E251" s="57" t="s">
        <v>634</v>
      </c>
      <c r="F251" s="57" t="s">
        <v>635</v>
      </c>
      <c r="G251" s="57" t="s">
        <v>52</v>
      </c>
      <c r="H251" s="57" t="s">
        <v>476</v>
      </c>
      <c r="I251" s="57" t="s">
        <v>636</v>
      </c>
      <c r="J251" s="135">
        <v>0.8</v>
      </c>
      <c r="K251" s="228">
        <f t="shared" si="51"/>
        <v>80</v>
      </c>
      <c r="L251" s="269">
        <v>80</v>
      </c>
      <c r="M251" s="269">
        <v>22</v>
      </c>
      <c r="N251" s="269">
        <v>80</v>
      </c>
      <c r="O251" s="269"/>
      <c r="P251" s="269"/>
      <c r="Q251" s="269"/>
      <c r="R251" s="269"/>
      <c r="S251" s="56" t="s">
        <v>637</v>
      </c>
      <c r="T251" s="60"/>
      <c r="U251" s="238">
        <f t="shared" si="52"/>
        <v>0.69</v>
      </c>
      <c r="V251" s="238">
        <f t="shared" si="53"/>
        <v>0</v>
      </c>
      <c r="W251" s="238">
        <f t="shared" si="54"/>
        <v>0.35</v>
      </c>
      <c r="X251" s="238">
        <f t="shared" si="55"/>
        <v>0</v>
      </c>
      <c r="Y251" s="238">
        <f t="shared" si="56"/>
        <v>0.34</v>
      </c>
      <c r="Z251" s="82">
        <v>0.69</v>
      </c>
      <c r="AA251" s="82"/>
      <c r="AB251" s="99">
        <v>0.35</v>
      </c>
      <c r="AC251" s="99"/>
      <c r="AD251" s="100">
        <v>0.34</v>
      </c>
      <c r="AE251" s="233" t="s">
        <v>638</v>
      </c>
      <c r="AF251" s="72" t="s">
        <v>639</v>
      </c>
      <c r="AG251" s="57">
        <v>6.1</v>
      </c>
      <c r="AH251" s="63">
        <v>4.2089999999999996</v>
      </c>
      <c r="AI251" s="63">
        <v>0</v>
      </c>
      <c r="AJ251" s="63">
        <v>2.1349999999999998</v>
      </c>
      <c r="AK251" s="63">
        <v>0</v>
      </c>
      <c r="AL251" s="125">
        <v>2.0739999999999998</v>
      </c>
      <c r="AM251" s="202">
        <f t="shared" si="57"/>
        <v>2.5464181352886727E-4</v>
      </c>
      <c r="AN251" s="202">
        <f t="shared" si="58"/>
        <v>0</v>
      </c>
      <c r="AO251" s="202">
        <f t="shared" si="59"/>
        <v>1.2916613729725151E-4</v>
      </c>
      <c r="AP251" s="202">
        <f t="shared" si="60"/>
        <v>0</v>
      </c>
      <c r="AQ251" s="202">
        <f t="shared" si="61"/>
        <v>1.2547567623161576E-4</v>
      </c>
      <c r="AR251" s="205" t="s">
        <v>611</v>
      </c>
      <c r="AS251" s="221" t="s">
        <v>1663</v>
      </c>
      <c r="AT251" s="234">
        <v>322120</v>
      </c>
      <c r="AU251" s="244">
        <f t="shared" si="62"/>
        <v>4.2089999999999996</v>
      </c>
      <c r="AV251" s="244">
        <f t="shared" si="63"/>
        <v>0</v>
      </c>
      <c r="AW251" s="244">
        <f t="shared" si="64"/>
        <v>2.1349999999999998</v>
      </c>
      <c r="AX251" s="244">
        <f t="shared" si="65"/>
        <v>0</v>
      </c>
      <c r="AY251" s="244">
        <f t="shared" si="66"/>
        <v>2.0739999999999998</v>
      </c>
      <c r="AZ251">
        <v>2.0012837886028098E-3</v>
      </c>
    </row>
    <row r="252" spans="1:52" ht="15.75" customHeight="1" x14ac:dyDescent="0.35">
      <c r="A252" s="66" t="s">
        <v>611</v>
      </c>
      <c r="B252" s="67" t="s">
        <v>633</v>
      </c>
      <c r="C252" s="67" t="s">
        <v>149</v>
      </c>
      <c r="D252" s="67" t="s">
        <v>150</v>
      </c>
      <c r="E252" s="67" t="s">
        <v>619</v>
      </c>
      <c r="F252" s="67" t="s">
        <v>635</v>
      </c>
      <c r="G252" s="67" t="s">
        <v>52</v>
      </c>
      <c r="H252" s="67" t="s">
        <v>621</v>
      </c>
      <c r="I252" s="67" t="s">
        <v>622</v>
      </c>
      <c r="J252" s="105"/>
      <c r="K252" s="228">
        <v>30</v>
      </c>
      <c r="L252" s="269"/>
      <c r="M252" s="269"/>
      <c r="N252" s="269"/>
      <c r="O252" s="269"/>
      <c r="P252" s="269"/>
      <c r="Q252" s="269"/>
      <c r="R252" s="269"/>
      <c r="S252" s="66" t="s">
        <v>637</v>
      </c>
      <c r="T252" s="70"/>
      <c r="U252" s="238">
        <f t="shared" si="52"/>
        <v>0.55000000000000004</v>
      </c>
      <c r="V252" s="238">
        <f t="shared" si="53"/>
        <v>0</v>
      </c>
      <c r="W252" s="238">
        <f t="shared" si="54"/>
        <v>0.55000000000000004</v>
      </c>
      <c r="X252" s="238">
        <f t="shared" si="55"/>
        <v>0</v>
      </c>
      <c r="Y252" s="238">
        <f t="shared" si="56"/>
        <v>0</v>
      </c>
      <c r="Z252" s="60">
        <v>0.55000000000000004</v>
      </c>
      <c r="AA252" s="60"/>
      <c r="AB252" s="117">
        <v>0.55000000000000004</v>
      </c>
      <c r="AC252" s="117"/>
      <c r="AD252" s="136"/>
      <c r="AE252" s="233"/>
      <c r="AF252" s="72"/>
      <c r="AG252" s="67">
        <v>6.1</v>
      </c>
      <c r="AH252" s="73">
        <v>3.355</v>
      </c>
      <c r="AI252" s="73">
        <v>0</v>
      </c>
      <c r="AJ252" s="73">
        <v>3.355</v>
      </c>
      <c r="AK252" s="73">
        <v>0</v>
      </c>
      <c r="AL252" s="129">
        <v>0</v>
      </c>
      <c r="AM252" s="202">
        <f t="shared" si="57"/>
        <v>2.0297535860996669E-4</v>
      </c>
      <c r="AN252" s="202">
        <f t="shared" si="58"/>
        <v>0</v>
      </c>
      <c r="AO252" s="202">
        <f t="shared" si="59"/>
        <v>2.0297535860996669E-4</v>
      </c>
      <c r="AP252" s="202">
        <f t="shared" si="60"/>
        <v>0</v>
      </c>
      <c r="AQ252" s="202">
        <f t="shared" si="61"/>
        <v>0</v>
      </c>
      <c r="AR252" s="208" t="s">
        <v>611</v>
      </c>
      <c r="AS252" s="221" t="s">
        <v>1663</v>
      </c>
      <c r="AT252" s="234">
        <v>322120</v>
      </c>
      <c r="AU252" s="244">
        <f t="shared" si="62"/>
        <v>3.355</v>
      </c>
      <c r="AV252" s="244">
        <f t="shared" si="63"/>
        <v>0</v>
      </c>
      <c r="AW252" s="244">
        <f t="shared" si="64"/>
        <v>3.355</v>
      </c>
      <c r="AX252" s="244">
        <f t="shared" si="65"/>
        <v>0</v>
      </c>
      <c r="AY252" s="244">
        <f t="shared" si="66"/>
        <v>0</v>
      </c>
      <c r="AZ252">
        <v>1.5952262083065876E-3</v>
      </c>
    </row>
    <row r="253" spans="1:52" ht="15.75" customHeight="1" x14ac:dyDescent="0.35">
      <c r="A253" s="66" t="s">
        <v>611</v>
      </c>
      <c r="B253" s="67" t="s">
        <v>633</v>
      </c>
      <c r="C253" s="67" t="s">
        <v>260</v>
      </c>
      <c r="D253" s="67" t="s">
        <v>261</v>
      </c>
      <c r="E253" s="67" t="s">
        <v>623</v>
      </c>
      <c r="F253" s="67" t="s">
        <v>624</v>
      </c>
      <c r="G253" s="67" t="s">
        <v>52</v>
      </c>
      <c r="H253" s="67" t="s">
        <v>625</v>
      </c>
      <c r="I253" s="67" t="s">
        <v>626</v>
      </c>
      <c r="J253" s="105"/>
      <c r="K253" s="228">
        <v>30</v>
      </c>
      <c r="L253" s="269"/>
      <c r="M253" s="269"/>
      <c r="N253" s="269"/>
      <c r="O253" s="269"/>
      <c r="P253" s="269"/>
      <c r="Q253" s="269"/>
      <c r="R253" s="269"/>
      <c r="S253" s="66" t="s">
        <v>637</v>
      </c>
      <c r="T253" s="70"/>
      <c r="U253" s="238">
        <f t="shared" si="52"/>
        <v>1.05</v>
      </c>
      <c r="V253" s="238">
        <f t="shared" si="53"/>
        <v>0</v>
      </c>
      <c r="W253" s="238">
        <f t="shared" si="54"/>
        <v>1.05</v>
      </c>
      <c r="X253" s="238">
        <f t="shared" si="55"/>
        <v>0</v>
      </c>
      <c r="Y253" s="238">
        <f t="shared" si="56"/>
        <v>0</v>
      </c>
      <c r="Z253" s="70">
        <v>1.05</v>
      </c>
      <c r="AA253" s="70"/>
      <c r="AB253" s="91">
        <v>1.05</v>
      </c>
      <c r="AC253" s="91"/>
      <c r="AD253" s="92"/>
      <c r="AE253" s="233"/>
      <c r="AF253" s="72"/>
      <c r="AG253" s="67">
        <v>6.1</v>
      </c>
      <c r="AH253" s="73">
        <v>6.4050000000000002</v>
      </c>
      <c r="AI253" s="73">
        <v>0</v>
      </c>
      <c r="AJ253" s="73">
        <v>6.4050000000000002</v>
      </c>
      <c r="AK253" s="73">
        <v>0</v>
      </c>
      <c r="AL253" s="129">
        <v>0</v>
      </c>
      <c r="AM253" s="202">
        <f t="shared" si="57"/>
        <v>3.874984118917546E-4</v>
      </c>
      <c r="AN253" s="202">
        <f t="shared" si="58"/>
        <v>0</v>
      </c>
      <c r="AO253" s="202">
        <f t="shared" si="59"/>
        <v>3.874984118917546E-4</v>
      </c>
      <c r="AP253" s="202">
        <f t="shared" si="60"/>
        <v>0</v>
      </c>
      <c r="AQ253" s="202">
        <f t="shared" si="61"/>
        <v>0</v>
      </c>
      <c r="AR253" s="208" t="s">
        <v>611</v>
      </c>
      <c r="AS253" s="221" t="s">
        <v>1663</v>
      </c>
      <c r="AT253" s="234">
        <v>322120</v>
      </c>
      <c r="AU253" s="244">
        <f t="shared" si="62"/>
        <v>6.4050000000000002</v>
      </c>
      <c r="AV253" s="244">
        <f t="shared" si="63"/>
        <v>0</v>
      </c>
      <c r="AW253" s="244">
        <f t="shared" si="64"/>
        <v>6.4050000000000002</v>
      </c>
      <c r="AX253" s="244">
        <f t="shared" si="65"/>
        <v>0</v>
      </c>
      <c r="AY253" s="244">
        <f t="shared" si="66"/>
        <v>0</v>
      </c>
      <c r="AZ253">
        <v>3.0454318522216673E-3</v>
      </c>
    </row>
    <row r="254" spans="1:52" ht="15.75" customHeight="1" x14ac:dyDescent="0.35">
      <c r="A254" s="66" t="s">
        <v>611</v>
      </c>
      <c r="B254" s="67" t="s">
        <v>633</v>
      </c>
      <c r="C254" s="67" t="s">
        <v>74</v>
      </c>
      <c r="D254" s="67" t="s">
        <v>75</v>
      </c>
      <c r="E254" s="67" t="s">
        <v>75</v>
      </c>
      <c r="F254" s="67" t="s">
        <v>640</v>
      </c>
      <c r="G254" s="67" t="s">
        <v>52</v>
      </c>
      <c r="H254" s="67" t="s">
        <v>160</v>
      </c>
      <c r="I254" s="67" t="s">
        <v>628</v>
      </c>
      <c r="J254" s="68">
        <v>0.8</v>
      </c>
      <c r="K254" s="228">
        <f t="shared" si="51"/>
        <v>190</v>
      </c>
      <c r="L254" s="269">
        <v>190</v>
      </c>
      <c r="M254" s="269">
        <v>22</v>
      </c>
      <c r="N254" s="269">
        <v>60</v>
      </c>
      <c r="O254" s="269">
        <v>1</v>
      </c>
      <c r="P254" s="269"/>
      <c r="Q254" s="269"/>
      <c r="R254" s="269"/>
      <c r="S254" s="66" t="s">
        <v>637</v>
      </c>
      <c r="T254" s="70"/>
      <c r="U254" s="238">
        <f t="shared" si="52"/>
        <v>8.370000000000001</v>
      </c>
      <c r="V254" s="238">
        <f t="shared" si="53"/>
        <v>0</v>
      </c>
      <c r="W254" s="238">
        <f t="shared" si="54"/>
        <v>0.23</v>
      </c>
      <c r="X254" s="238">
        <f t="shared" si="55"/>
        <v>0</v>
      </c>
      <c r="Y254" s="238">
        <f t="shared" si="56"/>
        <v>8.14</v>
      </c>
      <c r="Z254" s="70">
        <v>8.370000000000001</v>
      </c>
      <c r="AA254" s="70"/>
      <c r="AB254" s="91">
        <v>0.23</v>
      </c>
      <c r="AC254" s="91"/>
      <c r="AD254" s="92">
        <v>8.14</v>
      </c>
      <c r="AE254" s="233">
        <v>136</v>
      </c>
      <c r="AF254" s="107">
        <v>3.3</v>
      </c>
      <c r="AG254" s="67">
        <v>3.6599999999999997</v>
      </c>
      <c r="AH254" s="73">
        <v>30.6342</v>
      </c>
      <c r="AI254" s="73">
        <v>0</v>
      </c>
      <c r="AJ254" s="73">
        <v>0.84179999999999999</v>
      </c>
      <c r="AK254" s="73">
        <v>0</v>
      </c>
      <c r="AL254" s="129">
        <v>29.792400000000001</v>
      </c>
      <c r="AM254" s="202">
        <f t="shared" si="57"/>
        <v>1.8533495471622775E-3</v>
      </c>
      <c r="AN254" s="202">
        <f t="shared" si="58"/>
        <v>0</v>
      </c>
      <c r="AO254" s="202">
        <f t="shared" si="59"/>
        <v>5.092836270577346E-5</v>
      </c>
      <c r="AP254" s="202">
        <f t="shared" si="60"/>
        <v>0</v>
      </c>
      <c r="AQ254" s="202">
        <f t="shared" si="61"/>
        <v>1.8024211844565041E-3</v>
      </c>
      <c r="AR254" s="208" t="s">
        <v>611</v>
      </c>
      <c r="AS254" s="221" t="s">
        <v>1663</v>
      </c>
      <c r="AT254" s="234">
        <v>322120</v>
      </c>
      <c r="AU254" s="244">
        <f t="shared" si="62"/>
        <v>30.6342</v>
      </c>
      <c r="AV254" s="244">
        <f t="shared" si="63"/>
        <v>0</v>
      </c>
      <c r="AW254" s="244">
        <f t="shared" si="64"/>
        <v>0.84179999999999999</v>
      </c>
      <c r="AX254" s="244">
        <f t="shared" si="65"/>
        <v>0</v>
      </c>
      <c r="AY254" s="244">
        <f t="shared" si="66"/>
        <v>29.792400000000001</v>
      </c>
      <c r="AZ254">
        <v>1.456586548748306E-2</v>
      </c>
    </row>
    <row r="255" spans="1:52" ht="15.75" customHeight="1" x14ac:dyDescent="0.35">
      <c r="A255" s="66" t="s">
        <v>611</v>
      </c>
      <c r="B255" s="67" t="s">
        <v>633</v>
      </c>
      <c r="C255" s="67" t="s">
        <v>74</v>
      </c>
      <c r="D255" s="67" t="s">
        <v>75</v>
      </c>
      <c r="E255" s="67" t="s">
        <v>641</v>
      </c>
      <c r="F255" s="67" t="s">
        <v>640</v>
      </c>
      <c r="G255" s="67" t="s">
        <v>52</v>
      </c>
      <c r="H255" s="67" t="s">
        <v>642</v>
      </c>
      <c r="I255" s="67" t="s">
        <v>643</v>
      </c>
      <c r="J255" s="76" t="s">
        <v>78</v>
      </c>
      <c r="K255" s="228">
        <f t="shared" si="51"/>
        <v>225</v>
      </c>
      <c r="L255" s="269">
        <v>225</v>
      </c>
      <c r="M255" s="269">
        <v>22</v>
      </c>
      <c r="N255" s="269">
        <v>85</v>
      </c>
      <c r="O255" s="269"/>
      <c r="P255" s="269"/>
      <c r="Q255" s="269"/>
      <c r="R255" s="269"/>
      <c r="S255" s="66" t="s">
        <v>637</v>
      </c>
      <c r="T255" s="70"/>
      <c r="U255" s="238">
        <f t="shared" si="52"/>
        <v>32.4</v>
      </c>
      <c r="V255" s="238">
        <f t="shared" si="53"/>
        <v>0</v>
      </c>
      <c r="W255" s="238">
        <f t="shared" si="54"/>
        <v>5.4</v>
      </c>
      <c r="X255" s="238">
        <f t="shared" si="55"/>
        <v>27</v>
      </c>
      <c r="Y255" s="238">
        <f t="shared" si="56"/>
        <v>0</v>
      </c>
      <c r="Z255" s="70">
        <v>32.4</v>
      </c>
      <c r="AA255" s="70"/>
      <c r="AB255" s="91">
        <v>5.4</v>
      </c>
      <c r="AC255" s="91">
        <v>27</v>
      </c>
      <c r="AD255" s="92"/>
      <c r="AE255" s="233"/>
      <c r="AF255" s="72"/>
      <c r="AG255" s="67">
        <v>2.44</v>
      </c>
      <c r="AH255" s="73">
        <v>79.055999999999997</v>
      </c>
      <c r="AI255" s="73">
        <v>0</v>
      </c>
      <c r="AJ255" s="73">
        <v>13.176</v>
      </c>
      <c r="AK255" s="73">
        <v>65.88</v>
      </c>
      <c r="AL255" s="129">
        <v>0</v>
      </c>
      <c r="AM255" s="202">
        <f t="shared" si="57"/>
        <v>4.7828375410639418E-3</v>
      </c>
      <c r="AN255" s="202">
        <f t="shared" si="58"/>
        <v>0</v>
      </c>
      <c r="AO255" s="202">
        <f t="shared" si="59"/>
        <v>7.9713959017732366E-4</v>
      </c>
      <c r="AP255" s="202">
        <f t="shared" si="60"/>
        <v>3.9856979508866184E-3</v>
      </c>
      <c r="AQ255" s="202">
        <f t="shared" si="61"/>
        <v>0</v>
      </c>
      <c r="AR255" s="208" t="s">
        <v>611</v>
      </c>
      <c r="AS255" s="221" t="s">
        <v>1663</v>
      </c>
      <c r="AT255" s="234">
        <v>322120</v>
      </c>
      <c r="AU255" s="244">
        <f t="shared" si="62"/>
        <v>79.055999999999997</v>
      </c>
      <c r="AV255" s="244">
        <f t="shared" si="63"/>
        <v>0</v>
      </c>
      <c r="AW255" s="244">
        <f t="shared" si="64"/>
        <v>13.176</v>
      </c>
      <c r="AX255" s="244">
        <f t="shared" si="65"/>
        <v>65.88</v>
      </c>
      <c r="AY255" s="244">
        <f t="shared" si="66"/>
        <v>0</v>
      </c>
      <c r="AZ255">
        <v>3.7589330290278868E-2</v>
      </c>
    </row>
    <row r="256" spans="1:52" ht="15.75" customHeight="1" x14ac:dyDescent="0.35">
      <c r="A256" s="77" t="s">
        <v>611</v>
      </c>
      <c r="B256" s="78" t="s">
        <v>633</v>
      </c>
      <c r="C256" s="81" t="s">
        <v>270</v>
      </c>
      <c r="D256" s="78" t="s">
        <v>271</v>
      </c>
      <c r="E256" s="78" t="s">
        <v>629</v>
      </c>
      <c r="F256" s="78" t="s">
        <v>630</v>
      </c>
      <c r="G256" s="78" t="s">
        <v>52</v>
      </c>
      <c r="H256" s="78" t="s">
        <v>631</v>
      </c>
      <c r="I256" s="78" t="s">
        <v>632</v>
      </c>
      <c r="J256" s="111"/>
      <c r="K256" s="228">
        <v>30</v>
      </c>
      <c r="L256" s="269"/>
      <c r="M256" s="269"/>
      <c r="N256" s="269"/>
      <c r="O256" s="269"/>
      <c r="P256" s="269"/>
      <c r="Q256" s="269"/>
      <c r="R256" s="269"/>
      <c r="S256" s="77" t="s">
        <v>637</v>
      </c>
      <c r="T256" s="82"/>
      <c r="U256" s="238">
        <f t="shared" si="52"/>
        <v>0.2</v>
      </c>
      <c r="V256" s="238">
        <f t="shared" si="53"/>
        <v>0</v>
      </c>
      <c r="W256" s="238">
        <f t="shared" si="54"/>
        <v>0.2</v>
      </c>
      <c r="X256" s="238">
        <f t="shared" si="55"/>
        <v>0</v>
      </c>
      <c r="Y256" s="238">
        <f t="shared" si="56"/>
        <v>0</v>
      </c>
      <c r="Z256" s="70">
        <v>0.2</v>
      </c>
      <c r="AA256" s="70"/>
      <c r="AB256" s="91">
        <v>0.2</v>
      </c>
      <c r="AC256" s="91"/>
      <c r="AD256" s="92"/>
      <c r="AE256" s="81"/>
      <c r="AF256" s="84"/>
      <c r="AG256" s="78">
        <v>6.1</v>
      </c>
      <c r="AH256" s="85">
        <v>1.22</v>
      </c>
      <c r="AI256" s="85">
        <v>0</v>
      </c>
      <c r="AJ256" s="85">
        <v>1.22</v>
      </c>
      <c r="AK256" s="85">
        <v>0</v>
      </c>
      <c r="AL256" s="133">
        <v>0</v>
      </c>
      <c r="AM256" s="202">
        <f t="shared" si="57"/>
        <v>7.3809221312715154E-5</v>
      </c>
      <c r="AN256" s="202">
        <f t="shared" si="58"/>
        <v>0</v>
      </c>
      <c r="AO256" s="202">
        <f t="shared" si="59"/>
        <v>7.3809221312715154E-5</v>
      </c>
      <c r="AP256" s="202">
        <f t="shared" si="60"/>
        <v>0</v>
      </c>
      <c r="AQ256" s="202">
        <f t="shared" si="61"/>
        <v>0</v>
      </c>
      <c r="AR256" s="212" t="s">
        <v>611</v>
      </c>
      <c r="AS256" s="221" t="s">
        <v>1663</v>
      </c>
      <c r="AT256" s="234">
        <v>322120</v>
      </c>
      <c r="AU256" s="244">
        <f t="shared" si="62"/>
        <v>1.22</v>
      </c>
      <c r="AV256" s="244">
        <f t="shared" si="63"/>
        <v>0</v>
      </c>
      <c r="AW256" s="244">
        <f t="shared" si="64"/>
        <v>1.22</v>
      </c>
      <c r="AX256" s="244">
        <f t="shared" si="65"/>
        <v>0</v>
      </c>
      <c r="AY256" s="244">
        <f t="shared" si="66"/>
        <v>0</v>
      </c>
      <c r="AZ256">
        <v>5.8008225756603186E-4</v>
      </c>
    </row>
    <row r="257" spans="1:52" ht="15.75" customHeight="1" x14ac:dyDescent="0.35">
      <c r="A257" s="66" t="s">
        <v>611</v>
      </c>
      <c r="B257" s="67" t="s">
        <v>644</v>
      </c>
      <c r="C257" s="67" t="s">
        <v>149</v>
      </c>
      <c r="D257" s="67" t="s">
        <v>613</v>
      </c>
      <c r="E257" s="67" t="s">
        <v>634</v>
      </c>
      <c r="F257" s="67" t="s">
        <v>635</v>
      </c>
      <c r="G257" s="67" t="s">
        <v>52</v>
      </c>
      <c r="H257" s="67" t="s">
        <v>476</v>
      </c>
      <c r="I257" s="67" t="s">
        <v>636</v>
      </c>
      <c r="J257" s="135">
        <v>0.8</v>
      </c>
      <c r="K257" s="228">
        <f t="shared" si="51"/>
        <v>80</v>
      </c>
      <c r="L257" s="269">
        <v>80</v>
      </c>
      <c r="M257" s="269">
        <v>22</v>
      </c>
      <c r="N257" s="269">
        <v>80</v>
      </c>
      <c r="O257" s="269"/>
      <c r="P257" s="269"/>
      <c r="Q257" s="269"/>
      <c r="R257" s="269"/>
      <c r="S257" s="56" t="s">
        <v>645</v>
      </c>
      <c r="T257" s="60"/>
      <c r="U257" s="238">
        <f t="shared" si="52"/>
        <v>0.69</v>
      </c>
      <c r="V257" s="238">
        <f t="shared" si="53"/>
        <v>0</v>
      </c>
      <c r="W257" s="238">
        <f t="shared" si="54"/>
        <v>0.35</v>
      </c>
      <c r="X257" s="238">
        <f t="shared" si="55"/>
        <v>0</v>
      </c>
      <c r="Y257" s="238">
        <f t="shared" si="56"/>
        <v>0.34</v>
      </c>
      <c r="Z257" s="82">
        <v>0.69</v>
      </c>
      <c r="AA257" s="82"/>
      <c r="AB257" s="99">
        <v>0.35</v>
      </c>
      <c r="AC257" s="99"/>
      <c r="AD257" s="100">
        <v>0.34</v>
      </c>
      <c r="AE257" s="233" t="s">
        <v>638</v>
      </c>
      <c r="AF257" s="72" t="s">
        <v>639</v>
      </c>
      <c r="AG257" s="63">
        <v>3.8</v>
      </c>
      <c r="AH257" s="63">
        <v>2.6219999999999999</v>
      </c>
      <c r="AI257" s="63">
        <v>0</v>
      </c>
      <c r="AJ257" s="63">
        <v>1.3299999999999998</v>
      </c>
      <c r="AK257" s="63">
        <v>0</v>
      </c>
      <c r="AL257" s="125">
        <v>1.292</v>
      </c>
      <c r="AM257" s="202">
        <f t="shared" si="57"/>
        <v>1.5862932646060584E-4</v>
      </c>
      <c r="AN257" s="202">
        <f t="shared" si="58"/>
        <v>0</v>
      </c>
      <c r="AO257" s="202">
        <f t="shared" si="59"/>
        <v>8.0464151103205856E-5</v>
      </c>
      <c r="AP257" s="202">
        <f t="shared" si="60"/>
        <v>0</v>
      </c>
      <c r="AQ257" s="202">
        <f t="shared" si="61"/>
        <v>7.8165175357399982E-5</v>
      </c>
      <c r="AR257" s="208" t="s">
        <v>611</v>
      </c>
      <c r="AS257" s="221" t="s">
        <v>1663</v>
      </c>
      <c r="AT257" s="234">
        <v>322120</v>
      </c>
      <c r="AU257" s="244">
        <f t="shared" si="62"/>
        <v>2.6219999999999999</v>
      </c>
      <c r="AV257" s="244">
        <f t="shared" si="63"/>
        <v>0</v>
      </c>
      <c r="AW257" s="244">
        <f t="shared" si="64"/>
        <v>1.3299999999999998</v>
      </c>
      <c r="AX257" s="244">
        <f t="shared" si="65"/>
        <v>0</v>
      </c>
      <c r="AY257" s="244">
        <f t="shared" si="66"/>
        <v>1.292</v>
      </c>
      <c r="AZ257">
        <v>1.2467013765066685E-3</v>
      </c>
    </row>
    <row r="258" spans="1:52" ht="15.75" customHeight="1" x14ac:dyDescent="0.35">
      <c r="A258" s="66" t="s">
        <v>611</v>
      </c>
      <c r="B258" s="67" t="s">
        <v>644</v>
      </c>
      <c r="C258" s="67" t="s">
        <v>149</v>
      </c>
      <c r="D258" s="67" t="s">
        <v>150</v>
      </c>
      <c r="E258" s="67" t="s">
        <v>619</v>
      </c>
      <c r="F258" s="67" t="s">
        <v>635</v>
      </c>
      <c r="G258" s="67" t="s">
        <v>52</v>
      </c>
      <c r="H258" s="67" t="s">
        <v>621</v>
      </c>
      <c r="I258" s="67" t="s">
        <v>622</v>
      </c>
      <c r="J258" s="105"/>
      <c r="K258" s="228">
        <v>30</v>
      </c>
      <c r="L258" s="269"/>
      <c r="M258" s="269"/>
      <c r="N258" s="269"/>
      <c r="O258" s="269"/>
      <c r="P258" s="269"/>
      <c r="Q258" s="269"/>
      <c r="R258" s="269"/>
      <c r="S258" s="66" t="s">
        <v>645</v>
      </c>
      <c r="T258" s="70"/>
      <c r="U258" s="238">
        <f t="shared" si="52"/>
        <v>0.55000000000000004</v>
      </c>
      <c r="V258" s="238">
        <f t="shared" si="53"/>
        <v>0</v>
      </c>
      <c r="W258" s="238">
        <f t="shared" si="54"/>
        <v>0.55000000000000004</v>
      </c>
      <c r="X258" s="238">
        <f t="shared" si="55"/>
        <v>0</v>
      </c>
      <c r="Y258" s="238">
        <f t="shared" si="56"/>
        <v>0</v>
      </c>
      <c r="Z258" s="60">
        <v>0.55000000000000004</v>
      </c>
      <c r="AA258" s="60"/>
      <c r="AB258" s="117">
        <v>0.55000000000000004</v>
      </c>
      <c r="AC258" s="117"/>
      <c r="AD258" s="136"/>
      <c r="AE258" s="233"/>
      <c r="AF258" s="72"/>
      <c r="AG258" s="73">
        <v>3.8</v>
      </c>
      <c r="AH258" s="73">
        <v>2.09</v>
      </c>
      <c r="AI258" s="73">
        <v>0</v>
      </c>
      <c r="AJ258" s="73">
        <v>2.09</v>
      </c>
      <c r="AK258" s="73">
        <v>0</v>
      </c>
      <c r="AL258" s="129">
        <v>0</v>
      </c>
      <c r="AM258" s="202">
        <f t="shared" si="57"/>
        <v>1.264436660193235E-4</v>
      </c>
      <c r="AN258" s="202">
        <f t="shared" si="58"/>
        <v>0</v>
      </c>
      <c r="AO258" s="202">
        <f t="shared" si="59"/>
        <v>1.264436660193235E-4</v>
      </c>
      <c r="AP258" s="202">
        <f t="shared" si="60"/>
        <v>0</v>
      </c>
      <c r="AQ258" s="202">
        <f t="shared" si="61"/>
        <v>0</v>
      </c>
      <c r="AR258" s="208" t="s">
        <v>611</v>
      </c>
      <c r="AS258" s="221" t="s">
        <v>1663</v>
      </c>
      <c r="AT258" s="234">
        <v>322120</v>
      </c>
      <c r="AU258" s="244">
        <f t="shared" si="62"/>
        <v>2.09</v>
      </c>
      <c r="AV258" s="244">
        <f t="shared" si="63"/>
        <v>0</v>
      </c>
      <c r="AW258" s="244">
        <f t="shared" si="64"/>
        <v>2.09</v>
      </c>
      <c r="AX258" s="244">
        <f t="shared" si="65"/>
        <v>0</v>
      </c>
      <c r="AY258" s="244">
        <f t="shared" si="66"/>
        <v>0</v>
      </c>
      <c r="AZ258">
        <v>9.9374747402705449E-4</v>
      </c>
    </row>
    <row r="259" spans="1:52" ht="15.75" customHeight="1" x14ac:dyDescent="0.35">
      <c r="A259" s="66" t="s">
        <v>611</v>
      </c>
      <c r="B259" s="67" t="s">
        <v>644</v>
      </c>
      <c r="C259" s="67" t="s">
        <v>260</v>
      </c>
      <c r="D259" s="67" t="s">
        <v>261</v>
      </c>
      <c r="E259" s="67" t="s">
        <v>623</v>
      </c>
      <c r="F259" s="67" t="s">
        <v>624</v>
      </c>
      <c r="G259" s="67" t="s">
        <v>52</v>
      </c>
      <c r="H259" s="67" t="s">
        <v>625</v>
      </c>
      <c r="I259" s="67" t="s">
        <v>626</v>
      </c>
      <c r="J259" s="105"/>
      <c r="K259" s="228">
        <v>30</v>
      </c>
      <c r="L259" s="269"/>
      <c r="M259" s="269"/>
      <c r="N259" s="269"/>
      <c r="O259" s="269"/>
      <c r="P259" s="269"/>
      <c r="Q259" s="269"/>
      <c r="R259" s="269"/>
      <c r="S259" s="66" t="s">
        <v>645</v>
      </c>
      <c r="T259" s="70"/>
      <c r="U259" s="238">
        <f t="shared" si="52"/>
        <v>1.05</v>
      </c>
      <c r="V259" s="238">
        <f t="shared" si="53"/>
        <v>0</v>
      </c>
      <c r="W259" s="238">
        <f t="shared" si="54"/>
        <v>1.05</v>
      </c>
      <c r="X259" s="238">
        <f t="shared" si="55"/>
        <v>0</v>
      </c>
      <c r="Y259" s="238">
        <f t="shared" si="56"/>
        <v>0</v>
      </c>
      <c r="Z259" s="70">
        <v>1.05</v>
      </c>
      <c r="AA259" s="70"/>
      <c r="AB259" s="91">
        <v>1.05</v>
      </c>
      <c r="AC259" s="91"/>
      <c r="AD259" s="92"/>
      <c r="AE259" s="233"/>
      <c r="AF259" s="72"/>
      <c r="AG259" s="73">
        <v>3.8</v>
      </c>
      <c r="AH259" s="73">
        <v>3.9899999999999998</v>
      </c>
      <c r="AI259" s="73">
        <v>0</v>
      </c>
      <c r="AJ259" s="73">
        <v>3.9899999999999998</v>
      </c>
      <c r="AK259" s="73">
        <v>0</v>
      </c>
      <c r="AL259" s="129">
        <v>0</v>
      </c>
      <c r="AM259" s="202">
        <f t="shared" si="57"/>
        <v>2.4139245330961759E-4</v>
      </c>
      <c r="AN259" s="202">
        <f t="shared" si="58"/>
        <v>0</v>
      </c>
      <c r="AO259" s="202">
        <f t="shared" si="59"/>
        <v>2.4139245330961759E-4</v>
      </c>
      <c r="AP259" s="202">
        <f t="shared" si="60"/>
        <v>0</v>
      </c>
      <c r="AQ259" s="202">
        <f t="shared" si="61"/>
        <v>0</v>
      </c>
      <c r="AR259" s="208" t="s">
        <v>611</v>
      </c>
      <c r="AS259" s="221" t="s">
        <v>1663</v>
      </c>
      <c r="AT259" s="234">
        <v>322120</v>
      </c>
      <c r="AU259" s="244">
        <f t="shared" si="62"/>
        <v>3.9899999999999998</v>
      </c>
      <c r="AV259" s="244">
        <f t="shared" si="63"/>
        <v>0</v>
      </c>
      <c r="AW259" s="244">
        <f t="shared" si="64"/>
        <v>3.9899999999999998</v>
      </c>
      <c r="AX259" s="244">
        <f t="shared" si="65"/>
        <v>0</v>
      </c>
      <c r="AY259" s="244">
        <f t="shared" si="66"/>
        <v>0</v>
      </c>
      <c r="AZ259">
        <v>1.897154268597104E-3</v>
      </c>
    </row>
    <row r="260" spans="1:52" ht="15.75" customHeight="1" x14ac:dyDescent="0.35">
      <c r="A260" s="66" t="s">
        <v>611</v>
      </c>
      <c r="B260" s="67" t="s">
        <v>644</v>
      </c>
      <c r="C260" s="67" t="s">
        <v>74</v>
      </c>
      <c r="D260" s="67" t="s">
        <v>75</v>
      </c>
      <c r="E260" s="67" t="s">
        <v>75</v>
      </c>
      <c r="F260" s="67" t="s">
        <v>627</v>
      </c>
      <c r="G260" s="67" t="s">
        <v>52</v>
      </c>
      <c r="H260" s="67" t="s">
        <v>160</v>
      </c>
      <c r="I260" s="67" t="s">
        <v>628</v>
      </c>
      <c r="J260" s="68">
        <v>0.8</v>
      </c>
      <c r="K260" s="228">
        <f t="shared" si="51"/>
        <v>190</v>
      </c>
      <c r="L260" s="269">
        <v>190</v>
      </c>
      <c r="M260" s="269">
        <v>22</v>
      </c>
      <c r="N260" s="269">
        <v>60</v>
      </c>
      <c r="O260" s="269">
        <v>1</v>
      </c>
      <c r="P260" s="269"/>
      <c r="Q260" s="269"/>
      <c r="R260" s="269"/>
      <c r="S260" s="66" t="s">
        <v>645</v>
      </c>
      <c r="T260" s="70"/>
      <c r="U260" s="238">
        <f t="shared" si="52"/>
        <v>8.370000000000001</v>
      </c>
      <c r="V260" s="238">
        <f t="shared" si="53"/>
        <v>0</v>
      </c>
      <c r="W260" s="238">
        <f t="shared" si="54"/>
        <v>0.23</v>
      </c>
      <c r="X260" s="238">
        <f t="shared" si="55"/>
        <v>0</v>
      </c>
      <c r="Y260" s="238">
        <f t="shared" si="56"/>
        <v>8.14</v>
      </c>
      <c r="Z260" s="70">
        <v>8.370000000000001</v>
      </c>
      <c r="AA260" s="70"/>
      <c r="AB260" s="91">
        <v>0.23</v>
      </c>
      <c r="AC260" s="91"/>
      <c r="AD260" s="92">
        <v>8.14</v>
      </c>
      <c r="AE260" s="233">
        <v>136</v>
      </c>
      <c r="AF260" s="107">
        <v>3.3</v>
      </c>
      <c r="AG260" s="73">
        <v>3.8</v>
      </c>
      <c r="AH260" s="73">
        <v>31.806000000000001</v>
      </c>
      <c r="AI260" s="73">
        <v>0</v>
      </c>
      <c r="AJ260" s="73">
        <v>0.874</v>
      </c>
      <c r="AK260" s="73">
        <v>0</v>
      </c>
      <c r="AL260" s="129">
        <v>30.932000000000002</v>
      </c>
      <c r="AM260" s="202">
        <f t="shared" si="57"/>
        <v>1.9242426992395233E-3</v>
      </c>
      <c r="AN260" s="202">
        <f t="shared" si="58"/>
        <v>0</v>
      </c>
      <c r="AO260" s="202">
        <f t="shared" si="59"/>
        <v>5.2876442153535282E-5</v>
      </c>
      <c r="AP260" s="202">
        <f t="shared" si="60"/>
        <v>0</v>
      </c>
      <c r="AQ260" s="202">
        <f t="shared" si="61"/>
        <v>1.8713662570859881E-3</v>
      </c>
      <c r="AR260" s="208" t="s">
        <v>611</v>
      </c>
      <c r="AS260" s="221" t="s">
        <v>1663</v>
      </c>
      <c r="AT260" s="234">
        <v>322120</v>
      </c>
      <c r="AU260" s="244">
        <f t="shared" si="62"/>
        <v>31.806000000000001</v>
      </c>
      <c r="AV260" s="244">
        <f t="shared" si="63"/>
        <v>0</v>
      </c>
      <c r="AW260" s="244">
        <f t="shared" si="64"/>
        <v>0.874</v>
      </c>
      <c r="AX260" s="244">
        <f t="shared" si="65"/>
        <v>0</v>
      </c>
      <c r="AY260" s="244">
        <f t="shared" si="66"/>
        <v>30.932000000000002</v>
      </c>
      <c r="AZ260">
        <v>1.5123029741102632E-2</v>
      </c>
    </row>
    <row r="261" spans="1:52" ht="15" customHeight="1" x14ac:dyDescent="0.35">
      <c r="A261" s="77" t="s">
        <v>611</v>
      </c>
      <c r="B261" s="78" t="s">
        <v>644</v>
      </c>
      <c r="C261" s="81" t="s">
        <v>270</v>
      </c>
      <c r="D261" s="78" t="s">
        <v>271</v>
      </c>
      <c r="E261" s="78" t="s">
        <v>629</v>
      </c>
      <c r="F261" s="78" t="s">
        <v>630</v>
      </c>
      <c r="G261" s="78" t="s">
        <v>52</v>
      </c>
      <c r="H261" s="78" t="s">
        <v>631</v>
      </c>
      <c r="I261" s="137" t="s">
        <v>632</v>
      </c>
      <c r="J261" s="111"/>
      <c r="K261" s="228">
        <v>30</v>
      </c>
      <c r="L261" s="269"/>
      <c r="M261" s="269"/>
      <c r="N261" s="269"/>
      <c r="O261" s="269"/>
      <c r="P261" s="269"/>
      <c r="Q261" s="269"/>
      <c r="R261" s="269"/>
      <c r="S261" s="77" t="s">
        <v>645</v>
      </c>
      <c r="T261" s="82"/>
      <c r="U261" s="238">
        <f t="shared" ref="U261:U324" si="67">ABS(Z261)</f>
        <v>0.2</v>
      </c>
      <c r="V261" s="238">
        <f t="shared" ref="V261:V324" si="68">ABS(AA261)</f>
        <v>0</v>
      </c>
      <c r="W261" s="238">
        <f t="shared" ref="W261:W324" si="69">ABS(AB261)</f>
        <v>0.2</v>
      </c>
      <c r="X261" s="238">
        <f t="shared" ref="X261:X324" si="70">ABS(AC261)</f>
        <v>0</v>
      </c>
      <c r="Y261" s="238">
        <f t="shared" ref="Y261:Y324" si="71">ABS(AD261)</f>
        <v>0</v>
      </c>
      <c r="Z261" s="70">
        <v>0.2</v>
      </c>
      <c r="AA261" s="70"/>
      <c r="AB261" s="91">
        <v>0.2</v>
      </c>
      <c r="AC261" s="91"/>
      <c r="AD261" s="92"/>
      <c r="AE261" s="81"/>
      <c r="AF261" s="84"/>
      <c r="AG261" s="85">
        <v>3.8</v>
      </c>
      <c r="AH261" s="85">
        <v>0.76</v>
      </c>
      <c r="AI261" s="85">
        <v>0</v>
      </c>
      <c r="AJ261" s="85">
        <v>0.76</v>
      </c>
      <c r="AK261" s="85">
        <v>0</v>
      </c>
      <c r="AL261" s="133">
        <v>0</v>
      </c>
      <c r="AM261" s="202">
        <f t="shared" ref="AM261:AM324" si="72">AH261/16529.1</f>
        <v>4.597951491611764E-5</v>
      </c>
      <c r="AN261" s="202">
        <f t="shared" ref="AN261:AN324" si="73">AI261/16529.1</f>
        <v>0</v>
      </c>
      <c r="AO261" s="202">
        <f t="shared" ref="AO261:AO324" si="74">AJ261/16529.1</f>
        <v>4.597951491611764E-5</v>
      </c>
      <c r="AP261" s="202">
        <f t="shared" ref="AP261:AP324" si="75">AK261/16529.1</f>
        <v>0</v>
      </c>
      <c r="AQ261" s="202">
        <f t="shared" ref="AQ261:AQ324" si="76">AL261/16529.1</f>
        <v>0</v>
      </c>
      <c r="AR261" s="212" t="s">
        <v>611</v>
      </c>
      <c r="AS261" s="221" t="s">
        <v>1663</v>
      </c>
      <c r="AT261" s="234">
        <v>322120</v>
      </c>
      <c r="AU261" s="244">
        <f t="shared" ref="AU261:AU324" si="77">ABS(AH261)</f>
        <v>0.76</v>
      </c>
      <c r="AV261" s="244">
        <f t="shared" ref="AV261:AV324" si="78">ABS(AI261)</f>
        <v>0</v>
      </c>
      <c r="AW261" s="244">
        <f t="shared" ref="AW261:AW324" si="79">ABS(AJ261)</f>
        <v>0.76</v>
      </c>
      <c r="AX261" s="244">
        <f t="shared" ref="AX261:AX324" si="80">ABS(AK261)</f>
        <v>0</v>
      </c>
      <c r="AY261" s="244">
        <f t="shared" ref="AY261:AY324" si="81">ABS(AL261)</f>
        <v>0</v>
      </c>
      <c r="AZ261">
        <v>3.6136271782801984E-4</v>
      </c>
    </row>
    <row r="262" spans="1:52" ht="15" customHeight="1" x14ac:dyDescent="0.35">
      <c r="A262" s="66" t="s">
        <v>646</v>
      </c>
      <c r="B262" s="67" t="s">
        <v>647</v>
      </c>
      <c r="C262" s="233" t="s">
        <v>99</v>
      </c>
      <c r="D262" s="67" t="s">
        <v>613</v>
      </c>
      <c r="E262" s="67" t="s">
        <v>588</v>
      </c>
      <c r="F262" s="67" t="s">
        <v>589</v>
      </c>
      <c r="G262" s="67" t="s">
        <v>52</v>
      </c>
      <c r="H262" s="67" t="s">
        <v>590</v>
      </c>
      <c r="I262" s="67" t="s">
        <v>591</v>
      </c>
      <c r="J262" s="105"/>
      <c r="K262" s="228">
        <v>30</v>
      </c>
      <c r="L262" s="269"/>
      <c r="M262" s="269"/>
      <c r="N262" s="269"/>
      <c r="O262" s="269"/>
      <c r="P262" s="269"/>
      <c r="Q262" s="269"/>
      <c r="R262" s="269"/>
      <c r="S262" s="67" t="s">
        <v>648</v>
      </c>
      <c r="T262" s="70"/>
      <c r="U262" s="238">
        <f t="shared" si="67"/>
        <v>0.36</v>
      </c>
      <c r="V262" s="238">
        <f t="shared" si="68"/>
        <v>0</v>
      </c>
      <c r="W262" s="238">
        <f t="shared" si="69"/>
        <v>0.36</v>
      </c>
      <c r="X262" s="238">
        <f t="shared" si="70"/>
        <v>0</v>
      </c>
      <c r="Y262" s="238">
        <f t="shared" si="71"/>
        <v>0</v>
      </c>
      <c r="Z262" s="82">
        <v>0.36</v>
      </c>
      <c r="AA262" s="82"/>
      <c r="AB262" s="99">
        <v>0.36</v>
      </c>
      <c r="AC262" s="99"/>
      <c r="AD262" s="100"/>
      <c r="AE262" s="233" t="s">
        <v>638</v>
      </c>
      <c r="AF262" s="72" t="s">
        <v>639</v>
      </c>
      <c r="AG262" s="73">
        <v>30.85</v>
      </c>
      <c r="AH262" s="73">
        <v>11.106</v>
      </c>
      <c r="AI262" s="73">
        <v>0</v>
      </c>
      <c r="AJ262" s="73">
        <v>11.106</v>
      </c>
      <c r="AK262" s="73">
        <v>0</v>
      </c>
      <c r="AL262" s="129">
        <v>0</v>
      </c>
      <c r="AM262" s="202">
        <f t="shared" si="72"/>
        <v>6.7190591139263485E-4</v>
      </c>
      <c r="AN262" s="202">
        <f t="shared" si="73"/>
        <v>0</v>
      </c>
      <c r="AO262" s="202">
        <f t="shared" si="74"/>
        <v>6.7190591139263485E-4</v>
      </c>
      <c r="AP262" s="202">
        <f t="shared" si="75"/>
        <v>0</v>
      </c>
      <c r="AQ262" s="202">
        <f t="shared" si="76"/>
        <v>0</v>
      </c>
      <c r="AR262" s="208" t="s">
        <v>646</v>
      </c>
      <c r="AS262" s="221" t="s">
        <v>1663</v>
      </c>
      <c r="AT262" s="234">
        <v>322130</v>
      </c>
      <c r="AU262" s="244">
        <f t="shared" si="77"/>
        <v>11.106</v>
      </c>
      <c r="AV262" s="244">
        <f t="shared" si="78"/>
        <v>0</v>
      </c>
      <c r="AW262" s="244">
        <f t="shared" si="79"/>
        <v>11.106</v>
      </c>
      <c r="AX262" s="244">
        <f t="shared" si="80"/>
        <v>0</v>
      </c>
      <c r="AY262" s="244">
        <f t="shared" si="81"/>
        <v>0</v>
      </c>
      <c r="AZ262">
        <v>5.2806504528920897E-3</v>
      </c>
    </row>
    <row r="263" spans="1:52" ht="15" customHeight="1" x14ac:dyDescent="0.35">
      <c r="A263" s="66" t="s">
        <v>646</v>
      </c>
      <c r="B263" s="67" t="s">
        <v>647</v>
      </c>
      <c r="C263" s="233" t="s">
        <v>48</v>
      </c>
      <c r="D263" s="67" t="s">
        <v>593</v>
      </c>
      <c r="E263" s="67" t="s">
        <v>594</v>
      </c>
      <c r="F263" s="67" t="s">
        <v>595</v>
      </c>
      <c r="G263" s="67" t="s">
        <v>596</v>
      </c>
      <c r="H263" s="67" t="s">
        <v>476</v>
      </c>
      <c r="I263" s="67" t="s">
        <v>597</v>
      </c>
      <c r="J263" s="105">
        <v>0.74560000000000004</v>
      </c>
      <c r="K263" s="228">
        <f t="shared" ref="K263:K311" si="82">L263*1</f>
        <v>170</v>
      </c>
      <c r="L263" s="269">
        <v>170</v>
      </c>
      <c r="M263" s="269">
        <v>22</v>
      </c>
      <c r="N263" s="269">
        <v>170</v>
      </c>
      <c r="O263" s="269">
        <v>3.5</v>
      </c>
      <c r="P263" s="269">
        <v>1</v>
      </c>
      <c r="Q263" s="269">
        <v>1</v>
      </c>
      <c r="R263" s="269" t="s">
        <v>193</v>
      </c>
      <c r="S263" s="67" t="s">
        <v>648</v>
      </c>
      <c r="T263" s="70"/>
      <c r="U263" s="238">
        <f t="shared" si="67"/>
        <v>3.98</v>
      </c>
      <c r="V263" s="238">
        <f t="shared" si="68"/>
        <v>0</v>
      </c>
      <c r="W263" s="238">
        <f t="shared" si="69"/>
        <v>0.22</v>
      </c>
      <c r="X263" s="238">
        <f t="shared" si="70"/>
        <v>0</v>
      </c>
      <c r="Y263" s="238">
        <f t="shared" si="71"/>
        <v>3.76</v>
      </c>
      <c r="Z263" s="70">
        <v>3.98</v>
      </c>
      <c r="AA263" s="70"/>
      <c r="AB263" s="91">
        <v>0.22</v>
      </c>
      <c r="AC263" s="91"/>
      <c r="AD263" s="92">
        <v>3.76</v>
      </c>
      <c r="AE263" s="233">
        <v>170</v>
      </c>
      <c r="AF263" s="72">
        <v>8</v>
      </c>
      <c r="AG263" s="73">
        <v>30.85</v>
      </c>
      <c r="AH263" s="73">
        <v>122.783</v>
      </c>
      <c r="AI263" s="73">
        <v>0</v>
      </c>
      <c r="AJ263" s="73">
        <v>6.7869999999999999</v>
      </c>
      <c r="AK263" s="73">
        <v>0</v>
      </c>
      <c r="AL263" s="129">
        <v>115.996</v>
      </c>
      <c r="AM263" s="202">
        <f t="shared" si="72"/>
        <v>7.4282931315074636E-3</v>
      </c>
      <c r="AN263" s="202">
        <f t="shared" si="73"/>
        <v>0</v>
      </c>
      <c r="AO263" s="202">
        <f t="shared" si="74"/>
        <v>4.1060916807327685E-4</v>
      </c>
      <c r="AP263" s="202">
        <f t="shared" si="75"/>
        <v>0</v>
      </c>
      <c r="AQ263" s="202">
        <f t="shared" si="76"/>
        <v>7.017683963434186E-3</v>
      </c>
      <c r="AR263" s="208" t="s">
        <v>646</v>
      </c>
      <c r="AS263" s="221" t="s">
        <v>1663</v>
      </c>
      <c r="AT263" s="234">
        <v>322130</v>
      </c>
      <c r="AU263" s="244">
        <f t="shared" si="77"/>
        <v>122.783</v>
      </c>
      <c r="AV263" s="244">
        <f t="shared" si="78"/>
        <v>0</v>
      </c>
      <c r="AW263" s="244">
        <f t="shared" si="79"/>
        <v>6.7869999999999999</v>
      </c>
      <c r="AX263" s="244">
        <f t="shared" si="80"/>
        <v>0</v>
      </c>
      <c r="AY263" s="244">
        <f t="shared" si="81"/>
        <v>115.996</v>
      </c>
      <c r="AZ263">
        <v>5.8380524451418107E-2</v>
      </c>
    </row>
    <row r="264" spans="1:52" ht="15" customHeight="1" x14ac:dyDescent="0.35">
      <c r="A264" s="66" t="s">
        <v>646</v>
      </c>
      <c r="B264" s="67" t="s">
        <v>647</v>
      </c>
      <c r="C264" s="233" t="s">
        <v>154</v>
      </c>
      <c r="D264" s="67" t="s">
        <v>162</v>
      </c>
      <c r="E264" s="67" t="s">
        <v>598</v>
      </c>
      <c r="F264" s="67" t="s">
        <v>595</v>
      </c>
      <c r="G264" s="67" t="s">
        <v>52</v>
      </c>
      <c r="H264" s="67" t="s">
        <v>444</v>
      </c>
      <c r="I264" s="67" t="s">
        <v>599</v>
      </c>
      <c r="J264" s="105"/>
      <c r="K264" s="228">
        <v>30</v>
      </c>
      <c r="L264" s="269"/>
      <c r="M264" s="269"/>
      <c r="N264" s="269"/>
      <c r="O264" s="269"/>
      <c r="P264" s="269"/>
      <c r="Q264" s="269"/>
      <c r="R264" s="269"/>
      <c r="S264" s="67" t="s">
        <v>648</v>
      </c>
      <c r="T264" s="70"/>
      <c r="U264" s="238">
        <f t="shared" si="67"/>
        <v>0.78</v>
      </c>
      <c r="V264" s="238">
        <f t="shared" si="68"/>
        <v>0</v>
      </c>
      <c r="W264" s="238">
        <f t="shared" si="69"/>
        <v>0.78</v>
      </c>
      <c r="X264" s="238">
        <f t="shared" si="70"/>
        <v>0</v>
      </c>
      <c r="Y264" s="238">
        <f t="shared" si="71"/>
        <v>0</v>
      </c>
      <c r="Z264" s="70">
        <v>0.78</v>
      </c>
      <c r="AA264" s="70"/>
      <c r="AB264" s="91">
        <v>0.78</v>
      </c>
      <c r="AC264" s="91"/>
      <c r="AD264" s="92"/>
      <c r="AE264" s="233"/>
      <c r="AF264" s="72"/>
      <c r="AG264" s="73">
        <v>30.85</v>
      </c>
      <c r="AH264" s="73">
        <v>24.063000000000002</v>
      </c>
      <c r="AI264" s="73">
        <v>0</v>
      </c>
      <c r="AJ264" s="73">
        <v>24.063000000000002</v>
      </c>
      <c r="AK264" s="73">
        <v>0</v>
      </c>
      <c r="AL264" s="129">
        <v>0</v>
      </c>
      <c r="AM264" s="202">
        <f t="shared" si="72"/>
        <v>1.455796141350709E-3</v>
      </c>
      <c r="AN264" s="202">
        <f t="shared" si="73"/>
        <v>0</v>
      </c>
      <c r="AO264" s="202">
        <f t="shared" si="74"/>
        <v>1.455796141350709E-3</v>
      </c>
      <c r="AP264" s="202">
        <f t="shared" si="75"/>
        <v>0</v>
      </c>
      <c r="AQ264" s="202">
        <f t="shared" si="76"/>
        <v>0</v>
      </c>
      <c r="AR264" s="208" t="s">
        <v>646</v>
      </c>
      <c r="AS264" s="221" t="s">
        <v>1663</v>
      </c>
      <c r="AT264" s="234">
        <v>322130</v>
      </c>
      <c r="AU264" s="244">
        <f t="shared" si="77"/>
        <v>24.063000000000002</v>
      </c>
      <c r="AV264" s="244">
        <f t="shared" si="78"/>
        <v>0</v>
      </c>
      <c r="AW264" s="244">
        <f t="shared" si="79"/>
        <v>24.063000000000002</v>
      </c>
      <c r="AX264" s="244">
        <f t="shared" si="80"/>
        <v>0</v>
      </c>
      <c r="AY264" s="244">
        <f t="shared" si="81"/>
        <v>0</v>
      </c>
      <c r="AZ264">
        <v>1.144140931459953E-2</v>
      </c>
    </row>
    <row r="265" spans="1:52" ht="15" customHeight="1" x14ac:dyDescent="0.35">
      <c r="A265" s="66" t="s">
        <v>646</v>
      </c>
      <c r="B265" s="67" t="s">
        <v>647</v>
      </c>
      <c r="C265" s="67" t="s">
        <v>74</v>
      </c>
      <c r="D265" s="67" t="s">
        <v>140</v>
      </c>
      <c r="E265" s="67" t="s">
        <v>600</v>
      </c>
      <c r="F265" s="67" t="s">
        <v>601</v>
      </c>
      <c r="G265" s="67" t="s">
        <v>52</v>
      </c>
      <c r="H265" s="67" t="s">
        <v>143</v>
      </c>
      <c r="I265" s="67" t="s">
        <v>492</v>
      </c>
      <c r="J265" s="105">
        <v>0.74560000000000004</v>
      </c>
      <c r="K265" s="228">
        <f t="shared" si="82"/>
        <v>101</v>
      </c>
      <c r="L265" s="269">
        <v>101</v>
      </c>
      <c r="M265" s="269">
        <v>53</v>
      </c>
      <c r="N265" s="269">
        <v>122</v>
      </c>
      <c r="O265" s="269">
        <v>0.08</v>
      </c>
      <c r="P265" s="269">
        <v>2.2000000000000002</v>
      </c>
      <c r="Q265" s="269">
        <v>0.08</v>
      </c>
      <c r="R265" s="269"/>
      <c r="S265" s="67" t="s">
        <v>648</v>
      </c>
      <c r="T265" s="70"/>
      <c r="U265" s="238">
        <f t="shared" si="67"/>
        <v>4.8500000000000005</v>
      </c>
      <c r="V265" s="238">
        <f t="shared" si="68"/>
        <v>0</v>
      </c>
      <c r="W265" s="238">
        <f t="shared" si="69"/>
        <v>0.15</v>
      </c>
      <c r="X265" s="238">
        <f t="shared" si="70"/>
        <v>0</v>
      </c>
      <c r="Y265" s="238">
        <f t="shared" si="71"/>
        <v>4.7</v>
      </c>
      <c r="Z265" s="70">
        <v>4.8500000000000005</v>
      </c>
      <c r="AA265" s="70"/>
      <c r="AB265" s="91">
        <v>0.15</v>
      </c>
      <c r="AC265" s="91"/>
      <c r="AD265" s="92">
        <v>4.7</v>
      </c>
      <c r="AE265" s="233">
        <v>150</v>
      </c>
      <c r="AF265" s="72">
        <v>4.8</v>
      </c>
      <c r="AG265" s="73">
        <v>30.85</v>
      </c>
      <c r="AH265" s="73">
        <v>149.62250000000003</v>
      </c>
      <c r="AI265" s="73">
        <v>0</v>
      </c>
      <c r="AJ265" s="73">
        <v>4.6275000000000004</v>
      </c>
      <c r="AK265" s="73">
        <v>0</v>
      </c>
      <c r="AL265" s="129">
        <v>144.995</v>
      </c>
      <c r="AM265" s="202">
        <f t="shared" si="72"/>
        <v>9.0520657507063319E-3</v>
      </c>
      <c r="AN265" s="202">
        <f t="shared" si="73"/>
        <v>0</v>
      </c>
      <c r="AO265" s="202">
        <f t="shared" si="74"/>
        <v>2.7996079641359788E-4</v>
      </c>
      <c r="AP265" s="202">
        <f t="shared" si="75"/>
        <v>0</v>
      </c>
      <c r="AQ265" s="202">
        <f t="shared" si="76"/>
        <v>8.7721049542927327E-3</v>
      </c>
      <c r="AR265" s="208" t="s">
        <v>646</v>
      </c>
      <c r="AS265" s="221" t="s">
        <v>1663</v>
      </c>
      <c r="AT265" s="234">
        <v>322130</v>
      </c>
      <c r="AU265" s="244">
        <f t="shared" si="77"/>
        <v>149.62250000000003</v>
      </c>
      <c r="AV265" s="244">
        <f t="shared" si="78"/>
        <v>0</v>
      </c>
      <c r="AW265" s="244">
        <f t="shared" si="79"/>
        <v>4.6275000000000004</v>
      </c>
      <c r="AX265" s="244">
        <f t="shared" si="80"/>
        <v>0</v>
      </c>
      <c r="AY265" s="244">
        <f t="shared" si="81"/>
        <v>144.995</v>
      </c>
      <c r="AZ265">
        <v>7.1142096379240669E-2</v>
      </c>
    </row>
    <row r="266" spans="1:52" ht="15" customHeight="1" x14ac:dyDescent="0.35">
      <c r="A266" s="66" t="s">
        <v>646</v>
      </c>
      <c r="B266" s="67" t="s">
        <v>647</v>
      </c>
      <c r="C266" s="67" t="s">
        <v>48</v>
      </c>
      <c r="D266" s="67" t="s">
        <v>484</v>
      </c>
      <c r="E266" s="67" t="s">
        <v>484</v>
      </c>
      <c r="F266" s="67" t="s">
        <v>602</v>
      </c>
      <c r="G266" s="67" t="s">
        <v>52</v>
      </c>
      <c r="H266" s="67" t="s">
        <v>115</v>
      </c>
      <c r="I266" s="67" t="s">
        <v>603</v>
      </c>
      <c r="J266" s="105">
        <v>0.6</v>
      </c>
      <c r="K266" s="228">
        <f t="shared" si="82"/>
        <v>1000</v>
      </c>
      <c r="L266" s="269">
        <v>1000</v>
      </c>
      <c r="M266" s="269">
        <v>200</v>
      </c>
      <c r="N266" s="269">
        <v>300</v>
      </c>
      <c r="O266" s="269">
        <v>1</v>
      </c>
      <c r="P266" s="269">
        <v>1</v>
      </c>
      <c r="Q266" s="269">
        <v>1</v>
      </c>
      <c r="R266" s="269"/>
      <c r="S266" s="67" t="s">
        <v>648</v>
      </c>
      <c r="T266" s="70"/>
      <c r="U266" s="238">
        <f t="shared" si="67"/>
        <v>2.2000000000000002</v>
      </c>
      <c r="V266" s="238">
        <f t="shared" si="68"/>
        <v>0</v>
      </c>
      <c r="W266" s="238">
        <f t="shared" si="69"/>
        <v>0</v>
      </c>
      <c r="X266" s="238">
        <f t="shared" si="70"/>
        <v>2.2000000000000002</v>
      </c>
      <c r="Y266" s="238">
        <f t="shared" si="71"/>
        <v>0</v>
      </c>
      <c r="Z266" s="70">
        <v>2.2000000000000002</v>
      </c>
      <c r="AA266" s="70"/>
      <c r="AB266" s="91"/>
      <c r="AC266" s="91">
        <v>2.2000000000000002</v>
      </c>
      <c r="AD266" s="92"/>
      <c r="AE266" s="233"/>
      <c r="AF266" s="72"/>
      <c r="AG266" s="73">
        <v>30.85</v>
      </c>
      <c r="AH266" s="73">
        <v>67.87</v>
      </c>
      <c r="AI266" s="73">
        <v>0</v>
      </c>
      <c r="AJ266" s="73">
        <v>0</v>
      </c>
      <c r="AK266" s="73">
        <v>67.87</v>
      </c>
      <c r="AL266" s="129">
        <v>0</v>
      </c>
      <c r="AM266" s="202">
        <f t="shared" si="72"/>
        <v>4.1060916807327688E-3</v>
      </c>
      <c r="AN266" s="202">
        <f t="shared" si="73"/>
        <v>0</v>
      </c>
      <c r="AO266" s="202">
        <f t="shared" si="74"/>
        <v>0</v>
      </c>
      <c r="AP266" s="202">
        <f t="shared" si="75"/>
        <v>4.1060916807327688E-3</v>
      </c>
      <c r="AQ266" s="202">
        <f t="shared" si="76"/>
        <v>0</v>
      </c>
      <c r="AR266" s="208" t="s">
        <v>646</v>
      </c>
      <c r="AS266" s="221" t="s">
        <v>1663</v>
      </c>
      <c r="AT266" s="234">
        <v>322130</v>
      </c>
      <c r="AU266" s="244">
        <f t="shared" si="77"/>
        <v>67.87</v>
      </c>
      <c r="AV266" s="244">
        <f t="shared" si="78"/>
        <v>0</v>
      </c>
      <c r="AW266" s="244">
        <f t="shared" si="79"/>
        <v>0</v>
      </c>
      <c r="AX266" s="244">
        <f t="shared" si="80"/>
        <v>67.87</v>
      </c>
      <c r="AY266" s="244">
        <f t="shared" si="81"/>
        <v>0</v>
      </c>
      <c r="AZ266">
        <v>3.2270641656562779E-2</v>
      </c>
    </row>
    <row r="267" spans="1:52" ht="15" customHeight="1" x14ac:dyDescent="0.35">
      <c r="A267" s="66" t="s">
        <v>646</v>
      </c>
      <c r="B267" s="67" t="s">
        <v>647</v>
      </c>
      <c r="C267" s="67" t="s">
        <v>48</v>
      </c>
      <c r="D267" s="67" t="s">
        <v>604</v>
      </c>
      <c r="E267" s="67" t="s">
        <v>605</v>
      </c>
      <c r="F267" s="67" t="s">
        <v>606</v>
      </c>
      <c r="G267" s="67" t="s">
        <v>52</v>
      </c>
      <c r="H267" s="67" t="s">
        <v>607</v>
      </c>
      <c r="I267" s="67" t="s">
        <v>607</v>
      </c>
      <c r="J267" s="105">
        <v>0.74560000000000004</v>
      </c>
      <c r="K267" s="228">
        <f t="shared" si="82"/>
        <v>90</v>
      </c>
      <c r="L267" s="269">
        <v>90</v>
      </c>
      <c r="M267" s="269">
        <v>90</v>
      </c>
      <c r="N267" s="269">
        <v>90</v>
      </c>
      <c r="O267" s="269"/>
      <c r="P267" s="269"/>
      <c r="Q267" s="269"/>
      <c r="R267" s="269"/>
      <c r="S267" s="67" t="s">
        <v>648</v>
      </c>
      <c r="T267" s="70"/>
      <c r="U267" s="238">
        <f t="shared" si="67"/>
        <v>5.64</v>
      </c>
      <c r="V267" s="238">
        <f t="shared" si="68"/>
        <v>0</v>
      </c>
      <c r="W267" s="238">
        <f t="shared" si="69"/>
        <v>0.42</v>
      </c>
      <c r="X267" s="238">
        <f t="shared" si="70"/>
        <v>0</v>
      </c>
      <c r="Y267" s="238">
        <f t="shared" si="71"/>
        <v>5.22</v>
      </c>
      <c r="Z267" s="70">
        <v>5.64</v>
      </c>
      <c r="AA267" s="70"/>
      <c r="AB267" s="91">
        <v>0.42</v>
      </c>
      <c r="AC267" s="91"/>
      <c r="AD267" s="92">
        <v>5.22</v>
      </c>
      <c r="AE267" s="233">
        <v>110</v>
      </c>
      <c r="AF267" s="72">
        <v>1.4</v>
      </c>
      <c r="AG267" s="73">
        <v>8.48</v>
      </c>
      <c r="AH267" s="73">
        <v>47.827199999999998</v>
      </c>
      <c r="AI267" s="73">
        <v>0</v>
      </c>
      <c r="AJ267" s="73">
        <v>3.5615999999999999</v>
      </c>
      <c r="AK267" s="73">
        <v>0</v>
      </c>
      <c r="AL267" s="129">
        <v>44.265599999999999</v>
      </c>
      <c r="AM267" s="202">
        <f t="shared" si="72"/>
        <v>2.8935150734159757E-3</v>
      </c>
      <c r="AN267" s="202">
        <f t="shared" si="73"/>
        <v>0</v>
      </c>
      <c r="AO267" s="202">
        <f t="shared" si="74"/>
        <v>2.1547452674374287E-4</v>
      </c>
      <c r="AP267" s="202">
        <f t="shared" si="75"/>
        <v>0</v>
      </c>
      <c r="AQ267" s="202">
        <f t="shared" si="76"/>
        <v>2.6780405466722327E-3</v>
      </c>
      <c r="AR267" s="208" t="s">
        <v>646</v>
      </c>
      <c r="AS267" s="221" t="s">
        <v>1663</v>
      </c>
      <c r="AT267" s="234">
        <v>322130</v>
      </c>
      <c r="AU267" s="244">
        <f t="shared" si="77"/>
        <v>47.827199999999998</v>
      </c>
      <c r="AV267" s="244">
        <f t="shared" si="78"/>
        <v>0</v>
      </c>
      <c r="AW267" s="244">
        <f t="shared" si="79"/>
        <v>3.5615999999999999</v>
      </c>
      <c r="AX267" s="244">
        <f t="shared" si="80"/>
        <v>0</v>
      </c>
      <c r="AY267" s="244">
        <f t="shared" si="81"/>
        <v>44.265599999999999</v>
      </c>
      <c r="AZ267">
        <v>2.2740746023821409E-2</v>
      </c>
    </row>
    <row r="268" spans="1:52" ht="15" customHeight="1" x14ac:dyDescent="0.35">
      <c r="A268" s="66" t="s">
        <v>646</v>
      </c>
      <c r="B268" s="67" t="s">
        <v>647</v>
      </c>
      <c r="C268" s="67" t="s">
        <v>149</v>
      </c>
      <c r="D268" s="67" t="s">
        <v>150</v>
      </c>
      <c r="E268" s="67" t="s">
        <v>619</v>
      </c>
      <c r="F268" s="67" t="s">
        <v>620</v>
      </c>
      <c r="G268" s="67" t="s">
        <v>52</v>
      </c>
      <c r="H268" s="67" t="s">
        <v>621</v>
      </c>
      <c r="I268" s="67" t="s">
        <v>622</v>
      </c>
      <c r="J268" s="105"/>
      <c r="K268" s="228">
        <v>30</v>
      </c>
      <c r="L268" s="269"/>
      <c r="M268" s="269"/>
      <c r="N268" s="269"/>
      <c r="O268" s="269"/>
      <c r="P268" s="269"/>
      <c r="Q268" s="269"/>
      <c r="R268" s="269"/>
      <c r="S268" s="67" t="s">
        <v>648</v>
      </c>
      <c r="T268" s="70"/>
      <c r="U268" s="238">
        <f t="shared" si="67"/>
        <v>1.37</v>
      </c>
      <c r="V268" s="238">
        <f t="shared" si="68"/>
        <v>0</v>
      </c>
      <c r="W268" s="238">
        <f t="shared" si="69"/>
        <v>0.9</v>
      </c>
      <c r="X268" s="238">
        <f t="shared" si="70"/>
        <v>0</v>
      </c>
      <c r="Y268" s="238">
        <f t="shared" si="71"/>
        <v>0.47</v>
      </c>
      <c r="Z268" s="70">
        <v>1.37</v>
      </c>
      <c r="AA268" s="70"/>
      <c r="AB268" s="91">
        <v>0.9</v>
      </c>
      <c r="AC268" s="91"/>
      <c r="AD268" s="92">
        <v>0.47</v>
      </c>
      <c r="AE268" s="233"/>
      <c r="AF268" s="72"/>
      <c r="AG268" s="73">
        <v>50.95</v>
      </c>
      <c r="AH268" s="73">
        <v>69.801500000000004</v>
      </c>
      <c r="AI268" s="73">
        <v>0</v>
      </c>
      <c r="AJ268" s="73">
        <v>45.855000000000004</v>
      </c>
      <c r="AK268" s="73">
        <v>0</v>
      </c>
      <c r="AL268" s="129">
        <v>23.9465</v>
      </c>
      <c r="AM268" s="202">
        <f t="shared" si="72"/>
        <v>4.2229461979176128E-3</v>
      </c>
      <c r="AN268" s="202">
        <f t="shared" si="73"/>
        <v>0</v>
      </c>
      <c r="AO268" s="202">
        <f t="shared" si="74"/>
        <v>2.7741982322086506E-3</v>
      </c>
      <c r="AP268" s="202">
        <f t="shared" si="75"/>
        <v>0</v>
      </c>
      <c r="AQ268" s="202">
        <f t="shared" si="76"/>
        <v>1.4487479657089618E-3</v>
      </c>
      <c r="AR268" s="208" t="s">
        <v>646</v>
      </c>
      <c r="AS268" s="221" t="s">
        <v>1663</v>
      </c>
      <c r="AT268" s="234">
        <v>322130</v>
      </c>
      <c r="AU268" s="244">
        <f t="shared" si="77"/>
        <v>69.801500000000004</v>
      </c>
      <c r="AV268" s="244">
        <f t="shared" si="78"/>
        <v>0</v>
      </c>
      <c r="AW268" s="244">
        <f t="shared" si="79"/>
        <v>45.855000000000004</v>
      </c>
      <c r="AX268" s="244">
        <f t="shared" si="80"/>
        <v>0</v>
      </c>
      <c r="AY268" s="244">
        <f t="shared" si="81"/>
        <v>23.9465</v>
      </c>
      <c r="AZ268">
        <v>3.3189025984832275E-2</v>
      </c>
    </row>
    <row r="269" spans="1:52" ht="15" customHeight="1" x14ac:dyDescent="0.35">
      <c r="A269" s="66" t="s">
        <v>646</v>
      </c>
      <c r="B269" s="67" t="s">
        <v>647</v>
      </c>
      <c r="C269" s="233" t="s">
        <v>260</v>
      </c>
      <c r="D269" s="67" t="s">
        <v>261</v>
      </c>
      <c r="E269" s="67" t="s">
        <v>623</v>
      </c>
      <c r="F269" s="67" t="s">
        <v>624</v>
      </c>
      <c r="G269" s="67" t="s">
        <v>52</v>
      </c>
      <c r="H269" s="67" t="s">
        <v>625</v>
      </c>
      <c r="I269" s="67" t="s">
        <v>626</v>
      </c>
      <c r="J269" s="105"/>
      <c r="K269" s="228">
        <v>30</v>
      </c>
      <c r="L269" s="269"/>
      <c r="M269" s="269"/>
      <c r="N269" s="269"/>
      <c r="O269" s="269"/>
      <c r="P269" s="269"/>
      <c r="Q269" s="269"/>
      <c r="R269" s="269"/>
      <c r="S269" s="67" t="s">
        <v>648</v>
      </c>
      <c r="T269" s="70"/>
      <c r="U269" s="238">
        <f t="shared" si="67"/>
        <v>1.05</v>
      </c>
      <c r="V269" s="238">
        <f t="shared" si="68"/>
        <v>0</v>
      </c>
      <c r="W269" s="238">
        <f t="shared" si="69"/>
        <v>1.05</v>
      </c>
      <c r="X269" s="238">
        <f t="shared" si="70"/>
        <v>0</v>
      </c>
      <c r="Y269" s="238">
        <f t="shared" si="71"/>
        <v>0</v>
      </c>
      <c r="Z269" s="70">
        <v>1.05</v>
      </c>
      <c r="AA269" s="70"/>
      <c r="AB269" s="91">
        <v>1.05</v>
      </c>
      <c r="AC269" s="91"/>
      <c r="AD269" s="92"/>
      <c r="AE269" s="233"/>
      <c r="AF269" s="72"/>
      <c r="AG269" s="73">
        <v>50.95</v>
      </c>
      <c r="AH269" s="73">
        <v>53.497500000000002</v>
      </c>
      <c r="AI269" s="73">
        <v>0</v>
      </c>
      <c r="AJ269" s="73">
        <v>53.497500000000002</v>
      </c>
      <c r="AK269" s="73">
        <v>0</v>
      </c>
      <c r="AL269" s="129">
        <v>0</v>
      </c>
      <c r="AM269" s="202">
        <f t="shared" si="72"/>
        <v>3.2365646042434256E-3</v>
      </c>
      <c r="AN269" s="202">
        <f t="shared" si="73"/>
        <v>0</v>
      </c>
      <c r="AO269" s="202">
        <f t="shared" si="74"/>
        <v>3.2365646042434256E-3</v>
      </c>
      <c r="AP269" s="202">
        <f t="shared" si="75"/>
        <v>0</v>
      </c>
      <c r="AQ269" s="202">
        <f t="shared" si="76"/>
        <v>0</v>
      </c>
      <c r="AR269" s="208" t="s">
        <v>646</v>
      </c>
      <c r="AS269" s="221" t="s">
        <v>1663</v>
      </c>
      <c r="AT269" s="234">
        <v>322130</v>
      </c>
      <c r="AU269" s="244">
        <f t="shared" si="77"/>
        <v>53.497500000000002</v>
      </c>
      <c r="AV269" s="244">
        <f t="shared" si="78"/>
        <v>0</v>
      </c>
      <c r="AW269" s="244">
        <f t="shared" si="79"/>
        <v>53.497500000000002</v>
      </c>
      <c r="AX269" s="244">
        <f t="shared" si="80"/>
        <v>0</v>
      </c>
      <c r="AY269" s="244">
        <f t="shared" si="81"/>
        <v>0</v>
      </c>
      <c r="AZ269">
        <v>2.543684473290065E-2</v>
      </c>
    </row>
    <row r="270" spans="1:52" ht="15" customHeight="1" x14ac:dyDescent="0.35">
      <c r="A270" s="66" t="s">
        <v>646</v>
      </c>
      <c r="B270" s="67" t="s">
        <v>647</v>
      </c>
      <c r="C270" s="233" t="s">
        <v>74</v>
      </c>
      <c r="D270" s="67" t="s">
        <v>75</v>
      </c>
      <c r="E270" s="67" t="s">
        <v>75</v>
      </c>
      <c r="F270" s="67" t="s">
        <v>627</v>
      </c>
      <c r="G270" s="67" t="s">
        <v>52</v>
      </c>
      <c r="H270" s="67" t="s">
        <v>160</v>
      </c>
      <c r="I270" s="67" t="s">
        <v>628</v>
      </c>
      <c r="J270" s="105">
        <v>0.75</v>
      </c>
      <c r="K270" s="228">
        <f t="shared" si="82"/>
        <v>190</v>
      </c>
      <c r="L270" s="269">
        <v>190</v>
      </c>
      <c r="M270" s="269">
        <v>22</v>
      </c>
      <c r="N270" s="269">
        <v>60</v>
      </c>
      <c r="O270" s="269">
        <v>1</v>
      </c>
      <c r="P270" s="269"/>
      <c r="Q270" s="269"/>
      <c r="R270" s="269"/>
      <c r="S270" s="67" t="s">
        <v>648</v>
      </c>
      <c r="T270" s="70"/>
      <c r="U270" s="238">
        <f t="shared" si="67"/>
        <v>8.3600000000000012</v>
      </c>
      <c r="V270" s="238">
        <f t="shared" si="68"/>
        <v>0</v>
      </c>
      <c r="W270" s="238">
        <f t="shared" si="69"/>
        <v>0.23</v>
      </c>
      <c r="X270" s="238">
        <f t="shared" si="70"/>
        <v>0</v>
      </c>
      <c r="Y270" s="238">
        <f t="shared" si="71"/>
        <v>8.1300000000000008</v>
      </c>
      <c r="Z270" s="70">
        <v>8.3600000000000012</v>
      </c>
      <c r="AA270" s="70"/>
      <c r="AB270" s="91">
        <v>0.23</v>
      </c>
      <c r="AC270" s="91"/>
      <c r="AD270" s="92">
        <v>8.1300000000000008</v>
      </c>
      <c r="AE270" s="233">
        <v>136</v>
      </c>
      <c r="AF270" s="107">
        <v>3.3</v>
      </c>
      <c r="AG270" s="73">
        <v>50.95</v>
      </c>
      <c r="AH270" s="73">
        <v>425.94200000000006</v>
      </c>
      <c r="AI270" s="73">
        <v>0</v>
      </c>
      <c r="AJ270" s="73">
        <v>11.718500000000001</v>
      </c>
      <c r="AK270" s="73">
        <v>0</v>
      </c>
      <c r="AL270" s="129">
        <v>414.22350000000006</v>
      </c>
      <c r="AM270" s="202">
        <f t="shared" si="72"/>
        <v>2.5769219134738133E-2</v>
      </c>
      <c r="AN270" s="202">
        <f t="shared" si="73"/>
        <v>0</v>
      </c>
      <c r="AO270" s="202">
        <f t="shared" si="74"/>
        <v>7.0896177045332183E-4</v>
      </c>
      <c r="AP270" s="202">
        <f t="shared" si="75"/>
        <v>0</v>
      </c>
      <c r="AQ270" s="202">
        <f t="shared" si="76"/>
        <v>2.5060257364284813E-2</v>
      </c>
      <c r="AR270" s="208" t="s">
        <v>646</v>
      </c>
      <c r="AS270" s="221" t="s">
        <v>1663</v>
      </c>
      <c r="AT270" s="234">
        <v>322130</v>
      </c>
      <c r="AU270" s="244">
        <f t="shared" si="77"/>
        <v>425.94200000000006</v>
      </c>
      <c r="AV270" s="244">
        <f t="shared" si="78"/>
        <v>0</v>
      </c>
      <c r="AW270" s="244">
        <f t="shared" si="79"/>
        <v>11.718500000000001</v>
      </c>
      <c r="AX270" s="244">
        <f t="shared" si="80"/>
        <v>0</v>
      </c>
      <c r="AY270" s="244">
        <f t="shared" si="81"/>
        <v>414.22350000000006</v>
      </c>
      <c r="AZ270">
        <v>0.20252573520671377</v>
      </c>
    </row>
    <row r="271" spans="1:52" ht="15" customHeight="1" x14ac:dyDescent="0.35">
      <c r="A271" s="77" t="s">
        <v>646</v>
      </c>
      <c r="B271" s="78" t="s">
        <v>647</v>
      </c>
      <c r="C271" s="81" t="s">
        <v>270</v>
      </c>
      <c r="D271" s="78" t="s">
        <v>271</v>
      </c>
      <c r="E271" s="78" t="s">
        <v>629</v>
      </c>
      <c r="F271" s="78" t="s">
        <v>630</v>
      </c>
      <c r="G271" s="78" t="s">
        <v>52</v>
      </c>
      <c r="H271" s="78" t="s">
        <v>631</v>
      </c>
      <c r="I271" s="78" t="s">
        <v>632</v>
      </c>
      <c r="J271" s="111"/>
      <c r="K271" s="228">
        <v>30</v>
      </c>
      <c r="L271" s="269"/>
      <c r="M271" s="269"/>
      <c r="N271" s="269"/>
      <c r="O271" s="269"/>
      <c r="P271" s="269"/>
      <c r="Q271" s="269"/>
      <c r="R271" s="269"/>
      <c r="S271" s="78" t="s">
        <v>648</v>
      </c>
      <c r="T271" s="82"/>
      <c r="U271" s="238">
        <f t="shared" si="67"/>
        <v>0.2</v>
      </c>
      <c r="V271" s="238">
        <f t="shared" si="68"/>
        <v>0</v>
      </c>
      <c r="W271" s="238">
        <f t="shared" si="69"/>
        <v>0.2</v>
      </c>
      <c r="X271" s="238">
        <f t="shared" si="70"/>
        <v>0</v>
      </c>
      <c r="Y271" s="238">
        <f t="shared" si="71"/>
        <v>0</v>
      </c>
      <c r="Z271" s="70">
        <v>0.2</v>
      </c>
      <c r="AA271" s="70"/>
      <c r="AB271" s="91">
        <v>0.2</v>
      </c>
      <c r="AC271" s="91"/>
      <c r="AD271" s="92"/>
      <c r="AE271" s="81"/>
      <c r="AF271" s="84"/>
      <c r="AG271" s="85">
        <v>50.95</v>
      </c>
      <c r="AH271" s="85">
        <v>10.190000000000001</v>
      </c>
      <c r="AI271" s="85">
        <v>0</v>
      </c>
      <c r="AJ271" s="85">
        <v>10.190000000000001</v>
      </c>
      <c r="AK271" s="85">
        <v>0</v>
      </c>
      <c r="AL271" s="133">
        <v>0</v>
      </c>
      <c r="AM271" s="202">
        <f t="shared" si="72"/>
        <v>6.1648849604636685E-4</v>
      </c>
      <c r="AN271" s="202">
        <f t="shared" si="73"/>
        <v>0</v>
      </c>
      <c r="AO271" s="202">
        <f t="shared" si="74"/>
        <v>6.1648849604636685E-4</v>
      </c>
      <c r="AP271" s="202">
        <f t="shared" si="75"/>
        <v>0</v>
      </c>
      <c r="AQ271" s="202">
        <f t="shared" si="76"/>
        <v>0</v>
      </c>
      <c r="AR271" s="212" t="s">
        <v>646</v>
      </c>
      <c r="AS271" s="221" t="s">
        <v>1663</v>
      </c>
      <c r="AT271" s="234">
        <v>322130</v>
      </c>
      <c r="AU271" s="244">
        <f t="shared" si="77"/>
        <v>10.190000000000001</v>
      </c>
      <c r="AV271" s="244">
        <f t="shared" si="78"/>
        <v>0</v>
      </c>
      <c r="AW271" s="244">
        <f t="shared" si="79"/>
        <v>10.190000000000001</v>
      </c>
      <c r="AX271" s="244">
        <f t="shared" si="80"/>
        <v>0</v>
      </c>
      <c r="AY271" s="244">
        <f t="shared" si="81"/>
        <v>0</v>
      </c>
      <c r="AZ271">
        <v>4.8451132824572666E-3</v>
      </c>
    </row>
    <row r="272" spans="1:52" ht="15" customHeight="1" x14ac:dyDescent="0.35">
      <c r="A272" s="66" t="s">
        <v>649</v>
      </c>
      <c r="B272" s="67" t="s">
        <v>650</v>
      </c>
      <c r="C272" s="67" t="s">
        <v>92</v>
      </c>
      <c r="D272" s="67" t="s">
        <v>651</v>
      </c>
      <c r="E272" s="67" t="s">
        <v>652</v>
      </c>
      <c r="F272" s="67" t="s">
        <v>653</v>
      </c>
      <c r="G272" s="67" t="s">
        <v>596</v>
      </c>
      <c r="H272" s="67" t="s">
        <v>654</v>
      </c>
      <c r="I272" s="67" t="s">
        <v>655</v>
      </c>
      <c r="J272" s="66" t="s">
        <v>656</v>
      </c>
      <c r="K272" s="228">
        <f t="shared" si="82"/>
        <v>1350</v>
      </c>
      <c r="L272" s="269">
        <v>1350</v>
      </c>
      <c r="M272" s="269">
        <v>22</v>
      </c>
      <c r="N272" s="269">
        <v>1050</v>
      </c>
      <c r="O272" s="269"/>
      <c r="P272" s="269"/>
      <c r="Q272" s="269"/>
      <c r="R272" s="269" t="s">
        <v>657</v>
      </c>
      <c r="S272" s="67" t="s">
        <v>658</v>
      </c>
      <c r="T272" s="73"/>
      <c r="U272" s="238">
        <f t="shared" si="67"/>
        <v>1</v>
      </c>
      <c r="V272" s="238">
        <f t="shared" si="68"/>
        <v>0</v>
      </c>
      <c r="W272" s="238">
        <f t="shared" si="69"/>
        <v>0</v>
      </c>
      <c r="X272" s="238">
        <f t="shared" si="70"/>
        <v>1</v>
      </c>
      <c r="Y272" s="238">
        <f t="shared" si="71"/>
        <v>0</v>
      </c>
      <c r="Z272" s="82">
        <v>1</v>
      </c>
      <c r="AA272" s="82"/>
      <c r="AB272" s="99"/>
      <c r="AC272" s="99">
        <v>1</v>
      </c>
      <c r="AD272" s="100"/>
      <c r="AE272" s="67"/>
      <c r="AF272" s="138"/>
      <c r="AG272" s="126">
        <v>23.344999999999999</v>
      </c>
      <c r="AH272" s="73">
        <v>23.344999999999999</v>
      </c>
      <c r="AI272" s="73">
        <v>0</v>
      </c>
      <c r="AJ272" s="73">
        <v>0</v>
      </c>
      <c r="AK272" s="73">
        <v>23.344999999999999</v>
      </c>
      <c r="AL272" s="129">
        <v>0</v>
      </c>
      <c r="AM272" s="202">
        <f t="shared" si="72"/>
        <v>1.4123575996273241E-3</v>
      </c>
      <c r="AN272" s="202">
        <f t="shared" si="73"/>
        <v>0</v>
      </c>
      <c r="AO272" s="202">
        <f t="shared" si="74"/>
        <v>0</v>
      </c>
      <c r="AP272" s="202">
        <f t="shared" si="75"/>
        <v>1.4123575996273241E-3</v>
      </c>
      <c r="AQ272" s="202">
        <f t="shared" si="76"/>
        <v>0</v>
      </c>
      <c r="AR272" s="208" t="s">
        <v>649</v>
      </c>
      <c r="AS272" s="210" t="s">
        <v>1662</v>
      </c>
      <c r="AT272" s="234">
        <v>331110</v>
      </c>
      <c r="AU272" s="244">
        <f t="shared" si="77"/>
        <v>23.344999999999999</v>
      </c>
      <c r="AV272" s="244">
        <f t="shared" si="78"/>
        <v>0</v>
      </c>
      <c r="AW272" s="244">
        <f t="shared" si="79"/>
        <v>0</v>
      </c>
      <c r="AX272" s="244">
        <f t="shared" si="80"/>
        <v>23.344999999999999</v>
      </c>
      <c r="AY272" s="244">
        <f t="shared" si="81"/>
        <v>0</v>
      </c>
      <c r="AZ272">
        <v>1.5343915343915342E-2</v>
      </c>
    </row>
    <row r="273" spans="1:52" ht="15" customHeight="1" x14ac:dyDescent="0.35">
      <c r="A273" s="66" t="s">
        <v>649</v>
      </c>
      <c r="B273" s="67" t="s">
        <v>650</v>
      </c>
      <c r="C273" s="67" t="s">
        <v>108</v>
      </c>
      <c r="D273" s="67" t="s">
        <v>659</v>
      </c>
      <c r="E273" s="67" t="s">
        <v>660</v>
      </c>
      <c r="F273" s="67" t="s">
        <v>661</v>
      </c>
      <c r="G273" s="67" t="s">
        <v>52</v>
      </c>
      <c r="H273" s="67" t="s">
        <v>662</v>
      </c>
      <c r="I273" s="67" t="s">
        <v>663</v>
      </c>
      <c r="J273" s="66" t="s">
        <v>664</v>
      </c>
      <c r="K273" s="228">
        <f t="shared" si="82"/>
        <v>1390</v>
      </c>
      <c r="L273" s="269">
        <v>1390</v>
      </c>
      <c r="M273" s="269">
        <v>22</v>
      </c>
      <c r="N273" s="269">
        <v>850</v>
      </c>
      <c r="O273" s="269"/>
      <c r="P273" s="269"/>
      <c r="Q273" s="269"/>
      <c r="R273" s="269" t="s">
        <v>665</v>
      </c>
      <c r="S273" s="67" t="s">
        <v>658</v>
      </c>
      <c r="T273" s="73"/>
      <c r="U273" s="238">
        <f t="shared" si="67"/>
        <v>1.48</v>
      </c>
      <c r="V273" s="238">
        <f t="shared" si="68"/>
        <v>0</v>
      </c>
      <c r="W273" s="238">
        <f t="shared" si="69"/>
        <v>0.16</v>
      </c>
      <c r="X273" s="238">
        <f t="shared" si="70"/>
        <v>1.32</v>
      </c>
      <c r="Y273" s="238">
        <f t="shared" si="71"/>
        <v>0</v>
      </c>
      <c r="Z273" s="70">
        <v>1.48</v>
      </c>
      <c r="AA273" s="70"/>
      <c r="AB273" s="70">
        <v>0.16</v>
      </c>
      <c r="AC273" s="70">
        <v>1.32</v>
      </c>
      <c r="AD273" s="71"/>
      <c r="AE273" s="67"/>
      <c r="AF273" s="138"/>
      <c r="AG273" s="126">
        <v>23.344999999999999</v>
      </c>
      <c r="AH273" s="73">
        <v>34.550599999999996</v>
      </c>
      <c r="AI273" s="73">
        <v>0</v>
      </c>
      <c r="AJ273" s="73">
        <v>3.7351999999999999</v>
      </c>
      <c r="AK273" s="73">
        <v>30.8154</v>
      </c>
      <c r="AL273" s="129">
        <v>0</v>
      </c>
      <c r="AM273" s="202">
        <f t="shared" si="72"/>
        <v>2.0902892474484393E-3</v>
      </c>
      <c r="AN273" s="202">
        <f t="shared" si="73"/>
        <v>0</v>
      </c>
      <c r="AO273" s="202">
        <f t="shared" si="74"/>
        <v>2.2597721594037185E-4</v>
      </c>
      <c r="AP273" s="202">
        <f t="shared" si="75"/>
        <v>1.8643120315080678E-3</v>
      </c>
      <c r="AQ273" s="202">
        <f t="shared" si="76"/>
        <v>0</v>
      </c>
      <c r="AR273" s="208" t="s">
        <v>649</v>
      </c>
      <c r="AS273" s="210" t="s">
        <v>1662</v>
      </c>
      <c r="AT273" s="234">
        <v>331110</v>
      </c>
      <c r="AU273" s="244">
        <f t="shared" si="77"/>
        <v>34.550599999999996</v>
      </c>
      <c r="AV273" s="244">
        <f t="shared" si="78"/>
        <v>0</v>
      </c>
      <c r="AW273" s="244">
        <f t="shared" si="79"/>
        <v>3.7351999999999999</v>
      </c>
      <c r="AX273" s="244">
        <f t="shared" si="80"/>
        <v>30.8154</v>
      </c>
      <c r="AY273" s="244">
        <f t="shared" si="81"/>
        <v>0</v>
      </c>
      <c r="AZ273">
        <v>2.2708994708994706E-2</v>
      </c>
    </row>
    <row r="274" spans="1:52" ht="15" customHeight="1" x14ac:dyDescent="0.35">
      <c r="A274" s="66" t="s">
        <v>649</v>
      </c>
      <c r="B274" s="67" t="s">
        <v>650</v>
      </c>
      <c r="C274" s="67" t="s">
        <v>67</v>
      </c>
      <c r="D274" s="67" t="s">
        <v>67</v>
      </c>
      <c r="E274" s="67" t="s">
        <v>666</v>
      </c>
      <c r="F274" s="67" t="s">
        <v>661</v>
      </c>
      <c r="G274" s="67" t="s">
        <v>52</v>
      </c>
      <c r="H274" s="67" t="s">
        <v>662</v>
      </c>
      <c r="I274" s="67" t="s">
        <v>663</v>
      </c>
      <c r="J274" s="66" t="s">
        <v>667</v>
      </c>
      <c r="K274" s="228">
        <f t="shared" si="82"/>
        <v>100</v>
      </c>
      <c r="L274" s="269">
        <v>100</v>
      </c>
      <c r="M274" s="269">
        <v>850</v>
      </c>
      <c r="N274" s="269">
        <v>100</v>
      </c>
      <c r="O274" s="269"/>
      <c r="P274" s="269"/>
      <c r="Q274" s="269"/>
      <c r="R274" s="269"/>
      <c r="S274" s="67" t="s">
        <v>658</v>
      </c>
      <c r="T274" s="73"/>
      <c r="U274" s="238">
        <f t="shared" si="67"/>
        <v>0</v>
      </c>
      <c r="V274" s="238">
        <f t="shared" si="68"/>
        <v>0</v>
      </c>
      <c r="W274" s="238">
        <f t="shared" si="69"/>
        <v>0</v>
      </c>
      <c r="X274" s="238">
        <f t="shared" si="70"/>
        <v>0</v>
      </c>
      <c r="Y274" s="238">
        <f t="shared" si="71"/>
        <v>0</v>
      </c>
      <c r="Z274" s="70">
        <v>0</v>
      </c>
      <c r="AA274" s="70"/>
      <c r="AB274" s="70">
        <v>0</v>
      </c>
      <c r="AC274" s="70">
        <v>0</v>
      </c>
      <c r="AD274" s="71"/>
      <c r="AE274" s="67"/>
      <c r="AF274" s="138"/>
      <c r="AG274" s="126">
        <v>0</v>
      </c>
      <c r="AH274" s="73">
        <v>0</v>
      </c>
      <c r="AI274" s="73">
        <v>0</v>
      </c>
      <c r="AJ274" s="73">
        <v>0</v>
      </c>
      <c r="AK274" s="73">
        <v>0</v>
      </c>
      <c r="AL274" s="129">
        <v>0</v>
      </c>
      <c r="AM274" s="202">
        <f t="shared" si="72"/>
        <v>0</v>
      </c>
      <c r="AN274" s="202">
        <f t="shared" si="73"/>
        <v>0</v>
      </c>
      <c r="AO274" s="202">
        <f t="shared" si="74"/>
        <v>0</v>
      </c>
      <c r="AP274" s="202">
        <f t="shared" si="75"/>
        <v>0</v>
      </c>
      <c r="AQ274" s="202">
        <f t="shared" si="76"/>
        <v>0</v>
      </c>
      <c r="AR274" s="208" t="s">
        <v>649</v>
      </c>
      <c r="AS274" s="210" t="s">
        <v>1662</v>
      </c>
      <c r="AT274" s="234">
        <v>331110</v>
      </c>
      <c r="AU274" s="244">
        <f t="shared" si="77"/>
        <v>0</v>
      </c>
      <c r="AV274" s="244">
        <f t="shared" si="78"/>
        <v>0</v>
      </c>
      <c r="AW274" s="244">
        <f t="shared" si="79"/>
        <v>0</v>
      </c>
      <c r="AX274" s="244">
        <f t="shared" si="80"/>
        <v>0</v>
      </c>
      <c r="AY274" s="244">
        <f t="shared" si="81"/>
        <v>0</v>
      </c>
      <c r="AZ274">
        <v>0</v>
      </c>
    </row>
    <row r="275" spans="1:52" ht="15.75" customHeight="1" x14ac:dyDescent="0.35">
      <c r="A275" s="66" t="s">
        <v>649</v>
      </c>
      <c r="B275" s="67" t="s">
        <v>650</v>
      </c>
      <c r="C275" s="67" t="s">
        <v>92</v>
      </c>
      <c r="D275" s="67" t="s">
        <v>668</v>
      </c>
      <c r="E275" s="67" t="s">
        <v>669</v>
      </c>
      <c r="F275" s="67" t="s">
        <v>670</v>
      </c>
      <c r="G275" s="67" t="s">
        <v>52</v>
      </c>
      <c r="H275" s="67" t="s">
        <v>53</v>
      </c>
      <c r="I275" s="67" t="s">
        <v>668</v>
      </c>
      <c r="J275" s="95" t="s">
        <v>671</v>
      </c>
      <c r="K275" s="228">
        <f t="shared" si="82"/>
        <v>1575</v>
      </c>
      <c r="L275" s="269">
        <v>1575</v>
      </c>
      <c r="M275" s="269">
        <v>100</v>
      </c>
      <c r="N275" s="269">
        <v>1575</v>
      </c>
      <c r="O275" s="269"/>
      <c r="P275" s="269"/>
      <c r="Q275" s="269"/>
      <c r="R275" s="269" t="s">
        <v>672</v>
      </c>
      <c r="S275" s="67" t="s">
        <v>658</v>
      </c>
      <c r="T275" s="70"/>
      <c r="U275" s="238">
        <f t="shared" si="67"/>
        <v>10.18</v>
      </c>
      <c r="V275" s="238">
        <f t="shared" si="68"/>
        <v>0</v>
      </c>
      <c r="W275" s="238">
        <f t="shared" si="69"/>
        <v>0.27</v>
      </c>
      <c r="X275" s="238">
        <f t="shared" si="70"/>
        <v>9.91</v>
      </c>
      <c r="Y275" s="238">
        <f t="shared" si="71"/>
        <v>0</v>
      </c>
      <c r="Z275" s="70">
        <v>10.18</v>
      </c>
      <c r="AA275" s="70"/>
      <c r="AB275" s="70">
        <v>0.27</v>
      </c>
      <c r="AC275" s="70">
        <v>9.91</v>
      </c>
      <c r="AD275" s="71"/>
      <c r="AE275" s="233"/>
      <c r="AF275" s="72"/>
      <c r="AG275" s="126">
        <v>23.344999999999999</v>
      </c>
      <c r="AH275" s="73">
        <v>237.65209999999999</v>
      </c>
      <c r="AI275" s="73">
        <v>0</v>
      </c>
      <c r="AJ275" s="73">
        <v>6.3031500000000005</v>
      </c>
      <c r="AK275" s="73">
        <v>231.34895</v>
      </c>
      <c r="AL275" s="129">
        <v>0</v>
      </c>
      <c r="AM275" s="202">
        <f t="shared" si="72"/>
        <v>1.4377800364206158E-2</v>
      </c>
      <c r="AN275" s="202">
        <f t="shared" si="73"/>
        <v>0</v>
      </c>
      <c r="AO275" s="202">
        <f t="shared" si="74"/>
        <v>3.8133655189937751E-4</v>
      </c>
      <c r="AP275" s="202">
        <f t="shared" si="75"/>
        <v>1.3996463812306782E-2</v>
      </c>
      <c r="AQ275" s="202">
        <f t="shared" si="76"/>
        <v>0</v>
      </c>
      <c r="AR275" s="208" t="s">
        <v>649</v>
      </c>
      <c r="AS275" s="210" t="s">
        <v>1662</v>
      </c>
      <c r="AT275" s="234">
        <v>331110</v>
      </c>
      <c r="AU275" s="244">
        <f t="shared" si="77"/>
        <v>237.65209999999999</v>
      </c>
      <c r="AV275" s="244">
        <f t="shared" si="78"/>
        <v>0</v>
      </c>
      <c r="AW275" s="244">
        <f t="shared" si="79"/>
        <v>6.3031500000000005</v>
      </c>
      <c r="AX275" s="244">
        <f t="shared" si="80"/>
        <v>231.34895</v>
      </c>
      <c r="AY275" s="244">
        <f t="shared" si="81"/>
        <v>0</v>
      </c>
      <c r="AZ275">
        <v>0.1562010582010582</v>
      </c>
    </row>
    <row r="276" spans="1:52" ht="15.75" customHeight="1" x14ac:dyDescent="0.35">
      <c r="A276" s="66" t="s">
        <v>649</v>
      </c>
      <c r="B276" s="67" t="s">
        <v>650</v>
      </c>
      <c r="C276" s="67" t="s">
        <v>92</v>
      </c>
      <c r="D276" s="67" t="s">
        <v>673</v>
      </c>
      <c r="E276" s="67" t="s">
        <v>674</v>
      </c>
      <c r="F276" s="67" t="s">
        <v>675</v>
      </c>
      <c r="G276" s="67" t="s">
        <v>190</v>
      </c>
      <c r="H276" s="67" t="s">
        <v>53</v>
      </c>
      <c r="I276" s="67" t="s">
        <v>673</v>
      </c>
      <c r="J276" s="95" t="s">
        <v>676</v>
      </c>
      <c r="K276" s="228">
        <f t="shared" si="82"/>
        <v>1650</v>
      </c>
      <c r="L276" s="269">
        <v>1650</v>
      </c>
      <c r="M276" s="269">
        <v>1500</v>
      </c>
      <c r="N276" s="269">
        <v>1650</v>
      </c>
      <c r="O276" s="269"/>
      <c r="P276" s="269"/>
      <c r="Q276" s="269"/>
      <c r="R276" s="269" t="s">
        <v>677</v>
      </c>
      <c r="S276" s="67" t="s">
        <v>658</v>
      </c>
      <c r="T276" s="70"/>
      <c r="U276" s="238">
        <f t="shared" si="67"/>
        <v>0.44000000000000006</v>
      </c>
      <c r="V276" s="238">
        <f t="shared" si="68"/>
        <v>0</v>
      </c>
      <c r="W276" s="238">
        <f t="shared" si="69"/>
        <v>0.16</v>
      </c>
      <c r="X276" s="238">
        <f t="shared" si="70"/>
        <v>0.28000000000000003</v>
      </c>
      <c r="Y276" s="238">
        <f t="shared" si="71"/>
        <v>0</v>
      </c>
      <c r="Z276" s="70">
        <v>0.44000000000000006</v>
      </c>
      <c r="AA276" s="70"/>
      <c r="AB276" s="70">
        <v>0.16</v>
      </c>
      <c r="AC276" s="70">
        <v>0.28000000000000003</v>
      </c>
      <c r="AD276" s="71"/>
      <c r="AE276" s="233"/>
      <c r="AF276" s="72"/>
      <c r="AG276" s="126">
        <v>23.344999999999999</v>
      </c>
      <c r="AH276" s="73">
        <v>10.271800000000001</v>
      </c>
      <c r="AI276" s="73">
        <v>0</v>
      </c>
      <c r="AJ276" s="73">
        <v>3.7351999999999999</v>
      </c>
      <c r="AK276" s="73">
        <v>6.5366</v>
      </c>
      <c r="AL276" s="129">
        <v>0</v>
      </c>
      <c r="AM276" s="202">
        <f t="shared" si="72"/>
        <v>6.2143734383602266E-4</v>
      </c>
      <c r="AN276" s="202">
        <f t="shared" si="73"/>
        <v>0</v>
      </c>
      <c r="AO276" s="202">
        <f t="shared" si="74"/>
        <v>2.2597721594037185E-4</v>
      </c>
      <c r="AP276" s="202">
        <f t="shared" si="75"/>
        <v>3.9546012789565076E-4</v>
      </c>
      <c r="AQ276" s="202">
        <f t="shared" si="76"/>
        <v>0</v>
      </c>
      <c r="AR276" s="208" t="s">
        <v>649</v>
      </c>
      <c r="AS276" s="210" t="s">
        <v>1662</v>
      </c>
      <c r="AT276" s="234">
        <v>331110</v>
      </c>
      <c r="AU276" s="244">
        <f t="shared" si="77"/>
        <v>10.271800000000001</v>
      </c>
      <c r="AV276" s="244">
        <f t="shared" si="78"/>
        <v>0</v>
      </c>
      <c r="AW276" s="244">
        <f t="shared" si="79"/>
        <v>3.7351999999999999</v>
      </c>
      <c r="AX276" s="244">
        <f t="shared" si="80"/>
        <v>6.5366</v>
      </c>
      <c r="AY276" s="244">
        <f t="shared" si="81"/>
        <v>0</v>
      </c>
      <c r="AZ276">
        <v>6.751322751322752E-3</v>
      </c>
    </row>
    <row r="277" spans="1:52" ht="15.75" customHeight="1" x14ac:dyDescent="0.35">
      <c r="A277" s="66" t="s">
        <v>649</v>
      </c>
      <c r="B277" s="67" t="s">
        <v>650</v>
      </c>
      <c r="C277" s="78" t="s">
        <v>92</v>
      </c>
      <c r="D277" s="78" t="s">
        <v>197</v>
      </c>
      <c r="E277" s="78" t="s">
        <v>678</v>
      </c>
      <c r="F277" s="67" t="s">
        <v>679</v>
      </c>
      <c r="G277" s="67" t="s">
        <v>190</v>
      </c>
      <c r="H277" s="67" t="s">
        <v>53</v>
      </c>
      <c r="I277" s="67" t="s">
        <v>680</v>
      </c>
      <c r="J277" s="95" t="s">
        <v>681</v>
      </c>
      <c r="K277" s="228">
        <f t="shared" si="82"/>
        <v>1625</v>
      </c>
      <c r="L277" s="269">
        <v>1625</v>
      </c>
      <c r="M277" s="269">
        <v>1560</v>
      </c>
      <c r="N277" s="269">
        <v>1590</v>
      </c>
      <c r="O277" s="269"/>
      <c r="P277" s="269"/>
      <c r="Q277" s="269"/>
      <c r="R277" s="269" t="s">
        <v>682</v>
      </c>
      <c r="S277" s="67" t="s">
        <v>658</v>
      </c>
      <c r="T277" s="70"/>
      <c r="U277" s="238">
        <f t="shared" si="67"/>
        <v>0.5</v>
      </c>
      <c r="V277" s="238">
        <f t="shared" si="68"/>
        <v>0</v>
      </c>
      <c r="W277" s="238">
        <f t="shared" si="69"/>
        <v>0</v>
      </c>
      <c r="X277" s="238">
        <f t="shared" si="70"/>
        <v>0.5</v>
      </c>
      <c r="Y277" s="238">
        <f t="shared" si="71"/>
        <v>0</v>
      </c>
      <c r="Z277" s="70">
        <v>0.5</v>
      </c>
      <c r="AA277" s="70"/>
      <c r="AB277" s="70"/>
      <c r="AC277" s="70">
        <v>0.5</v>
      </c>
      <c r="AD277" s="71"/>
      <c r="AE277" s="233"/>
      <c r="AF277" s="72"/>
      <c r="AG277" s="126">
        <v>23.344999999999999</v>
      </c>
      <c r="AH277" s="73">
        <v>11.672499999999999</v>
      </c>
      <c r="AI277" s="73">
        <v>0</v>
      </c>
      <c r="AJ277" s="73">
        <v>0</v>
      </c>
      <c r="AK277" s="73">
        <v>11.672499999999999</v>
      </c>
      <c r="AL277" s="129">
        <v>0</v>
      </c>
      <c r="AM277" s="202">
        <f t="shared" si="72"/>
        <v>7.0617879981366204E-4</v>
      </c>
      <c r="AN277" s="202">
        <f t="shared" si="73"/>
        <v>0</v>
      </c>
      <c r="AO277" s="202">
        <f t="shared" si="74"/>
        <v>0</v>
      </c>
      <c r="AP277" s="202">
        <f t="shared" si="75"/>
        <v>7.0617879981366204E-4</v>
      </c>
      <c r="AQ277" s="202">
        <f t="shared" si="76"/>
        <v>0</v>
      </c>
      <c r="AR277" s="208" t="s">
        <v>649</v>
      </c>
      <c r="AS277" s="210" t="s">
        <v>1662</v>
      </c>
      <c r="AT277" s="234">
        <v>331110</v>
      </c>
      <c r="AU277" s="244">
        <f t="shared" si="77"/>
        <v>11.672499999999999</v>
      </c>
      <c r="AV277" s="244">
        <f t="shared" si="78"/>
        <v>0</v>
      </c>
      <c r="AW277" s="244">
        <f t="shared" si="79"/>
        <v>0</v>
      </c>
      <c r="AX277" s="244">
        <f t="shared" si="80"/>
        <v>11.672499999999999</v>
      </c>
      <c r="AY277" s="244">
        <f t="shared" si="81"/>
        <v>0</v>
      </c>
      <c r="AZ277">
        <v>7.671957671957671E-3</v>
      </c>
    </row>
    <row r="278" spans="1:52" ht="15.75" customHeight="1" x14ac:dyDescent="0.35">
      <c r="A278" s="57" t="s">
        <v>649</v>
      </c>
      <c r="B278" s="57" t="s">
        <v>683</v>
      </c>
      <c r="C278" s="67" t="s">
        <v>48</v>
      </c>
      <c r="D278" s="57" t="s">
        <v>684</v>
      </c>
      <c r="E278" s="57" t="s">
        <v>685</v>
      </c>
      <c r="F278" s="57" t="s">
        <v>686</v>
      </c>
      <c r="G278" s="57" t="s">
        <v>52</v>
      </c>
      <c r="H278" s="57" t="s">
        <v>53</v>
      </c>
      <c r="I278" s="57" t="s">
        <v>687</v>
      </c>
      <c r="J278" s="90" t="s">
        <v>688</v>
      </c>
      <c r="K278" s="228">
        <f t="shared" si="82"/>
        <v>980</v>
      </c>
      <c r="L278" s="269">
        <v>980</v>
      </c>
      <c r="M278" s="269">
        <v>22</v>
      </c>
      <c r="N278" s="269">
        <v>650</v>
      </c>
      <c r="O278" s="269"/>
      <c r="P278" s="269"/>
      <c r="Q278" s="269"/>
      <c r="R278" s="269"/>
      <c r="S278" s="57" t="s">
        <v>658</v>
      </c>
      <c r="T278" s="60"/>
      <c r="U278" s="238">
        <f t="shared" si="67"/>
        <v>9.75</v>
      </c>
      <c r="V278" s="238">
        <f t="shared" si="68"/>
        <v>0</v>
      </c>
      <c r="W278" s="238">
        <f t="shared" si="69"/>
        <v>0.35</v>
      </c>
      <c r="X278" s="238">
        <f t="shared" si="70"/>
        <v>9.4</v>
      </c>
      <c r="Y278" s="238">
        <f t="shared" si="71"/>
        <v>0</v>
      </c>
      <c r="Z278" s="70">
        <v>9.75</v>
      </c>
      <c r="AA278" s="70"/>
      <c r="AB278" s="70">
        <v>0.35</v>
      </c>
      <c r="AC278" s="70">
        <v>9.4</v>
      </c>
      <c r="AD278" s="71"/>
      <c r="AE278" s="59"/>
      <c r="AF278" s="62"/>
      <c r="AG278" s="122">
        <v>57.655000000000001</v>
      </c>
      <c r="AH278" s="63">
        <v>562.13625000000002</v>
      </c>
      <c r="AI278" s="63">
        <v>0</v>
      </c>
      <c r="AJ278" s="63">
        <v>20.17925</v>
      </c>
      <c r="AK278" s="63">
        <v>541.95699999999999</v>
      </c>
      <c r="AL278" s="125">
        <v>0</v>
      </c>
      <c r="AM278" s="202">
        <f t="shared" si="72"/>
        <v>3.4008884331270306E-2</v>
      </c>
      <c r="AN278" s="202">
        <f t="shared" si="73"/>
        <v>0</v>
      </c>
      <c r="AO278" s="202">
        <f t="shared" si="74"/>
        <v>1.2208317452250879E-3</v>
      </c>
      <c r="AP278" s="202">
        <f t="shared" si="75"/>
        <v>3.2788052586045217E-2</v>
      </c>
      <c r="AQ278" s="202">
        <f t="shared" si="76"/>
        <v>0</v>
      </c>
      <c r="AR278" s="206" t="s">
        <v>649</v>
      </c>
      <c r="AS278" s="210" t="s">
        <v>1662</v>
      </c>
      <c r="AT278" s="234">
        <v>331110</v>
      </c>
      <c r="AU278" s="244">
        <f t="shared" si="77"/>
        <v>562.13625000000002</v>
      </c>
      <c r="AV278" s="244">
        <f t="shared" si="78"/>
        <v>0</v>
      </c>
      <c r="AW278" s="244">
        <f t="shared" si="79"/>
        <v>20.17925</v>
      </c>
      <c r="AX278" s="244">
        <f t="shared" si="80"/>
        <v>541.95699999999999</v>
      </c>
      <c r="AY278" s="244">
        <f t="shared" si="81"/>
        <v>0</v>
      </c>
      <c r="AZ278">
        <v>0.36947402149265501</v>
      </c>
    </row>
    <row r="279" spans="1:52" ht="15.75" customHeight="1" x14ac:dyDescent="0.35">
      <c r="A279" s="67" t="s">
        <v>649</v>
      </c>
      <c r="B279" s="67" t="s">
        <v>683</v>
      </c>
      <c r="C279" s="67" t="s">
        <v>92</v>
      </c>
      <c r="D279" s="67" t="s">
        <v>256</v>
      </c>
      <c r="E279" s="67" t="s">
        <v>689</v>
      </c>
      <c r="F279" s="67" t="s">
        <v>690</v>
      </c>
      <c r="G279" s="67" t="s">
        <v>190</v>
      </c>
      <c r="H279" s="67" t="s">
        <v>53</v>
      </c>
      <c r="I279" s="67" t="s">
        <v>691</v>
      </c>
      <c r="J279" s="95" t="s">
        <v>681</v>
      </c>
      <c r="K279" s="228">
        <f t="shared" si="82"/>
        <v>1700</v>
      </c>
      <c r="L279" s="269">
        <v>1700</v>
      </c>
      <c r="M279" s="269">
        <v>650</v>
      </c>
      <c r="N279" s="269">
        <v>1630</v>
      </c>
      <c r="O279" s="269"/>
      <c r="P279" s="269"/>
      <c r="Q279" s="269"/>
      <c r="R279" s="269"/>
      <c r="S279" s="67" t="s">
        <v>658</v>
      </c>
      <c r="T279" s="70"/>
      <c r="U279" s="238">
        <f t="shared" si="67"/>
        <v>4.3100000000000005</v>
      </c>
      <c r="V279" s="238">
        <f t="shared" si="68"/>
        <v>0</v>
      </c>
      <c r="W279" s="238">
        <f t="shared" si="69"/>
        <v>2.2200000000000002</v>
      </c>
      <c r="X279" s="238">
        <f t="shared" si="70"/>
        <v>2.09</v>
      </c>
      <c r="Y279" s="238">
        <f t="shared" si="71"/>
        <v>0</v>
      </c>
      <c r="Z279" s="60">
        <v>4.3100000000000005</v>
      </c>
      <c r="AA279" s="60"/>
      <c r="AB279" s="60">
        <v>2.2200000000000002</v>
      </c>
      <c r="AC279" s="60">
        <v>2.09</v>
      </c>
      <c r="AD279" s="61"/>
      <c r="AE279" s="233"/>
      <c r="AF279" s="72"/>
      <c r="AG279" s="126">
        <v>57.655000000000001</v>
      </c>
      <c r="AH279" s="73">
        <v>248.49305000000004</v>
      </c>
      <c r="AI279" s="73">
        <v>0</v>
      </c>
      <c r="AJ279" s="73">
        <v>127.99410000000002</v>
      </c>
      <c r="AK279" s="73">
        <v>120.49894999999999</v>
      </c>
      <c r="AL279" s="129">
        <v>0</v>
      </c>
      <c r="AM279" s="202">
        <f t="shared" si="72"/>
        <v>1.5033670919771799E-2</v>
      </c>
      <c r="AN279" s="202">
        <f t="shared" si="73"/>
        <v>0</v>
      </c>
      <c r="AO279" s="202">
        <f t="shared" si="74"/>
        <v>7.7435613554277024E-3</v>
      </c>
      <c r="AP279" s="202">
        <f t="shared" si="75"/>
        <v>7.2901095643440961E-3</v>
      </c>
      <c r="AQ279" s="202">
        <f t="shared" si="76"/>
        <v>0</v>
      </c>
      <c r="AR279" s="209" t="s">
        <v>649</v>
      </c>
      <c r="AS279" s="210" t="s">
        <v>1662</v>
      </c>
      <c r="AT279" s="234">
        <v>331110</v>
      </c>
      <c r="AU279" s="244">
        <f t="shared" si="77"/>
        <v>248.49305000000004</v>
      </c>
      <c r="AV279" s="244">
        <f t="shared" si="78"/>
        <v>0</v>
      </c>
      <c r="AW279" s="244">
        <f t="shared" si="79"/>
        <v>127.99410000000002</v>
      </c>
      <c r="AX279" s="244">
        <f t="shared" si="80"/>
        <v>120.49894999999999</v>
      </c>
      <c r="AY279" s="244">
        <f t="shared" si="81"/>
        <v>0</v>
      </c>
      <c r="AZ279">
        <v>0.16332646488547112</v>
      </c>
    </row>
    <row r="280" spans="1:52" ht="15.75" customHeight="1" x14ac:dyDescent="0.35">
      <c r="A280" s="78" t="s">
        <v>649</v>
      </c>
      <c r="B280" s="78" t="s">
        <v>683</v>
      </c>
      <c r="C280" s="78" t="s">
        <v>92</v>
      </c>
      <c r="D280" s="78" t="s">
        <v>197</v>
      </c>
      <c r="E280" s="78" t="s">
        <v>678</v>
      </c>
      <c r="F280" s="78" t="s">
        <v>679</v>
      </c>
      <c r="G280" s="78" t="s">
        <v>190</v>
      </c>
      <c r="H280" s="78" t="s">
        <v>53</v>
      </c>
      <c r="I280" s="78" t="s">
        <v>680</v>
      </c>
      <c r="J280" s="98" t="s">
        <v>681</v>
      </c>
      <c r="K280" s="228">
        <f t="shared" si="82"/>
        <v>1625</v>
      </c>
      <c r="L280" s="269">
        <v>1625</v>
      </c>
      <c r="M280" s="269">
        <v>1560</v>
      </c>
      <c r="N280" s="269">
        <v>1590</v>
      </c>
      <c r="O280" s="269"/>
      <c r="P280" s="269"/>
      <c r="Q280" s="269"/>
      <c r="R280" s="269" t="s">
        <v>682</v>
      </c>
      <c r="S280" s="78" t="s">
        <v>658</v>
      </c>
      <c r="T280" s="82"/>
      <c r="U280" s="238">
        <f t="shared" si="67"/>
        <v>0.5</v>
      </c>
      <c r="V280" s="238">
        <f t="shared" si="68"/>
        <v>0</v>
      </c>
      <c r="W280" s="238">
        <f t="shared" si="69"/>
        <v>0</v>
      </c>
      <c r="X280" s="238">
        <f t="shared" si="70"/>
        <v>0.5</v>
      </c>
      <c r="Y280" s="238">
        <f t="shared" si="71"/>
        <v>0</v>
      </c>
      <c r="Z280" s="70">
        <v>0.5</v>
      </c>
      <c r="AA280" s="70"/>
      <c r="AB280" s="70"/>
      <c r="AC280" s="70">
        <v>0.5</v>
      </c>
      <c r="AD280" s="71"/>
      <c r="AE280" s="81"/>
      <c r="AF280" s="84"/>
      <c r="AG280" s="132">
        <v>57.655000000000001</v>
      </c>
      <c r="AH280" s="85">
        <v>28.827500000000001</v>
      </c>
      <c r="AI280" s="85">
        <v>0</v>
      </c>
      <c r="AJ280" s="85">
        <v>0</v>
      </c>
      <c r="AK280" s="85">
        <v>28.827500000000001</v>
      </c>
      <c r="AL280" s="133">
        <v>0</v>
      </c>
      <c r="AM280" s="202">
        <f t="shared" si="72"/>
        <v>1.7440453503215544E-3</v>
      </c>
      <c r="AN280" s="202">
        <f t="shared" si="73"/>
        <v>0</v>
      </c>
      <c r="AO280" s="202">
        <f t="shared" si="74"/>
        <v>0</v>
      </c>
      <c r="AP280" s="202">
        <f t="shared" si="75"/>
        <v>1.7440453503215544E-3</v>
      </c>
      <c r="AQ280" s="202">
        <f t="shared" si="76"/>
        <v>0</v>
      </c>
      <c r="AR280" s="213" t="s">
        <v>649</v>
      </c>
      <c r="AS280" s="210" t="s">
        <v>1662</v>
      </c>
      <c r="AT280" s="234">
        <v>331110</v>
      </c>
      <c r="AU280" s="244">
        <f t="shared" si="77"/>
        <v>28.827500000000001</v>
      </c>
      <c r="AV280" s="244">
        <f t="shared" si="78"/>
        <v>0</v>
      </c>
      <c r="AW280" s="244">
        <f t="shared" si="79"/>
        <v>0</v>
      </c>
      <c r="AX280" s="244">
        <f t="shared" si="80"/>
        <v>28.827500000000001</v>
      </c>
      <c r="AY280" s="244">
        <f t="shared" si="81"/>
        <v>0</v>
      </c>
      <c r="AZ280">
        <v>1.8947385717572054E-2</v>
      </c>
    </row>
    <row r="281" spans="1:52" ht="15" customHeight="1" x14ac:dyDescent="0.35">
      <c r="A281" s="67" t="s">
        <v>692</v>
      </c>
      <c r="B281" s="57" t="s">
        <v>693</v>
      </c>
      <c r="C281" s="67" t="s">
        <v>74</v>
      </c>
      <c r="D281" s="67" t="s">
        <v>694</v>
      </c>
      <c r="E281" s="67" t="s">
        <v>694</v>
      </c>
      <c r="F281" s="67" t="s">
        <v>553</v>
      </c>
      <c r="G281" s="67" t="s">
        <v>52</v>
      </c>
      <c r="H281" s="67" t="s">
        <v>695</v>
      </c>
      <c r="I281" s="67" t="s">
        <v>696</v>
      </c>
      <c r="J281" s="105"/>
      <c r="K281" s="228">
        <f t="shared" si="82"/>
        <v>225</v>
      </c>
      <c r="L281" s="269">
        <v>225</v>
      </c>
      <c r="M281" s="269">
        <v>25</v>
      </c>
      <c r="N281" s="269">
        <v>225</v>
      </c>
      <c r="O281" s="269">
        <v>31.6</v>
      </c>
      <c r="P281" s="269"/>
      <c r="Q281" s="269"/>
      <c r="R281" s="269"/>
      <c r="S281" s="67" t="s">
        <v>697</v>
      </c>
      <c r="T281" s="70">
        <f>110238/208364</f>
        <v>0.52906452170240537</v>
      </c>
      <c r="U281" s="238">
        <f t="shared" si="67"/>
        <v>6.4886399999999993</v>
      </c>
      <c r="V281" s="238">
        <f t="shared" si="68"/>
        <v>0</v>
      </c>
      <c r="W281" s="238">
        <f t="shared" si="69"/>
        <v>6.4886399999999993</v>
      </c>
      <c r="X281" s="238">
        <f t="shared" si="70"/>
        <v>0</v>
      </c>
      <c r="Y281" s="238">
        <f t="shared" si="71"/>
        <v>0</v>
      </c>
      <c r="Z281" s="82">
        <v>6.4886399999999993</v>
      </c>
      <c r="AA281" s="82"/>
      <c r="AB281" s="82">
        <v>6.4886399999999993</v>
      </c>
      <c r="AC281" s="82"/>
      <c r="AD281" s="83"/>
      <c r="AE281" s="233"/>
      <c r="AF281" s="72"/>
      <c r="AG281" s="74">
        <v>7.4</v>
      </c>
      <c r="AH281" s="73">
        <v>48.015935999999996</v>
      </c>
      <c r="AI281" s="73">
        <v>0</v>
      </c>
      <c r="AJ281" s="73">
        <v>48.015935999999996</v>
      </c>
      <c r="AK281" s="73">
        <v>0</v>
      </c>
      <c r="AL281" s="129">
        <v>0</v>
      </c>
      <c r="AM281" s="202">
        <f t="shared" si="72"/>
        <v>2.904933480951776E-3</v>
      </c>
      <c r="AN281" s="202">
        <f t="shared" si="73"/>
        <v>0</v>
      </c>
      <c r="AO281" s="202">
        <f t="shared" si="74"/>
        <v>2.904933480951776E-3</v>
      </c>
      <c r="AP281" s="202">
        <f t="shared" si="75"/>
        <v>0</v>
      </c>
      <c r="AQ281" s="202">
        <f t="shared" si="76"/>
        <v>0</v>
      </c>
      <c r="AR281" s="209" t="s">
        <v>692</v>
      </c>
      <c r="AS281" s="223" t="s">
        <v>1658</v>
      </c>
      <c r="AT281" s="234">
        <v>325199</v>
      </c>
      <c r="AU281" s="244">
        <f t="shared" si="77"/>
        <v>48.015935999999996</v>
      </c>
      <c r="AV281" s="244">
        <f t="shared" si="78"/>
        <v>0</v>
      </c>
      <c r="AW281" s="244">
        <f t="shared" si="79"/>
        <v>48.015935999999996</v>
      </c>
      <c r="AX281" s="244">
        <f t="shared" si="80"/>
        <v>0</v>
      </c>
      <c r="AY281" s="244">
        <f t="shared" si="81"/>
        <v>0</v>
      </c>
      <c r="AZ281">
        <v>1.1501373958033917E-2</v>
      </c>
    </row>
    <row r="282" spans="1:52" ht="15" customHeight="1" x14ac:dyDescent="0.35">
      <c r="A282" s="67" t="s">
        <v>692</v>
      </c>
      <c r="B282" s="67" t="s">
        <v>693</v>
      </c>
      <c r="C282" s="67" t="s">
        <v>48</v>
      </c>
      <c r="D282" s="67" t="s">
        <v>552</v>
      </c>
      <c r="E282" s="67" t="s">
        <v>552</v>
      </c>
      <c r="F282" s="67" t="s">
        <v>64</v>
      </c>
      <c r="G282" s="67" t="s">
        <v>52</v>
      </c>
      <c r="H282" s="67" t="s">
        <v>554</v>
      </c>
      <c r="I282" s="67" t="s">
        <v>555</v>
      </c>
      <c r="J282" s="105">
        <v>0.56999999999999995</v>
      </c>
      <c r="K282" s="228">
        <f t="shared" si="82"/>
        <v>1030</v>
      </c>
      <c r="L282" s="269">
        <v>1030</v>
      </c>
      <c r="M282" s="269">
        <v>25</v>
      </c>
      <c r="N282" s="269">
        <v>1030</v>
      </c>
      <c r="O282" s="269">
        <v>25.6</v>
      </c>
      <c r="P282" s="269"/>
      <c r="Q282" s="269"/>
      <c r="R282" s="269"/>
      <c r="S282" s="67" t="s">
        <v>697</v>
      </c>
      <c r="T282" s="70">
        <f>26.579/47.1</f>
        <v>0.56430997876857747</v>
      </c>
      <c r="U282" s="238">
        <f t="shared" si="67"/>
        <v>8.7367658598726123</v>
      </c>
      <c r="V282" s="238">
        <f t="shared" si="68"/>
        <v>0</v>
      </c>
      <c r="W282" s="238">
        <f t="shared" si="69"/>
        <v>1.1923200000000003</v>
      </c>
      <c r="X282" s="238">
        <f t="shared" si="70"/>
        <v>3.82</v>
      </c>
      <c r="Y282" s="238">
        <f t="shared" si="71"/>
        <v>3.7244458598726116</v>
      </c>
      <c r="Z282" s="70">
        <v>8.7367658598726123</v>
      </c>
      <c r="AA282" s="70"/>
      <c r="AB282" s="70">
        <v>1.1923200000000003</v>
      </c>
      <c r="AC282" s="70">
        <v>3.82</v>
      </c>
      <c r="AD282" s="71">
        <v>3.7244458598726116</v>
      </c>
      <c r="AE282" s="233">
        <v>120</v>
      </c>
      <c r="AF282" s="72">
        <v>2</v>
      </c>
      <c r="AG282" s="74">
        <v>7.4</v>
      </c>
      <c r="AH282" s="73">
        <v>64.652067363057341</v>
      </c>
      <c r="AI282" s="73">
        <v>0</v>
      </c>
      <c r="AJ282" s="73">
        <v>8.8231680000000026</v>
      </c>
      <c r="AK282" s="73">
        <v>28.268000000000001</v>
      </c>
      <c r="AL282" s="129">
        <v>27.560899363057327</v>
      </c>
      <c r="AM282" s="202">
        <f t="shared" si="72"/>
        <v>3.9114088101020227E-3</v>
      </c>
      <c r="AN282" s="202">
        <f t="shared" si="73"/>
        <v>0</v>
      </c>
      <c r="AO282" s="202">
        <f t="shared" si="74"/>
        <v>5.3379603245185783E-4</v>
      </c>
      <c r="AP282" s="202">
        <f t="shared" si="75"/>
        <v>1.7101959574326493E-3</v>
      </c>
      <c r="AQ282" s="202">
        <f t="shared" si="76"/>
        <v>1.6674168202175151E-3</v>
      </c>
      <c r="AR282" s="209" t="s">
        <v>692</v>
      </c>
      <c r="AS282" s="223" t="s">
        <v>1658</v>
      </c>
      <c r="AT282" s="234">
        <v>325199</v>
      </c>
      <c r="AU282" s="244">
        <f t="shared" si="77"/>
        <v>64.652067363057341</v>
      </c>
      <c r="AV282" s="244">
        <f t="shared" si="78"/>
        <v>0</v>
      </c>
      <c r="AW282" s="244">
        <f t="shared" si="79"/>
        <v>8.8231680000000026</v>
      </c>
      <c r="AX282" s="244">
        <f t="shared" si="80"/>
        <v>28.268000000000001</v>
      </c>
      <c r="AY282" s="244">
        <f t="shared" si="81"/>
        <v>27.560899363057327</v>
      </c>
      <c r="AZ282">
        <v>1.5486266974000512E-2</v>
      </c>
    </row>
    <row r="283" spans="1:52" ht="15" customHeight="1" x14ac:dyDescent="0.35">
      <c r="A283" s="67" t="s">
        <v>692</v>
      </c>
      <c r="B283" s="67" t="s">
        <v>693</v>
      </c>
      <c r="C283" s="67" t="s">
        <v>67</v>
      </c>
      <c r="D283" s="67" t="s">
        <v>67</v>
      </c>
      <c r="E283" s="67" t="s">
        <v>698</v>
      </c>
      <c r="F283" s="67" t="s">
        <v>553</v>
      </c>
      <c r="G283" s="67" t="s">
        <v>52</v>
      </c>
      <c r="H283" s="67" t="s">
        <v>557</v>
      </c>
      <c r="I283" s="67" t="s">
        <v>558</v>
      </c>
      <c r="J283" s="68" t="s">
        <v>87</v>
      </c>
      <c r="K283" s="228">
        <f t="shared" si="82"/>
        <v>30</v>
      </c>
      <c r="L283" s="269">
        <v>30</v>
      </c>
      <c r="M283" s="269">
        <v>1030</v>
      </c>
      <c r="N283" s="269">
        <v>30</v>
      </c>
      <c r="O283" s="269"/>
      <c r="P283" s="269"/>
      <c r="Q283" s="269"/>
      <c r="R283" s="269"/>
      <c r="S283" s="67" t="s">
        <v>697</v>
      </c>
      <c r="T283" s="70"/>
      <c r="U283" s="238">
        <f t="shared" si="67"/>
        <v>17.2224</v>
      </c>
      <c r="V283" s="238">
        <f t="shared" si="68"/>
        <v>0</v>
      </c>
      <c r="W283" s="238">
        <f t="shared" si="69"/>
        <v>0</v>
      </c>
      <c r="X283" s="238">
        <f t="shared" si="70"/>
        <v>0</v>
      </c>
      <c r="Y283" s="238">
        <f t="shared" si="71"/>
        <v>17.2224</v>
      </c>
      <c r="Z283" s="70">
        <v>-17.2224</v>
      </c>
      <c r="AA283" s="70"/>
      <c r="AB283" s="70"/>
      <c r="AC283" s="70"/>
      <c r="AD283" s="71">
        <v>-17.2224</v>
      </c>
      <c r="AE283" s="233">
        <v>510</v>
      </c>
      <c r="AF283" s="72">
        <v>120</v>
      </c>
      <c r="AG283" s="74">
        <v>7.4</v>
      </c>
      <c r="AH283" s="73">
        <v>-127.44576000000001</v>
      </c>
      <c r="AI283" s="73">
        <v>0</v>
      </c>
      <c r="AJ283" s="73">
        <v>0</v>
      </c>
      <c r="AK283" s="73">
        <v>0</v>
      </c>
      <c r="AL283" s="129">
        <v>-127.44576000000001</v>
      </c>
      <c r="AM283" s="202">
        <f t="shared" si="72"/>
        <v>-7.7103871354157229E-3</v>
      </c>
      <c r="AN283" s="202">
        <f t="shared" si="73"/>
        <v>0</v>
      </c>
      <c r="AO283" s="202">
        <f t="shared" si="74"/>
        <v>0</v>
      </c>
      <c r="AP283" s="202">
        <f t="shared" si="75"/>
        <v>0</v>
      </c>
      <c r="AQ283" s="202">
        <f t="shared" si="76"/>
        <v>-7.7103871354157229E-3</v>
      </c>
      <c r="AR283" s="209" t="s">
        <v>692</v>
      </c>
      <c r="AS283" s="223" t="s">
        <v>1658</v>
      </c>
      <c r="AT283" s="234">
        <v>325199</v>
      </c>
      <c r="AU283" s="244">
        <f t="shared" si="77"/>
        <v>127.44576000000001</v>
      </c>
      <c r="AV283" s="244">
        <f t="shared" si="78"/>
        <v>0</v>
      </c>
      <c r="AW283" s="244">
        <f t="shared" si="79"/>
        <v>0</v>
      </c>
      <c r="AX283" s="244">
        <f t="shared" si="80"/>
        <v>0</v>
      </c>
      <c r="AY283" s="244">
        <f t="shared" si="81"/>
        <v>127.44576000000001</v>
      </c>
      <c r="AZ283">
        <v>-3.0527392929002587E-2</v>
      </c>
    </row>
    <row r="284" spans="1:52" s="246" customFormat="1" ht="15" customHeight="1" x14ac:dyDescent="0.35">
      <c r="A284" s="67" t="s">
        <v>692</v>
      </c>
      <c r="B284" s="67" t="s">
        <v>693</v>
      </c>
      <c r="C284" s="67" t="s">
        <v>62</v>
      </c>
      <c r="D284" s="67" t="s">
        <v>63</v>
      </c>
      <c r="E284" s="67" t="s">
        <v>63</v>
      </c>
      <c r="F284" s="67" t="s">
        <v>553</v>
      </c>
      <c r="G284" s="67" t="s">
        <v>52</v>
      </c>
      <c r="H284" s="67" t="s">
        <v>65</v>
      </c>
      <c r="I284" s="67" t="s">
        <v>559</v>
      </c>
      <c r="J284" s="105">
        <v>0.3</v>
      </c>
      <c r="K284" s="228">
        <f t="shared" si="82"/>
        <v>510</v>
      </c>
      <c r="L284" s="269">
        <v>510</v>
      </c>
      <c r="M284" s="269">
        <v>510</v>
      </c>
      <c r="N284" s="269">
        <v>395</v>
      </c>
      <c r="O284" s="269">
        <v>120</v>
      </c>
      <c r="P284" s="269">
        <v>41</v>
      </c>
      <c r="Q284" s="269"/>
      <c r="R284" s="269"/>
      <c r="S284" s="67" t="s">
        <v>697</v>
      </c>
      <c r="T284" s="70"/>
      <c r="U284" s="238">
        <f t="shared" si="67"/>
        <v>5.1667199999999998</v>
      </c>
      <c r="V284" s="238">
        <f t="shared" si="68"/>
        <v>0</v>
      </c>
      <c r="W284" s="238">
        <f t="shared" si="69"/>
        <v>5.1667199999999998</v>
      </c>
      <c r="X284" s="238">
        <f t="shared" si="70"/>
        <v>0</v>
      </c>
      <c r="Y284" s="238">
        <f t="shared" si="71"/>
        <v>0</v>
      </c>
      <c r="Z284" s="70">
        <v>-5.1667199999999998</v>
      </c>
      <c r="AA284" s="70"/>
      <c r="AB284" s="70">
        <v>-5.1667199999999998</v>
      </c>
      <c r="AC284" s="70"/>
      <c r="AD284" s="71"/>
      <c r="AE284" s="245"/>
      <c r="AF284" s="72"/>
      <c r="AG284" s="74">
        <v>7.4</v>
      </c>
      <c r="AH284" s="73">
        <v>-38.233727999999999</v>
      </c>
      <c r="AI284" s="73">
        <v>0</v>
      </c>
      <c r="AJ284" s="73">
        <v>-38.233727999999999</v>
      </c>
      <c r="AK284" s="73">
        <v>0</v>
      </c>
      <c r="AL284" s="129">
        <v>0</v>
      </c>
      <c r="AM284" s="202">
        <f t="shared" si="72"/>
        <v>-2.3131161406247168E-3</v>
      </c>
      <c r="AN284" s="202">
        <f t="shared" si="73"/>
        <v>0</v>
      </c>
      <c r="AO284" s="202">
        <f t="shared" si="74"/>
        <v>-2.3131161406247168E-3</v>
      </c>
      <c r="AP284" s="202">
        <f t="shared" si="75"/>
        <v>0</v>
      </c>
      <c r="AQ284" s="202">
        <f t="shared" si="76"/>
        <v>0</v>
      </c>
      <c r="AR284" s="209" t="s">
        <v>692</v>
      </c>
      <c r="AS284" s="223" t="s">
        <v>1658</v>
      </c>
      <c r="AT284" s="246">
        <v>325199</v>
      </c>
      <c r="AU284" s="246">
        <f t="shared" si="77"/>
        <v>38.233727999999999</v>
      </c>
      <c r="AV284" s="246">
        <f t="shared" si="78"/>
        <v>0</v>
      </c>
      <c r="AW284" s="246">
        <f t="shared" si="79"/>
        <v>38.233727999999999</v>
      </c>
      <c r="AX284" s="246">
        <f t="shared" si="80"/>
        <v>0</v>
      </c>
      <c r="AY284" s="246">
        <f t="shared" si="81"/>
        <v>0</v>
      </c>
      <c r="AZ284" s="246">
        <v>-9.1582178787007751E-3</v>
      </c>
    </row>
    <row r="285" spans="1:52" ht="15" customHeight="1" x14ac:dyDescent="0.35">
      <c r="A285" s="67" t="s">
        <v>692</v>
      </c>
      <c r="B285" s="67" t="s">
        <v>693</v>
      </c>
      <c r="C285" s="67" t="s">
        <v>71</v>
      </c>
      <c r="D285" s="67" t="s">
        <v>71</v>
      </c>
      <c r="E285" s="67" t="s">
        <v>699</v>
      </c>
      <c r="F285" s="67" t="s">
        <v>562</v>
      </c>
      <c r="G285" s="67" t="s">
        <v>52</v>
      </c>
      <c r="H285" s="67" t="s">
        <v>72</v>
      </c>
      <c r="I285" s="67" t="s">
        <v>700</v>
      </c>
      <c r="J285" s="105">
        <v>0.9</v>
      </c>
      <c r="K285" s="228">
        <f t="shared" si="82"/>
        <v>50</v>
      </c>
      <c r="L285" s="269">
        <v>50</v>
      </c>
      <c r="M285" s="269">
        <v>30</v>
      </c>
      <c r="N285" s="269">
        <v>50</v>
      </c>
      <c r="O285" s="269">
        <v>93</v>
      </c>
      <c r="P285" s="269">
        <v>25</v>
      </c>
      <c r="Q285" s="269">
        <v>93</v>
      </c>
      <c r="R285" s="269"/>
      <c r="S285" s="67" t="s">
        <v>697</v>
      </c>
      <c r="T285" s="70"/>
      <c r="U285" s="238">
        <f t="shared" si="67"/>
        <v>4.2422400000000007</v>
      </c>
      <c r="V285" s="238">
        <f t="shared" si="68"/>
        <v>0</v>
      </c>
      <c r="W285" s="238">
        <f t="shared" si="69"/>
        <v>4.2422400000000007</v>
      </c>
      <c r="X285" s="238">
        <f t="shared" si="70"/>
        <v>0</v>
      </c>
      <c r="Y285" s="238">
        <f t="shared" si="71"/>
        <v>0</v>
      </c>
      <c r="Z285" s="70">
        <v>4.2422400000000007</v>
      </c>
      <c r="AA285" s="70"/>
      <c r="AB285" s="70">
        <v>4.2422400000000007</v>
      </c>
      <c r="AC285" s="70"/>
      <c r="AD285" s="71"/>
      <c r="AE285" s="233"/>
      <c r="AF285" s="72"/>
      <c r="AG285" s="74">
        <v>7.4</v>
      </c>
      <c r="AH285" s="73">
        <v>31.392576000000005</v>
      </c>
      <c r="AI285" s="73">
        <v>0</v>
      </c>
      <c r="AJ285" s="73">
        <v>31.392576000000005</v>
      </c>
      <c r="AK285" s="73">
        <v>0</v>
      </c>
      <c r="AL285" s="129">
        <v>0</v>
      </c>
      <c r="AM285" s="202">
        <f t="shared" si="72"/>
        <v>1.8992308111149432E-3</v>
      </c>
      <c r="AN285" s="202">
        <f t="shared" si="73"/>
        <v>0</v>
      </c>
      <c r="AO285" s="202">
        <f t="shared" si="74"/>
        <v>1.8992308111149432E-3</v>
      </c>
      <c r="AP285" s="202">
        <f t="shared" si="75"/>
        <v>0</v>
      </c>
      <c r="AQ285" s="202">
        <f t="shared" si="76"/>
        <v>0</v>
      </c>
      <c r="AR285" s="209" t="s">
        <v>692</v>
      </c>
      <c r="AS285" s="223" t="s">
        <v>1658</v>
      </c>
      <c r="AT285" s="234">
        <v>325199</v>
      </c>
      <c r="AU285" s="244">
        <f t="shared" si="77"/>
        <v>31.392576000000005</v>
      </c>
      <c r="AV285" s="244">
        <f t="shared" si="78"/>
        <v>0</v>
      </c>
      <c r="AW285" s="244">
        <f t="shared" si="79"/>
        <v>31.392576000000005</v>
      </c>
      <c r="AX285" s="244">
        <f t="shared" si="80"/>
        <v>0</v>
      </c>
      <c r="AY285" s="244">
        <f t="shared" si="81"/>
        <v>0</v>
      </c>
      <c r="AZ285">
        <v>7.5195400977292335E-3</v>
      </c>
    </row>
    <row r="286" spans="1:52" ht="15" customHeight="1" x14ac:dyDescent="0.35">
      <c r="A286" s="67" t="s">
        <v>692</v>
      </c>
      <c r="B286" s="67" t="s">
        <v>693</v>
      </c>
      <c r="C286" s="67" t="s">
        <v>48</v>
      </c>
      <c r="D286" s="67" t="s">
        <v>560</v>
      </c>
      <c r="E286" s="67" t="s">
        <v>701</v>
      </c>
      <c r="F286" s="67" t="s">
        <v>702</v>
      </c>
      <c r="G286" s="67" t="s">
        <v>52</v>
      </c>
      <c r="H286" s="67" t="s">
        <v>578</v>
      </c>
      <c r="I286" s="67" t="s">
        <v>703</v>
      </c>
      <c r="J286" s="105"/>
      <c r="K286" s="228">
        <f t="shared" si="82"/>
        <v>217</v>
      </c>
      <c r="L286" s="269">
        <v>217</v>
      </c>
      <c r="M286" s="269">
        <v>217</v>
      </c>
      <c r="N286" s="269">
        <v>50</v>
      </c>
      <c r="O286" s="269">
        <v>6.2</v>
      </c>
      <c r="P286" s="269"/>
      <c r="Q286" s="269"/>
      <c r="R286" s="269"/>
      <c r="S286" s="67" t="s">
        <v>697</v>
      </c>
      <c r="T286" s="70"/>
      <c r="U286" s="238">
        <f t="shared" si="67"/>
        <v>0</v>
      </c>
      <c r="V286" s="238">
        <f t="shared" si="68"/>
        <v>0</v>
      </c>
      <c r="W286" s="238">
        <f t="shared" si="69"/>
        <v>0</v>
      </c>
      <c r="X286" s="238">
        <f t="shared" si="70"/>
        <v>0</v>
      </c>
      <c r="Y286" s="238">
        <f t="shared" si="71"/>
        <v>0</v>
      </c>
      <c r="Z286" s="70">
        <v>0</v>
      </c>
      <c r="AA286" s="70"/>
      <c r="AB286" s="70"/>
      <c r="AC286" s="70"/>
      <c r="AD286" s="71"/>
      <c r="AE286" s="233"/>
      <c r="AF286" s="72"/>
      <c r="AG286" s="74">
        <v>7.4</v>
      </c>
      <c r="AH286" s="73">
        <v>0</v>
      </c>
      <c r="AI286" s="73">
        <v>0</v>
      </c>
      <c r="AJ286" s="73">
        <v>0</v>
      </c>
      <c r="AK286" s="73">
        <v>0</v>
      </c>
      <c r="AL286" s="129">
        <v>0</v>
      </c>
      <c r="AM286" s="202">
        <f t="shared" si="72"/>
        <v>0</v>
      </c>
      <c r="AN286" s="202">
        <f t="shared" si="73"/>
        <v>0</v>
      </c>
      <c r="AO286" s="202">
        <f t="shared" si="74"/>
        <v>0</v>
      </c>
      <c r="AP286" s="202">
        <f t="shared" si="75"/>
        <v>0</v>
      </c>
      <c r="AQ286" s="202">
        <f t="shared" si="76"/>
        <v>0</v>
      </c>
      <c r="AR286" s="209" t="s">
        <v>692</v>
      </c>
      <c r="AS286" s="223" t="s">
        <v>1658</v>
      </c>
      <c r="AT286" s="234">
        <v>325199</v>
      </c>
      <c r="AU286" s="244">
        <f t="shared" si="77"/>
        <v>0</v>
      </c>
      <c r="AV286" s="244">
        <f t="shared" si="78"/>
        <v>0</v>
      </c>
      <c r="AW286" s="244">
        <f t="shared" si="79"/>
        <v>0</v>
      </c>
      <c r="AX286" s="244">
        <f t="shared" si="80"/>
        <v>0</v>
      </c>
      <c r="AY286" s="244">
        <f t="shared" si="81"/>
        <v>0</v>
      </c>
      <c r="AZ286">
        <v>0</v>
      </c>
    </row>
    <row r="287" spans="1:52" ht="15" customHeight="1" x14ac:dyDescent="0.35">
      <c r="A287" s="67" t="s">
        <v>692</v>
      </c>
      <c r="B287" s="67" t="s">
        <v>693</v>
      </c>
      <c r="C287" s="67" t="s">
        <v>74</v>
      </c>
      <c r="D287" s="67" t="s">
        <v>83</v>
      </c>
      <c r="E287" s="67" t="s">
        <v>704</v>
      </c>
      <c r="F287" s="67" t="s">
        <v>702</v>
      </c>
      <c r="G287" s="67" t="s">
        <v>52</v>
      </c>
      <c r="H287" s="67" t="s">
        <v>199</v>
      </c>
      <c r="I287" s="67" t="s">
        <v>705</v>
      </c>
      <c r="J287" s="76" t="s">
        <v>87</v>
      </c>
      <c r="K287" s="228">
        <f t="shared" si="82"/>
        <v>45</v>
      </c>
      <c r="L287" s="269">
        <v>45</v>
      </c>
      <c r="M287" s="269">
        <v>50</v>
      </c>
      <c r="N287" s="269">
        <v>45</v>
      </c>
      <c r="O287" s="269">
        <v>1</v>
      </c>
      <c r="P287" s="269"/>
      <c r="Q287" s="269"/>
      <c r="R287" s="269"/>
      <c r="S287" s="67" t="s">
        <v>697</v>
      </c>
      <c r="T287" s="70"/>
      <c r="U287" s="238">
        <f t="shared" si="67"/>
        <v>13.372541009138741</v>
      </c>
      <c r="V287" s="238">
        <f t="shared" si="68"/>
        <v>0</v>
      </c>
      <c r="W287" s="238">
        <f t="shared" si="69"/>
        <v>0.9037440000000001</v>
      </c>
      <c r="X287" s="238">
        <f t="shared" si="70"/>
        <v>0</v>
      </c>
      <c r="Y287" s="238">
        <f t="shared" si="71"/>
        <v>12.468797009138742</v>
      </c>
      <c r="Z287" s="70">
        <v>13.372541009138741</v>
      </c>
      <c r="AA287" s="70"/>
      <c r="AB287" s="70">
        <v>0.9037440000000001</v>
      </c>
      <c r="AC287" s="70"/>
      <c r="AD287" s="71">
        <v>12.468797009138742</v>
      </c>
      <c r="AE287" s="233">
        <v>210</v>
      </c>
      <c r="AF287" s="72">
        <v>37</v>
      </c>
      <c r="AG287" s="74">
        <v>7.4</v>
      </c>
      <c r="AH287" s="73">
        <v>98.956803467626685</v>
      </c>
      <c r="AI287" s="73">
        <v>0</v>
      </c>
      <c r="AJ287" s="73">
        <v>6.687705600000001</v>
      </c>
      <c r="AK287" s="73">
        <v>0</v>
      </c>
      <c r="AL287" s="129">
        <v>92.269097867626698</v>
      </c>
      <c r="AM287" s="202">
        <f t="shared" si="72"/>
        <v>5.98682344880403E-3</v>
      </c>
      <c r="AN287" s="202">
        <f t="shared" si="73"/>
        <v>0</v>
      </c>
      <c r="AO287" s="202">
        <f t="shared" si="74"/>
        <v>4.0460192024974147E-4</v>
      </c>
      <c r="AP287" s="202">
        <f t="shared" si="75"/>
        <v>0</v>
      </c>
      <c r="AQ287" s="202">
        <f t="shared" si="76"/>
        <v>5.5822215285542898E-3</v>
      </c>
      <c r="AR287" s="209" t="s">
        <v>692</v>
      </c>
      <c r="AS287" s="223" t="s">
        <v>1658</v>
      </c>
      <c r="AT287" s="234">
        <v>325199</v>
      </c>
      <c r="AU287" s="244">
        <f t="shared" si="77"/>
        <v>98.956803467626685</v>
      </c>
      <c r="AV287" s="244">
        <f t="shared" si="78"/>
        <v>0</v>
      </c>
      <c r="AW287" s="244">
        <f t="shared" si="79"/>
        <v>6.687705600000001</v>
      </c>
      <c r="AX287" s="244">
        <f t="shared" si="80"/>
        <v>0</v>
      </c>
      <c r="AY287" s="244">
        <f t="shared" si="81"/>
        <v>92.269097867626698</v>
      </c>
      <c r="AZ287">
        <v>2.3703363865964042E-2</v>
      </c>
    </row>
    <row r="288" spans="1:52" s="155" customFormat="1" ht="15" customHeight="1" x14ac:dyDescent="0.35">
      <c r="A288" s="78" t="s">
        <v>692</v>
      </c>
      <c r="B288" s="78" t="s">
        <v>693</v>
      </c>
      <c r="C288" s="78" t="s">
        <v>92</v>
      </c>
      <c r="D288" s="78" t="s">
        <v>93</v>
      </c>
      <c r="E288" s="78" t="s">
        <v>93</v>
      </c>
      <c r="F288" s="78" t="s">
        <v>702</v>
      </c>
      <c r="G288" s="78" t="s">
        <v>52</v>
      </c>
      <c r="H288" s="78" t="s">
        <v>584</v>
      </c>
      <c r="I288" s="78" t="s">
        <v>584</v>
      </c>
      <c r="J288" s="111"/>
      <c r="K288" s="228">
        <v>350</v>
      </c>
      <c r="L288" s="269"/>
      <c r="M288" s="269"/>
      <c r="N288" s="269"/>
      <c r="O288" s="269"/>
      <c r="P288" s="269"/>
      <c r="Q288" s="269"/>
      <c r="R288" s="269"/>
      <c r="S288" s="78" t="s">
        <v>697</v>
      </c>
      <c r="T288" s="82"/>
      <c r="U288" s="238">
        <f t="shared" si="67"/>
        <v>1.0291571309886471</v>
      </c>
      <c r="V288" s="238">
        <f t="shared" si="68"/>
        <v>0</v>
      </c>
      <c r="W288" s="238">
        <f t="shared" si="69"/>
        <v>0</v>
      </c>
      <c r="X288" s="238">
        <f t="shared" si="70"/>
        <v>0</v>
      </c>
      <c r="Y288" s="238">
        <f t="shared" si="71"/>
        <v>1.0291571309886471</v>
      </c>
      <c r="Z288" s="70">
        <v>-1.0291571309886471</v>
      </c>
      <c r="AA288" s="70"/>
      <c r="AB288" s="70"/>
      <c r="AC288" s="70"/>
      <c r="AD288" s="71">
        <v>-1.0291571309886471</v>
      </c>
      <c r="AE288" s="233">
        <v>120</v>
      </c>
      <c r="AF288" s="84">
        <v>2</v>
      </c>
      <c r="AG288" s="74">
        <v>7.4</v>
      </c>
      <c r="AH288" s="73">
        <v>-7.6157627693159888</v>
      </c>
      <c r="AI288" s="73">
        <v>0</v>
      </c>
      <c r="AJ288" s="73">
        <v>0</v>
      </c>
      <c r="AK288" s="73">
        <v>0</v>
      </c>
      <c r="AL288" s="129">
        <v>-7.6157627693159888</v>
      </c>
      <c r="AM288" s="202">
        <f t="shared" si="72"/>
        <v>-4.6074878664391827E-4</v>
      </c>
      <c r="AN288" s="202">
        <f t="shared" si="73"/>
        <v>0</v>
      </c>
      <c r="AO288" s="202">
        <f t="shared" si="74"/>
        <v>0</v>
      </c>
      <c r="AP288" s="202">
        <f t="shared" si="75"/>
        <v>0</v>
      </c>
      <c r="AQ288" s="202">
        <f t="shared" si="76"/>
        <v>-4.6074878664391827E-4</v>
      </c>
      <c r="AR288" s="213" t="s">
        <v>692</v>
      </c>
      <c r="AS288" s="223" t="s">
        <v>1658</v>
      </c>
      <c r="AT288" s="234">
        <v>325199</v>
      </c>
      <c r="AU288" s="244">
        <f t="shared" si="77"/>
        <v>7.6157627693159888</v>
      </c>
      <c r="AV288" s="244">
        <f t="shared" si="78"/>
        <v>0</v>
      </c>
      <c r="AW288" s="244">
        <f t="shared" si="79"/>
        <v>0</v>
      </c>
      <c r="AX288" s="244">
        <f t="shared" si="80"/>
        <v>0</v>
      </c>
      <c r="AY288" s="244">
        <f t="shared" si="81"/>
        <v>7.6157627693159888</v>
      </c>
      <c r="AZ288" s="155">
        <v>-1.8242221829347486E-3</v>
      </c>
    </row>
    <row r="289" spans="1:52" ht="15" customHeight="1" x14ac:dyDescent="0.35">
      <c r="A289" s="67" t="s">
        <v>706</v>
      </c>
      <c r="B289" s="67" t="s">
        <v>707</v>
      </c>
      <c r="C289" s="67" t="s">
        <v>149</v>
      </c>
      <c r="D289" s="67" t="s">
        <v>708</v>
      </c>
      <c r="E289" s="67" t="s">
        <v>709</v>
      </c>
      <c r="F289" s="67" t="s">
        <v>710</v>
      </c>
      <c r="G289" s="57" t="s">
        <v>52</v>
      </c>
      <c r="H289" s="139" t="s">
        <v>711</v>
      </c>
      <c r="I289" s="140" t="s">
        <v>712</v>
      </c>
      <c r="J289" s="141" t="s">
        <v>681</v>
      </c>
      <c r="K289" s="228">
        <f t="shared" si="82"/>
        <v>25</v>
      </c>
      <c r="L289" s="269">
        <v>25</v>
      </c>
      <c r="M289" s="269">
        <v>25</v>
      </c>
      <c r="N289" s="269">
        <v>25</v>
      </c>
      <c r="O289" s="269">
        <v>1</v>
      </c>
      <c r="P289" s="269">
        <v>1</v>
      </c>
      <c r="Q289" s="269">
        <v>1</v>
      </c>
      <c r="R289" s="269"/>
      <c r="S289" s="56" t="s">
        <v>713</v>
      </c>
      <c r="T289" s="70"/>
      <c r="U289" s="238">
        <f t="shared" si="67"/>
        <v>8.8568245024423897E-2</v>
      </c>
      <c r="V289" s="238">
        <f t="shared" si="68"/>
        <v>0</v>
      </c>
      <c r="W289" s="238">
        <f t="shared" si="69"/>
        <v>8.8568245024423897E-2</v>
      </c>
      <c r="X289" s="238">
        <f t="shared" si="70"/>
        <v>0</v>
      </c>
      <c r="Y289" s="238">
        <f t="shared" si="71"/>
        <v>0</v>
      </c>
      <c r="Z289" s="82">
        <v>8.8568245024423897E-2</v>
      </c>
      <c r="AA289" s="82"/>
      <c r="AB289" s="82">
        <v>8.8568245024423897E-2</v>
      </c>
      <c r="AC289" s="82"/>
      <c r="AD289" s="83">
        <v>0</v>
      </c>
      <c r="AE289" s="142" t="s">
        <v>714</v>
      </c>
      <c r="AF289" s="121">
        <v>1</v>
      </c>
      <c r="AG289" s="64">
        <v>42.015278538839993</v>
      </c>
      <c r="AH289" s="64">
        <v>3.7212194843973996</v>
      </c>
      <c r="AI289" s="64">
        <v>0</v>
      </c>
      <c r="AJ289" s="64">
        <v>3.7212194843973996</v>
      </c>
      <c r="AK289" s="64">
        <v>0</v>
      </c>
      <c r="AL289" s="65">
        <v>0</v>
      </c>
      <c r="AM289" s="202">
        <f t="shared" si="72"/>
        <v>2.2513140366973397E-4</v>
      </c>
      <c r="AN289" s="202">
        <f t="shared" si="73"/>
        <v>0</v>
      </c>
      <c r="AO289" s="202">
        <f t="shared" si="74"/>
        <v>2.2513140366973397E-4</v>
      </c>
      <c r="AP289" s="202">
        <f t="shared" si="75"/>
        <v>0</v>
      </c>
      <c r="AQ289" s="202">
        <f t="shared" si="76"/>
        <v>0</v>
      </c>
      <c r="AR289" s="209" t="s">
        <v>706</v>
      </c>
      <c r="AS289" s="223" t="s">
        <v>1658</v>
      </c>
      <c r="AT289" s="234">
        <v>325193</v>
      </c>
      <c r="AU289" s="244">
        <f t="shared" si="77"/>
        <v>3.7212194843973996</v>
      </c>
      <c r="AV289" s="244">
        <f t="shared" si="78"/>
        <v>0</v>
      </c>
      <c r="AW289" s="244">
        <f t="shared" si="79"/>
        <v>3.7212194843973996</v>
      </c>
      <c r="AX289" s="244">
        <f t="shared" si="80"/>
        <v>0</v>
      </c>
      <c r="AY289" s="244">
        <f t="shared" si="81"/>
        <v>0</v>
      </c>
      <c r="AZ289">
        <v>8.9135275567629572E-4</v>
      </c>
    </row>
    <row r="290" spans="1:52" ht="15.75" customHeight="1" x14ac:dyDescent="0.35">
      <c r="A290" s="67" t="s">
        <v>706</v>
      </c>
      <c r="B290" s="67" t="s">
        <v>707</v>
      </c>
      <c r="C290" s="67" t="s">
        <v>48</v>
      </c>
      <c r="D290" s="67" t="s">
        <v>194</v>
      </c>
      <c r="E290" s="67" t="s">
        <v>715</v>
      </c>
      <c r="F290" s="67" t="s">
        <v>716</v>
      </c>
      <c r="G290" s="67" t="s">
        <v>52</v>
      </c>
      <c r="H290" s="139" t="s">
        <v>578</v>
      </c>
      <c r="I290" s="139" t="s">
        <v>717</v>
      </c>
      <c r="J290" s="143" t="s">
        <v>681</v>
      </c>
      <c r="K290" s="228">
        <f>N290</f>
        <v>32</v>
      </c>
      <c r="L290" s="269" t="s">
        <v>718</v>
      </c>
      <c r="M290" s="269">
        <v>25</v>
      </c>
      <c r="N290" s="269">
        <v>32</v>
      </c>
      <c r="O290" s="269">
        <v>1</v>
      </c>
      <c r="P290" s="269">
        <v>1</v>
      </c>
      <c r="Q290" s="269">
        <v>1</v>
      </c>
      <c r="R290" s="269">
        <v>21600</v>
      </c>
      <c r="S290" s="66" t="s">
        <v>713</v>
      </c>
      <c r="T290" s="70"/>
      <c r="U290" s="238">
        <f t="shared" si="67"/>
        <v>2.2780740632576957</v>
      </c>
      <c r="V290" s="238">
        <f t="shared" si="68"/>
        <v>0</v>
      </c>
      <c r="W290" s="238">
        <f t="shared" si="69"/>
        <v>3.35218457263756E-2</v>
      </c>
      <c r="X290" s="238">
        <f t="shared" si="70"/>
        <v>0</v>
      </c>
      <c r="Y290" s="238">
        <f t="shared" si="71"/>
        <v>2.2445522175313202</v>
      </c>
      <c r="Z290" s="70">
        <v>2.2780740632576957</v>
      </c>
      <c r="AA290" s="70"/>
      <c r="AB290" s="70">
        <v>3.35218457263756E-2</v>
      </c>
      <c r="AC290" s="70"/>
      <c r="AD290" s="71">
        <v>2.2445522175313202</v>
      </c>
      <c r="AE290" s="233"/>
      <c r="AF290" s="72"/>
      <c r="AG290" s="74">
        <v>42.015278538839993</v>
      </c>
      <c r="AH290" s="74">
        <v>95.713916299879088</v>
      </c>
      <c r="AI290" s="74">
        <v>0</v>
      </c>
      <c r="AJ290" s="74">
        <v>1.4084296853296938</v>
      </c>
      <c r="AK290" s="74">
        <v>0</v>
      </c>
      <c r="AL290" s="75">
        <v>94.305486614549395</v>
      </c>
      <c r="AM290" s="202">
        <f t="shared" si="72"/>
        <v>5.7906308449872709E-3</v>
      </c>
      <c r="AN290" s="202">
        <f t="shared" si="73"/>
        <v>0</v>
      </c>
      <c r="AO290" s="202">
        <f t="shared" si="74"/>
        <v>8.5209097006473062E-5</v>
      </c>
      <c r="AP290" s="202">
        <f t="shared" si="75"/>
        <v>0</v>
      </c>
      <c r="AQ290" s="202">
        <f t="shared" si="76"/>
        <v>5.7054217479807975E-3</v>
      </c>
      <c r="AR290" s="209" t="s">
        <v>706</v>
      </c>
      <c r="AS290" s="223" t="s">
        <v>1658</v>
      </c>
      <c r="AT290" s="234">
        <v>325193</v>
      </c>
      <c r="AU290" s="244">
        <f t="shared" si="77"/>
        <v>95.713916299879088</v>
      </c>
      <c r="AV290" s="244">
        <f t="shared" si="78"/>
        <v>0</v>
      </c>
      <c r="AW290" s="244">
        <f t="shared" si="79"/>
        <v>1.4084296853296938</v>
      </c>
      <c r="AX290" s="244">
        <f t="shared" si="80"/>
        <v>0</v>
      </c>
      <c r="AY290" s="244">
        <f t="shared" si="81"/>
        <v>94.305486614549395</v>
      </c>
      <c r="AZ290">
        <v>2.2926587213729779E-2</v>
      </c>
    </row>
    <row r="291" spans="1:52" ht="15.75" customHeight="1" x14ac:dyDescent="0.35">
      <c r="A291" s="67" t="s">
        <v>706</v>
      </c>
      <c r="B291" s="67" t="s">
        <v>707</v>
      </c>
      <c r="C291" s="67" t="s">
        <v>48</v>
      </c>
      <c r="D291" s="67" t="s">
        <v>378</v>
      </c>
      <c r="E291" s="67" t="s">
        <v>378</v>
      </c>
      <c r="F291" s="67" t="s">
        <v>719</v>
      </c>
      <c r="G291" s="67" t="s">
        <v>52</v>
      </c>
      <c r="H291" s="139" t="s">
        <v>578</v>
      </c>
      <c r="I291" s="139" t="s">
        <v>720</v>
      </c>
      <c r="J291" s="143"/>
      <c r="K291" s="228">
        <f t="shared" si="82"/>
        <v>32</v>
      </c>
      <c r="L291" s="269">
        <v>32</v>
      </c>
      <c r="M291" s="269">
        <v>32</v>
      </c>
      <c r="N291" s="269">
        <v>32</v>
      </c>
      <c r="O291" s="269">
        <v>1</v>
      </c>
      <c r="P291" s="269">
        <v>1</v>
      </c>
      <c r="Q291" s="269">
        <v>1</v>
      </c>
      <c r="R291" s="269">
        <v>198000</v>
      </c>
      <c r="S291" s="66" t="s">
        <v>713</v>
      </c>
      <c r="T291" s="70"/>
      <c r="U291" s="238">
        <f t="shared" si="67"/>
        <v>5.8222153103704898E-2</v>
      </c>
      <c r="V291" s="238">
        <f t="shared" si="68"/>
        <v>0</v>
      </c>
      <c r="W291" s="238">
        <f t="shared" si="69"/>
        <v>5.8222153103704898E-2</v>
      </c>
      <c r="X291" s="238">
        <f t="shared" si="70"/>
        <v>0</v>
      </c>
      <c r="Y291" s="238">
        <f t="shared" si="71"/>
        <v>0</v>
      </c>
      <c r="Z291" s="70">
        <v>5.8222153103704898E-2</v>
      </c>
      <c r="AA291" s="70"/>
      <c r="AB291" s="70">
        <v>5.8222153103704898E-2</v>
      </c>
      <c r="AC291" s="70"/>
      <c r="AD291" s="71">
        <v>0</v>
      </c>
      <c r="AE291" s="233"/>
      <c r="AF291" s="72"/>
      <c r="AG291" s="74">
        <v>42.015278538839993</v>
      </c>
      <c r="AH291" s="74">
        <v>2.4462199797831485</v>
      </c>
      <c r="AI291" s="74">
        <v>0</v>
      </c>
      <c r="AJ291" s="74">
        <v>2.4462199797831485</v>
      </c>
      <c r="AK291" s="74">
        <v>0</v>
      </c>
      <c r="AL291" s="75">
        <v>0</v>
      </c>
      <c r="AM291" s="202">
        <f t="shared" si="72"/>
        <v>1.479947474322951E-4</v>
      </c>
      <c r="AN291" s="202">
        <f t="shared" si="73"/>
        <v>0</v>
      </c>
      <c r="AO291" s="202">
        <f t="shared" si="74"/>
        <v>1.479947474322951E-4</v>
      </c>
      <c r="AP291" s="202">
        <f t="shared" si="75"/>
        <v>0</v>
      </c>
      <c r="AQ291" s="202">
        <f t="shared" si="76"/>
        <v>0</v>
      </c>
      <c r="AR291" s="209" t="s">
        <v>706</v>
      </c>
      <c r="AS291" s="223" t="s">
        <v>1658</v>
      </c>
      <c r="AT291" s="234">
        <v>325193</v>
      </c>
      <c r="AU291" s="244">
        <f t="shared" si="77"/>
        <v>2.4462199797831485</v>
      </c>
      <c r="AV291" s="244">
        <f t="shared" si="78"/>
        <v>0</v>
      </c>
      <c r="AW291" s="244">
        <f t="shared" si="79"/>
        <v>2.4462199797831485</v>
      </c>
      <c r="AX291" s="244">
        <f t="shared" si="80"/>
        <v>0</v>
      </c>
      <c r="AY291" s="244">
        <f t="shared" si="81"/>
        <v>0</v>
      </c>
      <c r="AZ291">
        <v>5.8594902265573167E-4</v>
      </c>
    </row>
    <row r="292" spans="1:52" ht="15.75" customHeight="1" x14ac:dyDescent="0.35">
      <c r="A292" s="67" t="s">
        <v>706</v>
      </c>
      <c r="B292" s="67" t="s">
        <v>707</v>
      </c>
      <c r="C292" s="67" t="s">
        <v>74</v>
      </c>
      <c r="D292" s="67" t="s">
        <v>83</v>
      </c>
      <c r="E292" s="67" t="s">
        <v>83</v>
      </c>
      <c r="F292" s="67" t="s">
        <v>721</v>
      </c>
      <c r="G292" s="67" t="s">
        <v>52</v>
      </c>
      <c r="H292" s="139" t="s">
        <v>504</v>
      </c>
      <c r="I292" s="139" t="s">
        <v>722</v>
      </c>
      <c r="J292" s="76" t="s">
        <v>87</v>
      </c>
      <c r="K292" s="228">
        <f>N292</f>
        <v>78.400000000000006</v>
      </c>
      <c r="L292" s="269" t="s">
        <v>723</v>
      </c>
      <c r="M292" s="269">
        <v>32</v>
      </c>
      <c r="N292" s="269">
        <v>78.400000000000006</v>
      </c>
      <c r="O292" s="269">
        <v>1</v>
      </c>
      <c r="P292" s="269">
        <v>1</v>
      </c>
      <c r="Q292" s="269">
        <v>1</v>
      </c>
      <c r="R292" s="269"/>
      <c r="S292" s="66" t="s">
        <v>713</v>
      </c>
      <c r="T292" s="70"/>
      <c r="U292" s="238">
        <f t="shared" si="67"/>
        <v>2.4008698770764156</v>
      </c>
      <c r="V292" s="238">
        <f t="shared" si="68"/>
        <v>0</v>
      </c>
      <c r="W292" s="238">
        <f t="shared" si="69"/>
        <v>4.9400614754658697E-3</v>
      </c>
      <c r="X292" s="238">
        <f t="shared" si="70"/>
        <v>0</v>
      </c>
      <c r="Y292" s="238">
        <f t="shared" si="71"/>
        <v>2.3959298156009496</v>
      </c>
      <c r="Z292" s="70">
        <v>2.4008698770764156</v>
      </c>
      <c r="AA292" s="70"/>
      <c r="AB292" s="70">
        <v>4.9400614754658697E-3</v>
      </c>
      <c r="AC292" s="70"/>
      <c r="AD292" s="71">
        <v>2.3959298156009496</v>
      </c>
      <c r="AE292" s="233"/>
      <c r="AF292" s="72"/>
      <c r="AG292" s="74">
        <v>42.015278538839993</v>
      </c>
      <c r="AH292" s="74">
        <v>100.87321662087614</v>
      </c>
      <c r="AI292" s="74">
        <v>0</v>
      </c>
      <c r="AJ292" s="74">
        <v>0.2075580588906914</v>
      </c>
      <c r="AK292" s="74">
        <v>0</v>
      </c>
      <c r="AL292" s="75">
        <v>100.66565856198544</v>
      </c>
      <c r="AM292" s="202">
        <f t="shared" si="72"/>
        <v>6.1027652213899207E-3</v>
      </c>
      <c r="AN292" s="202">
        <f t="shared" si="73"/>
        <v>0</v>
      </c>
      <c r="AO292" s="202">
        <f t="shared" si="74"/>
        <v>1.2557130085164432E-5</v>
      </c>
      <c r="AP292" s="202">
        <f t="shared" si="75"/>
        <v>0</v>
      </c>
      <c r="AQ292" s="202">
        <f t="shared" si="76"/>
        <v>6.090208091304756E-3</v>
      </c>
      <c r="AR292" s="209" t="s">
        <v>706</v>
      </c>
      <c r="AS292" s="223" t="s">
        <v>1658</v>
      </c>
      <c r="AT292" s="234">
        <v>325193</v>
      </c>
      <c r="AU292" s="244">
        <f t="shared" si="77"/>
        <v>100.87321662087614</v>
      </c>
      <c r="AV292" s="244">
        <f t="shared" si="78"/>
        <v>0</v>
      </c>
      <c r="AW292" s="244">
        <f t="shared" si="79"/>
        <v>0.2075580588906914</v>
      </c>
      <c r="AX292" s="244">
        <f t="shared" si="80"/>
        <v>0</v>
      </c>
      <c r="AY292" s="244">
        <f t="shared" si="81"/>
        <v>100.66565856198544</v>
      </c>
      <c r="AZ292">
        <v>2.4162406970603654E-2</v>
      </c>
    </row>
    <row r="293" spans="1:52" ht="15.75" customHeight="1" x14ac:dyDescent="0.35">
      <c r="A293" s="67" t="s">
        <v>706</v>
      </c>
      <c r="B293" s="67" t="s">
        <v>707</v>
      </c>
      <c r="C293" s="67" t="s">
        <v>88</v>
      </c>
      <c r="D293" s="67" t="s">
        <v>89</v>
      </c>
      <c r="E293" s="67" t="s">
        <v>724</v>
      </c>
      <c r="F293" s="67" t="s">
        <v>725</v>
      </c>
      <c r="G293" s="67" t="s">
        <v>52</v>
      </c>
      <c r="H293" s="139" t="s">
        <v>76</v>
      </c>
      <c r="I293" s="139" t="s">
        <v>726</v>
      </c>
      <c r="J293" s="143" t="s">
        <v>676</v>
      </c>
      <c r="K293" s="228">
        <f>N293</f>
        <v>25</v>
      </c>
      <c r="L293" s="269" t="s">
        <v>727</v>
      </c>
      <c r="M293" s="269">
        <v>78.400000000000006</v>
      </c>
      <c r="N293" s="269">
        <v>25</v>
      </c>
      <c r="O293" s="269" t="s">
        <v>728</v>
      </c>
      <c r="P293" s="269">
        <v>1</v>
      </c>
      <c r="Q293" s="269">
        <v>1</v>
      </c>
      <c r="R293" s="269"/>
      <c r="S293" s="66" t="s">
        <v>713</v>
      </c>
      <c r="T293" s="70"/>
      <c r="U293" s="238">
        <f t="shared" si="67"/>
        <v>7.9393845141415842E-2</v>
      </c>
      <c r="V293" s="238">
        <f t="shared" si="68"/>
        <v>0</v>
      </c>
      <c r="W293" s="238">
        <f t="shared" si="69"/>
        <v>3.1757538056566299E-3</v>
      </c>
      <c r="X293" s="238">
        <f t="shared" si="70"/>
        <v>0</v>
      </c>
      <c r="Y293" s="238">
        <f t="shared" si="71"/>
        <v>7.6218091335759214E-2</v>
      </c>
      <c r="Z293" s="70">
        <v>7.9393845141415842E-2</v>
      </c>
      <c r="AA293" s="70"/>
      <c r="AB293" s="70">
        <v>3.1757538056566299E-3</v>
      </c>
      <c r="AC293" s="70"/>
      <c r="AD293" s="71">
        <v>7.6218091335759214E-2</v>
      </c>
      <c r="AE293" s="233"/>
      <c r="AF293" s="72"/>
      <c r="AG293" s="74">
        <v>42.015278538839993</v>
      </c>
      <c r="AH293" s="74">
        <v>3.335754517886115</v>
      </c>
      <c r="AI293" s="74">
        <v>0</v>
      </c>
      <c r="AJ293" s="74">
        <v>0.13343018071544444</v>
      </c>
      <c r="AK293" s="74">
        <v>0</v>
      </c>
      <c r="AL293" s="75">
        <v>3.2023243371706704</v>
      </c>
      <c r="AM293" s="202">
        <f t="shared" si="72"/>
        <v>2.0181101922585714E-4</v>
      </c>
      <c r="AN293" s="202">
        <f t="shared" si="73"/>
        <v>0</v>
      </c>
      <c r="AO293" s="202">
        <f t="shared" si="74"/>
        <v>8.072440769034276E-6</v>
      </c>
      <c r="AP293" s="202">
        <f t="shared" si="75"/>
        <v>0</v>
      </c>
      <c r="AQ293" s="202">
        <f t="shared" si="76"/>
        <v>1.9373857845682285E-4</v>
      </c>
      <c r="AR293" s="209" t="s">
        <v>706</v>
      </c>
      <c r="AS293" s="223" t="s">
        <v>1658</v>
      </c>
      <c r="AT293" s="234">
        <v>325193</v>
      </c>
      <c r="AU293" s="244">
        <f t="shared" si="77"/>
        <v>3.335754517886115</v>
      </c>
      <c r="AV293" s="244">
        <f t="shared" si="78"/>
        <v>0</v>
      </c>
      <c r="AW293" s="244">
        <f t="shared" si="79"/>
        <v>0.13343018071544444</v>
      </c>
      <c r="AX293" s="244">
        <f t="shared" si="80"/>
        <v>0</v>
      </c>
      <c r="AY293" s="244">
        <f t="shared" si="81"/>
        <v>3.2023243371706704</v>
      </c>
      <c r="AZ293">
        <v>7.9902139453054389E-4</v>
      </c>
    </row>
    <row r="294" spans="1:52" ht="15.75" customHeight="1" x14ac:dyDescent="0.35">
      <c r="A294" s="67" t="s">
        <v>706</v>
      </c>
      <c r="B294" s="67" t="s">
        <v>707</v>
      </c>
      <c r="C294" s="67" t="s">
        <v>154</v>
      </c>
      <c r="D294" s="67" t="s">
        <v>211</v>
      </c>
      <c r="E294" s="67" t="s">
        <v>211</v>
      </c>
      <c r="F294" s="67" t="s">
        <v>729</v>
      </c>
      <c r="G294" s="67" t="s">
        <v>52</v>
      </c>
      <c r="H294" s="139" t="s">
        <v>214</v>
      </c>
      <c r="I294" s="139" t="s">
        <v>730</v>
      </c>
      <c r="J294" s="143"/>
      <c r="K294" s="228">
        <v>200</v>
      </c>
      <c r="L294" s="269" t="s">
        <v>731</v>
      </c>
      <c r="M294" s="269">
        <v>78.400000000000006</v>
      </c>
      <c r="N294" s="269"/>
      <c r="O294" s="269">
        <v>1</v>
      </c>
      <c r="P294" s="269">
        <v>1</v>
      </c>
      <c r="Q294" s="269">
        <v>1</v>
      </c>
      <c r="R294" s="269"/>
      <c r="S294" s="66" t="s">
        <v>713</v>
      </c>
      <c r="T294" s="70"/>
      <c r="U294" s="238">
        <f t="shared" si="67"/>
        <v>0.46013144028624997</v>
      </c>
      <c r="V294" s="238">
        <f t="shared" si="68"/>
        <v>0</v>
      </c>
      <c r="W294" s="238">
        <f t="shared" si="69"/>
        <v>0.233594335482743</v>
      </c>
      <c r="X294" s="238">
        <f t="shared" si="70"/>
        <v>0</v>
      </c>
      <c r="Y294" s="238">
        <f t="shared" si="71"/>
        <v>0.226537104803507</v>
      </c>
      <c r="Z294" s="70">
        <v>0.46013144028624997</v>
      </c>
      <c r="AA294" s="70"/>
      <c r="AB294" s="70">
        <v>0.233594335482743</v>
      </c>
      <c r="AC294" s="70"/>
      <c r="AD294" s="71">
        <v>0.226537104803507</v>
      </c>
      <c r="AE294" s="233"/>
      <c r="AF294" s="72"/>
      <c r="AG294" s="74">
        <v>42.015278538839993</v>
      </c>
      <c r="AH294" s="74">
        <v>19.332550628104414</v>
      </c>
      <c r="AI294" s="74">
        <v>0</v>
      </c>
      <c r="AJ294" s="74">
        <v>9.8145310704026816</v>
      </c>
      <c r="AK294" s="74">
        <v>0</v>
      </c>
      <c r="AL294" s="75">
        <v>9.5180195577017344</v>
      </c>
      <c r="AM294" s="202">
        <f t="shared" si="72"/>
        <v>1.1696069736467452E-3</v>
      </c>
      <c r="AN294" s="202">
        <f t="shared" si="73"/>
        <v>0</v>
      </c>
      <c r="AO294" s="202">
        <f t="shared" si="74"/>
        <v>5.9377286545563175E-4</v>
      </c>
      <c r="AP294" s="202">
        <f t="shared" si="75"/>
        <v>0</v>
      </c>
      <c r="AQ294" s="202">
        <f t="shared" si="76"/>
        <v>5.7583410819111351E-4</v>
      </c>
      <c r="AR294" s="209" t="s">
        <v>706</v>
      </c>
      <c r="AS294" s="223" t="s">
        <v>1658</v>
      </c>
      <c r="AT294" s="234">
        <v>325193</v>
      </c>
      <c r="AU294" s="244">
        <f t="shared" si="77"/>
        <v>19.332550628104414</v>
      </c>
      <c r="AV294" s="244">
        <f t="shared" si="78"/>
        <v>0</v>
      </c>
      <c r="AW294" s="244">
        <f t="shared" si="79"/>
        <v>9.8145310704026816</v>
      </c>
      <c r="AX294" s="244">
        <f t="shared" si="80"/>
        <v>0</v>
      </c>
      <c r="AY294" s="244">
        <f t="shared" si="81"/>
        <v>9.5180195577017344</v>
      </c>
      <c r="AZ294">
        <v>4.6307728820792404E-3</v>
      </c>
    </row>
    <row r="295" spans="1:52" ht="15.75" customHeight="1" x14ac:dyDescent="0.35">
      <c r="A295" s="67" t="s">
        <v>706</v>
      </c>
      <c r="B295" s="67" t="s">
        <v>707</v>
      </c>
      <c r="C295" s="67" t="s">
        <v>74</v>
      </c>
      <c r="D295" s="67" t="s">
        <v>75</v>
      </c>
      <c r="E295" s="67" t="s">
        <v>75</v>
      </c>
      <c r="F295" s="67" t="s">
        <v>732</v>
      </c>
      <c r="G295" s="67" t="s">
        <v>52</v>
      </c>
      <c r="H295" s="139" t="s">
        <v>76</v>
      </c>
      <c r="I295" s="139" t="s">
        <v>733</v>
      </c>
      <c r="J295" s="76" t="s">
        <v>78</v>
      </c>
      <c r="K295" s="228">
        <f>N295</f>
        <v>25</v>
      </c>
      <c r="L295" s="269" t="s">
        <v>731</v>
      </c>
      <c r="M295" s="269"/>
      <c r="N295" s="269">
        <v>25</v>
      </c>
      <c r="O295" s="269">
        <v>1</v>
      </c>
      <c r="P295" s="269">
        <v>1</v>
      </c>
      <c r="Q295" s="269">
        <v>1</v>
      </c>
      <c r="R295" s="269">
        <v>7.5</v>
      </c>
      <c r="S295" s="66" t="s">
        <v>713</v>
      </c>
      <c r="T295" s="70"/>
      <c r="U295" s="238">
        <f t="shared" si="67"/>
        <v>5.1397811036882812</v>
      </c>
      <c r="V295" s="238">
        <f t="shared" si="68"/>
        <v>0</v>
      </c>
      <c r="W295" s="238">
        <f t="shared" si="69"/>
        <v>0.23500578161859098</v>
      </c>
      <c r="X295" s="238">
        <f t="shared" si="70"/>
        <v>4.9047753220696899</v>
      </c>
      <c r="Y295" s="238">
        <f t="shared" si="71"/>
        <v>0</v>
      </c>
      <c r="Z295" s="70">
        <v>5.1397811036882812</v>
      </c>
      <c r="AA295" s="70"/>
      <c r="AB295" s="70">
        <v>0.23500578161859098</v>
      </c>
      <c r="AC295" s="70">
        <v>4.9047753220696899</v>
      </c>
      <c r="AD295" s="71"/>
      <c r="AE295" s="233"/>
      <c r="AF295" s="72"/>
      <c r="AG295" s="74">
        <v>42.015278538839993</v>
      </c>
      <c r="AH295" s="74">
        <v>215.94933470012958</v>
      </c>
      <c r="AI295" s="74">
        <v>0</v>
      </c>
      <c r="AJ295" s="74">
        <v>9.8738333729429044</v>
      </c>
      <c r="AK295" s="74">
        <v>206.07550132718666</v>
      </c>
      <c r="AL295" s="75">
        <v>0</v>
      </c>
      <c r="AM295" s="202">
        <f t="shared" si="72"/>
        <v>1.306479691575038E-2</v>
      </c>
      <c r="AN295" s="202">
        <f t="shared" si="73"/>
        <v>0</v>
      </c>
      <c r="AO295" s="202">
        <f t="shared" si="74"/>
        <v>5.973606169085374E-4</v>
      </c>
      <c r="AP295" s="202">
        <f t="shared" si="75"/>
        <v>1.246743629884184E-2</v>
      </c>
      <c r="AQ295" s="202">
        <f t="shared" si="76"/>
        <v>0</v>
      </c>
      <c r="AR295" s="209" t="s">
        <v>706</v>
      </c>
      <c r="AS295" s="223" t="s">
        <v>1658</v>
      </c>
      <c r="AT295" s="234">
        <v>325193</v>
      </c>
      <c r="AU295" s="244">
        <f t="shared" si="77"/>
        <v>215.94933470012958</v>
      </c>
      <c r="AV295" s="244">
        <f t="shared" si="78"/>
        <v>0</v>
      </c>
      <c r="AW295" s="244">
        <f t="shared" si="79"/>
        <v>9.8738333729429044</v>
      </c>
      <c r="AX295" s="244">
        <f t="shared" si="80"/>
        <v>206.07550132718666</v>
      </c>
      <c r="AY295" s="244">
        <f t="shared" si="81"/>
        <v>0</v>
      </c>
      <c r="AZ295">
        <v>5.1726869478808467E-2</v>
      </c>
    </row>
    <row r="296" spans="1:52" ht="15.75" customHeight="1" x14ac:dyDescent="0.35">
      <c r="A296" s="78" t="s">
        <v>706</v>
      </c>
      <c r="B296" s="78" t="s">
        <v>707</v>
      </c>
      <c r="C296" s="78" t="s">
        <v>92</v>
      </c>
      <c r="D296" s="78" t="s">
        <v>229</v>
      </c>
      <c r="E296" s="78" t="s">
        <v>734</v>
      </c>
      <c r="F296" s="78" t="s">
        <v>735</v>
      </c>
      <c r="G296" s="78" t="s">
        <v>52</v>
      </c>
      <c r="H296" s="144" t="s">
        <v>95</v>
      </c>
      <c r="I296" s="145" t="s">
        <v>96</v>
      </c>
      <c r="J296" s="146" t="s">
        <v>681</v>
      </c>
      <c r="K296" s="228">
        <v>60</v>
      </c>
      <c r="L296" s="269"/>
      <c r="M296" s="269"/>
      <c r="N296" s="269"/>
      <c r="O296" s="269"/>
      <c r="P296" s="269"/>
      <c r="Q296" s="269"/>
      <c r="R296" s="269"/>
      <c r="S296" s="77" t="s">
        <v>713</v>
      </c>
      <c r="T296" s="82"/>
      <c r="U296" s="238">
        <f t="shared" si="67"/>
        <v>0.11397427546967701</v>
      </c>
      <c r="V296" s="238">
        <f t="shared" si="68"/>
        <v>0</v>
      </c>
      <c r="W296" s="238">
        <f t="shared" si="69"/>
        <v>0.11397427546967701</v>
      </c>
      <c r="X296" s="238">
        <f t="shared" si="70"/>
        <v>0</v>
      </c>
      <c r="Y296" s="238">
        <f t="shared" si="71"/>
        <v>0</v>
      </c>
      <c r="Z296" s="70">
        <v>0.11397427546967701</v>
      </c>
      <c r="AA296" s="70"/>
      <c r="AB296" s="70">
        <v>0.11397427546967701</v>
      </c>
      <c r="AC296" s="70"/>
      <c r="AD296" s="129">
        <v>0</v>
      </c>
      <c r="AE296" s="147">
        <v>152</v>
      </c>
      <c r="AF296" s="148">
        <v>5.0199999999999996</v>
      </c>
      <c r="AG296" s="86">
        <v>42.015278538839993</v>
      </c>
      <c r="AH296" s="86">
        <v>4.7886609301209582</v>
      </c>
      <c r="AI296" s="86">
        <v>0</v>
      </c>
      <c r="AJ296" s="86">
        <v>4.7886609301209582</v>
      </c>
      <c r="AK296" s="86">
        <v>0</v>
      </c>
      <c r="AL296" s="87">
        <v>0</v>
      </c>
      <c r="AM296" s="202">
        <f t="shared" si="72"/>
        <v>2.8971092982200839E-4</v>
      </c>
      <c r="AN296" s="202">
        <f t="shared" si="73"/>
        <v>0</v>
      </c>
      <c r="AO296" s="202">
        <f t="shared" si="74"/>
        <v>2.8971092982200839E-4</v>
      </c>
      <c r="AP296" s="202">
        <f t="shared" si="75"/>
        <v>0</v>
      </c>
      <c r="AQ296" s="202">
        <f t="shared" si="76"/>
        <v>0</v>
      </c>
      <c r="AR296" s="213" t="s">
        <v>706</v>
      </c>
      <c r="AS296" s="223" t="s">
        <v>1658</v>
      </c>
      <c r="AT296" s="234">
        <v>325193</v>
      </c>
      <c r="AU296" s="244">
        <f t="shared" si="77"/>
        <v>4.7886609301209582</v>
      </c>
      <c r="AV296" s="244">
        <f t="shared" si="78"/>
        <v>0</v>
      </c>
      <c r="AW296" s="244">
        <f t="shared" si="79"/>
        <v>4.7886609301209582</v>
      </c>
      <c r="AX296" s="244">
        <f t="shared" si="80"/>
        <v>0</v>
      </c>
      <c r="AY296" s="244">
        <f t="shared" si="81"/>
        <v>0</v>
      </c>
      <c r="AZ296">
        <v>1.1470396019260703E-3</v>
      </c>
    </row>
    <row r="297" spans="1:52" ht="15.75" customHeight="1" x14ac:dyDescent="0.35">
      <c r="A297" s="67" t="s">
        <v>706</v>
      </c>
      <c r="B297" s="67" t="s">
        <v>736</v>
      </c>
      <c r="C297" s="67" t="s">
        <v>149</v>
      </c>
      <c r="D297" s="67" t="s">
        <v>708</v>
      </c>
      <c r="E297" s="67" t="s">
        <v>737</v>
      </c>
      <c r="F297" s="67" t="s">
        <v>738</v>
      </c>
      <c r="G297" s="57" t="s">
        <v>52</v>
      </c>
      <c r="H297" s="139" t="s">
        <v>711</v>
      </c>
      <c r="I297" s="139" t="s">
        <v>739</v>
      </c>
      <c r="J297" s="149">
        <v>0.32492354699999998</v>
      </c>
      <c r="K297" s="228">
        <f t="shared" si="82"/>
        <v>25</v>
      </c>
      <c r="L297" s="269">
        <v>25</v>
      </c>
      <c r="M297" s="269">
        <v>25</v>
      </c>
      <c r="N297" s="269">
        <v>25</v>
      </c>
      <c r="O297" s="269">
        <v>1</v>
      </c>
      <c r="P297" s="269">
        <v>1</v>
      </c>
      <c r="Q297" s="269">
        <v>1</v>
      </c>
      <c r="R297" s="269"/>
      <c r="S297" s="67" t="s">
        <v>713</v>
      </c>
      <c r="T297" s="70"/>
      <c r="U297" s="238">
        <f t="shared" si="67"/>
        <v>5.4732172238607803E-2</v>
      </c>
      <c r="V297" s="238">
        <f t="shared" si="68"/>
        <v>0</v>
      </c>
      <c r="W297" s="238">
        <f t="shared" si="69"/>
        <v>5.4732172238607803E-2</v>
      </c>
      <c r="X297" s="238">
        <f t="shared" si="70"/>
        <v>0</v>
      </c>
      <c r="Y297" s="238">
        <f t="shared" si="71"/>
        <v>0</v>
      </c>
      <c r="Z297" s="82">
        <v>5.4732172238607803E-2</v>
      </c>
      <c r="AA297" s="82"/>
      <c r="AB297" s="82">
        <v>5.4732172238607803E-2</v>
      </c>
      <c r="AC297" s="82">
        <v>0</v>
      </c>
      <c r="AD297" s="83">
        <v>0</v>
      </c>
      <c r="AE297" s="142" t="s">
        <v>714</v>
      </c>
      <c r="AF297" s="121">
        <v>1</v>
      </c>
      <c r="AG297" s="74">
        <v>3.8767214611599998</v>
      </c>
      <c r="AH297" s="64">
        <v>0.21218138673331641</v>
      </c>
      <c r="AI297" s="64">
        <v>0</v>
      </c>
      <c r="AJ297" s="64">
        <v>0.21218138673331641</v>
      </c>
      <c r="AK297" s="64">
        <v>0</v>
      </c>
      <c r="AL297" s="65">
        <v>0</v>
      </c>
      <c r="AM297" s="202">
        <f t="shared" si="72"/>
        <v>1.2836838468719799E-5</v>
      </c>
      <c r="AN297" s="202">
        <f t="shared" si="73"/>
        <v>0</v>
      </c>
      <c r="AO297" s="202">
        <f t="shared" si="74"/>
        <v>1.2836838468719799E-5</v>
      </c>
      <c r="AP297" s="202">
        <f t="shared" si="75"/>
        <v>0</v>
      </c>
      <c r="AQ297" s="202">
        <f t="shared" si="76"/>
        <v>0</v>
      </c>
      <c r="AR297" s="209" t="s">
        <v>706</v>
      </c>
      <c r="AS297" s="223" t="s">
        <v>1658</v>
      </c>
      <c r="AT297" s="234">
        <v>325193</v>
      </c>
      <c r="AU297" s="244">
        <f t="shared" si="77"/>
        <v>0.21218138673331641</v>
      </c>
      <c r="AV297" s="244">
        <f t="shared" si="78"/>
        <v>0</v>
      </c>
      <c r="AW297" s="244">
        <f t="shared" si="79"/>
        <v>0.21218138673331641</v>
      </c>
      <c r="AX297" s="244">
        <f t="shared" si="80"/>
        <v>0</v>
      </c>
      <c r="AY297" s="244">
        <f t="shared" si="81"/>
        <v>0</v>
      </c>
      <c r="AZ297">
        <v>5.0824323736063137E-5</v>
      </c>
    </row>
    <row r="298" spans="1:52" ht="15.75" customHeight="1" x14ac:dyDescent="0.35">
      <c r="A298" s="67" t="s">
        <v>706</v>
      </c>
      <c r="B298" s="67" t="s">
        <v>736</v>
      </c>
      <c r="C298" s="67" t="s">
        <v>149</v>
      </c>
      <c r="D298" s="67" t="s">
        <v>133</v>
      </c>
      <c r="E298" s="67" t="s">
        <v>133</v>
      </c>
      <c r="F298" s="67" t="s">
        <v>740</v>
      </c>
      <c r="G298" s="67" t="s">
        <v>52</v>
      </c>
      <c r="H298" s="139" t="s">
        <v>741</v>
      </c>
      <c r="I298" s="139" t="s">
        <v>742</v>
      </c>
      <c r="J298" s="113">
        <v>0.88317143600000003</v>
      </c>
      <c r="K298" s="228">
        <f t="shared" si="82"/>
        <v>50</v>
      </c>
      <c r="L298" s="269">
        <v>50</v>
      </c>
      <c r="M298" s="269">
        <v>25</v>
      </c>
      <c r="N298" s="269">
        <v>50</v>
      </c>
      <c r="O298" s="269">
        <v>1</v>
      </c>
      <c r="P298" s="269">
        <v>1</v>
      </c>
      <c r="Q298" s="269">
        <v>1</v>
      </c>
      <c r="R298" s="269">
        <v>144000</v>
      </c>
      <c r="S298" s="67" t="s">
        <v>713</v>
      </c>
      <c r="T298" s="70"/>
      <c r="U298" s="238">
        <f t="shared" si="67"/>
        <v>0.43322124096629783</v>
      </c>
      <c r="V298" s="238">
        <f t="shared" si="68"/>
        <v>0</v>
      </c>
      <c r="W298" s="238">
        <f t="shared" si="69"/>
        <v>2.75592584919108E-2</v>
      </c>
      <c r="X298" s="238">
        <f t="shared" si="70"/>
        <v>0</v>
      </c>
      <c r="Y298" s="238">
        <f t="shared" si="71"/>
        <v>0.40566198247438701</v>
      </c>
      <c r="Z298" s="60">
        <v>0.43322124096629783</v>
      </c>
      <c r="AA298" s="70"/>
      <c r="AB298" s="70">
        <v>2.75592584919108E-2</v>
      </c>
      <c r="AC298" s="70">
        <v>0</v>
      </c>
      <c r="AD298" s="71">
        <v>0.40566198247438701</v>
      </c>
      <c r="AE298" s="233"/>
      <c r="AF298" s="72"/>
      <c r="AG298" s="74">
        <v>3.8767214611599998</v>
      </c>
      <c r="AH298" s="74">
        <v>1.6794780822844144</v>
      </c>
      <c r="AI298" s="74">
        <v>0</v>
      </c>
      <c r="AJ298" s="74">
        <v>0.10683956884924657</v>
      </c>
      <c r="AK298" s="74">
        <v>0</v>
      </c>
      <c r="AL298" s="75">
        <v>1.5726385134351679</v>
      </c>
      <c r="AM298" s="202">
        <f t="shared" si="72"/>
        <v>1.0160735202064326E-4</v>
      </c>
      <c r="AN298" s="202">
        <f t="shared" si="73"/>
        <v>0</v>
      </c>
      <c r="AO298" s="202">
        <f t="shared" si="74"/>
        <v>6.4637257230730395E-6</v>
      </c>
      <c r="AP298" s="202">
        <f t="shared" si="75"/>
        <v>0</v>
      </c>
      <c r="AQ298" s="202">
        <f t="shared" si="76"/>
        <v>9.5143626297570223E-5</v>
      </c>
      <c r="AR298" s="209" t="s">
        <v>706</v>
      </c>
      <c r="AS298" s="223" t="s">
        <v>1658</v>
      </c>
      <c r="AT298" s="234">
        <v>325193</v>
      </c>
      <c r="AU298" s="244">
        <f t="shared" si="77"/>
        <v>1.6794780822844144</v>
      </c>
      <c r="AV298" s="244">
        <f t="shared" si="78"/>
        <v>0</v>
      </c>
      <c r="AW298" s="244">
        <f t="shared" si="79"/>
        <v>0.10683956884924657</v>
      </c>
      <c r="AX298" s="244">
        <f t="shared" si="80"/>
        <v>0</v>
      </c>
      <c r="AY298" s="244">
        <f t="shared" si="81"/>
        <v>1.5726385134351679</v>
      </c>
      <c r="AZ298">
        <v>4.0228947070145021E-4</v>
      </c>
    </row>
    <row r="299" spans="1:52" ht="15.75" customHeight="1" x14ac:dyDescent="0.35">
      <c r="A299" s="67" t="s">
        <v>706</v>
      </c>
      <c r="B299" s="67" t="s">
        <v>736</v>
      </c>
      <c r="C299" s="67" t="s">
        <v>74</v>
      </c>
      <c r="D299" s="67" t="s">
        <v>140</v>
      </c>
      <c r="E299" s="67" t="s">
        <v>743</v>
      </c>
      <c r="F299" s="67" t="s">
        <v>744</v>
      </c>
      <c r="G299" s="67" t="s">
        <v>52</v>
      </c>
      <c r="H299" s="139" t="s">
        <v>143</v>
      </c>
      <c r="I299" s="139" t="s">
        <v>745</v>
      </c>
      <c r="J299" s="113">
        <v>0.94827504600000001</v>
      </c>
      <c r="K299" s="228">
        <f t="shared" si="82"/>
        <v>100</v>
      </c>
      <c r="L299" s="269">
        <v>100</v>
      </c>
      <c r="M299" s="269">
        <v>50</v>
      </c>
      <c r="N299" s="269">
        <v>100</v>
      </c>
      <c r="O299" s="269">
        <v>1</v>
      </c>
      <c r="P299" s="269">
        <v>1</v>
      </c>
      <c r="Q299" s="269">
        <v>1</v>
      </c>
      <c r="R299" s="269"/>
      <c r="S299" s="67" t="s">
        <v>713</v>
      </c>
      <c r="T299" s="70"/>
      <c r="U299" s="238">
        <f t="shared" si="67"/>
        <v>2.580525334864058</v>
      </c>
      <c r="V299" s="238">
        <f t="shared" si="68"/>
        <v>0</v>
      </c>
      <c r="W299" s="238">
        <f t="shared" si="69"/>
        <v>6.7610330412397904E-2</v>
      </c>
      <c r="X299" s="238">
        <f t="shared" si="70"/>
        <v>0</v>
      </c>
      <c r="Y299" s="238">
        <f t="shared" si="71"/>
        <v>2.5129150044516599</v>
      </c>
      <c r="Z299" s="70">
        <v>2.580525334864058</v>
      </c>
      <c r="AA299" s="70"/>
      <c r="AB299" s="70">
        <v>6.7610330412397904E-2</v>
      </c>
      <c r="AC299" s="70">
        <v>0</v>
      </c>
      <c r="AD299" s="71">
        <v>2.5129150044516599</v>
      </c>
      <c r="AE299" s="233"/>
      <c r="AF299" s="72"/>
      <c r="AG299" s="74">
        <v>3.8767214611599998</v>
      </c>
      <c r="AH299" s="74">
        <v>10.003977946734588</v>
      </c>
      <c r="AI299" s="74">
        <v>0</v>
      </c>
      <c r="AJ299" s="74">
        <v>0.26210641890586156</v>
      </c>
      <c r="AK299" s="74">
        <v>0</v>
      </c>
      <c r="AL299" s="75">
        <v>9.7418715278287262</v>
      </c>
      <c r="AM299" s="202">
        <f t="shared" si="72"/>
        <v>6.0523428055578277E-4</v>
      </c>
      <c r="AN299" s="202">
        <f t="shared" si="73"/>
        <v>0</v>
      </c>
      <c r="AO299" s="202">
        <f t="shared" si="74"/>
        <v>1.5857271049595052E-5</v>
      </c>
      <c r="AP299" s="202">
        <f t="shared" si="75"/>
        <v>0</v>
      </c>
      <c r="AQ299" s="202">
        <f t="shared" si="76"/>
        <v>5.893770095061877E-4</v>
      </c>
      <c r="AR299" s="209" t="s">
        <v>706</v>
      </c>
      <c r="AS299" s="223" t="s">
        <v>1658</v>
      </c>
      <c r="AT299" s="234">
        <v>325193</v>
      </c>
      <c r="AU299" s="244">
        <f t="shared" si="77"/>
        <v>10.003977946734588</v>
      </c>
      <c r="AV299" s="244">
        <f t="shared" si="78"/>
        <v>0</v>
      </c>
      <c r="AW299" s="244">
        <f t="shared" si="79"/>
        <v>0.26210641890586156</v>
      </c>
      <c r="AX299" s="244">
        <f t="shared" si="80"/>
        <v>0</v>
      </c>
      <c r="AY299" s="244">
        <f t="shared" si="81"/>
        <v>9.7418715278287262</v>
      </c>
      <c r="AZ299">
        <v>2.3962771741723168E-3</v>
      </c>
    </row>
    <row r="300" spans="1:52" ht="15.75" customHeight="1" x14ac:dyDescent="0.35">
      <c r="A300" s="67" t="s">
        <v>706</v>
      </c>
      <c r="B300" s="67" t="s">
        <v>736</v>
      </c>
      <c r="C300" s="67" t="s">
        <v>99</v>
      </c>
      <c r="D300" s="67" t="s">
        <v>100</v>
      </c>
      <c r="E300" s="67" t="s">
        <v>746</v>
      </c>
      <c r="F300" s="139" t="s">
        <v>747</v>
      </c>
      <c r="G300" s="67" t="s">
        <v>52</v>
      </c>
      <c r="H300" s="139" t="s">
        <v>748</v>
      </c>
      <c r="I300" s="139" t="s">
        <v>749</v>
      </c>
      <c r="J300" s="113">
        <v>0.32459485199999999</v>
      </c>
      <c r="K300" s="228">
        <f>75/2</f>
        <v>37.5</v>
      </c>
      <c r="L300" s="269" t="s">
        <v>750</v>
      </c>
      <c r="M300" s="269" t="s">
        <v>750</v>
      </c>
      <c r="N300" s="269" t="s">
        <v>750</v>
      </c>
      <c r="O300" s="269">
        <v>1</v>
      </c>
      <c r="P300" s="269">
        <v>1</v>
      </c>
      <c r="Q300" s="269">
        <v>1</v>
      </c>
      <c r="R300" s="269"/>
      <c r="S300" s="67" t="s">
        <v>713</v>
      </c>
      <c r="T300" s="70"/>
      <c r="U300" s="238">
        <f t="shared" si="67"/>
        <v>8.7700257163510389E-2</v>
      </c>
      <c r="V300" s="238">
        <f t="shared" si="68"/>
        <v>0</v>
      </c>
      <c r="W300" s="238">
        <f t="shared" si="69"/>
        <v>8.7700257163510389E-2</v>
      </c>
      <c r="X300" s="238">
        <f t="shared" si="70"/>
        <v>0</v>
      </c>
      <c r="Y300" s="238">
        <f t="shared" si="71"/>
        <v>0</v>
      </c>
      <c r="Z300" s="70">
        <v>8.7700257163510389E-2</v>
      </c>
      <c r="AA300" s="70"/>
      <c r="AB300" s="70">
        <v>8.7700257163510389E-2</v>
      </c>
      <c r="AC300" s="70">
        <v>0</v>
      </c>
      <c r="AD300" s="71">
        <v>0</v>
      </c>
      <c r="AE300" s="233"/>
      <c r="AF300" s="72"/>
      <c r="AG300" s="74">
        <v>3.8767214611599998</v>
      </c>
      <c r="AH300" s="74">
        <v>0.33998946909503175</v>
      </c>
      <c r="AI300" s="74">
        <v>0</v>
      </c>
      <c r="AJ300" s="74">
        <v>0.33998946909503175</v>
      </c>
      <c r="AK300" s="74">
        <v>0</v>
      </c>
      <c r="AL300" s="75">
        <v>0</v>
      </c>
      <c r="AM300" s="202">
        <f t="shared" si="72"/>
        <v>2.0569145875760435E-5</v>
      </c>
      <c r="AN300" s="202">
        <f t="shared" si="73"/>
        <v>0</v>
      </c>
      <c r="AO300" s="202">
        <f t="shared" si="74"/>
        <v>2.0569145875760435E-5</v>
      </c>
      <c r="AP300" s="202">
        <f t="shared" si="75"/>
        <v>0</v>
      </c>
      <c r="AQ300" s="202">
        <f t="shared" si="76"/>
        <v>0</v>
      </c>
      <c r="AR300" s="209" t="s">
        <v>706</v>
      </c>
      <c r="AS300" s="223" t="s">
        <v>1658</v>
      </c>
      <c r="AT300" s="234">
        <v>325193</v>
      </c>
      <c r="AU300" s="244">
        <f t="shared" si="77"/>
        <v>0.33998946909503175</v>
      </c>
      <c r="AV300" s="244">
        <f t="shared" si="78"/>
        <v>0</v>
      </c>
      <c r="AW300" s="244">
        <f t="shared" si="79"/>
        <v>0.33998946909503175</v>
      </c>
      <c r="AX300" s="244">
        <f t="shared" si="80"/>
        <v>0</v>
      </c>
      <c r="AY300" s="244">
        <f t="shared" si="81"/>
        <v>0</v>
      </c>
      <c r="AZ300">
        <v>8.1438504621785888E-5</v>
      </c>
    </row>
    <row r="301" spans="1:52" ht="15.75" customHeight="1" x14ac:dyDescent="0.35">
      <c r="A301" s="67" t="s">
        <v>706</v>
      </c>
      <c r="B301" s="67" t="s">
        <v>736</v>
      </c>
      <c r="C301" s="67" t="s">
        <v>99</v>
      </c>
      <c r="D301" s="67" t="s">
        <v>100</v>
      </c>
      <c r="E301" s="67" t="s">
        <v>751</v>
      </c>
      <c r="F301" s="67" t="s">
        <v>752</v>
      </c>
      <c r="G301" s="67" t="s">
        <v>52</v>
      </c>
      <c r="H301" s="139" t="s">
        <v>748</v>
      </c>
      <c r="I301" s="139" t="s">
        <v>749</v>
      </c>
      <c r="J301" s="113">
        <v>0.32462686600000001</v>
      </c>
      <c r="K301" s="228">
        <v>37.5</v>
      </c>
      <c r="L301" s="269" t="s">
        <v>750</v>
      </c>
      <c r="M301" s="269" t="s">
        <v>750</v>
      </c>
      <c r="N301" s="269" t="s">
        <v>750</v>
      </c>
      <c r="O301" s="269">
        <v>1</v>
      </c>
      <c r="P301" s="269">
        <v>1</v>
      </c>
      <c r="Q301" s="269">
        <v>1</v>
      </c>
      <c r="R301" s="269"/>
      <c r="S301" s="67" t="s">
        <v>713</v>
      </c>
      <c r="T301" s="70"/>
      <c r="U301" s="238">
        <f t="shared" si="67"/>
        <v>4.4815990444789504E-2</v>
      </c>
      <c r="V301" s="238">
        <f t="shared" si="68"/>
        <v>0</v>
      </c>
      <c r="W301" s="238">
        <f t="shared" si="69"/>
        <v>4.4815990444789504E-2</v>
      </c>
      <c r="X301" s="238">
        <f t="shared" si="70"/>
        <v>0</v>
      </c>
      <c r="Y301" s="238">
        <f t="shared" si="71"/>
        <v>0</v>
      </c>
      <c r="Z301" s="70">
        <v>4.4815990444789504E-2</v>
      </c>
      <c r="AA301" s="70"/>
      <c r="AB301" s="70">
        <v>4.4815990444789504E-2</v>
      </c>
      <c r="AC301" s="70">
        <v>0</v>
      </c>
      <c r="AD301" s="71">
        <v>0</v>
      </c>
      <c r="AE301" s="233"/>
      <c r="AF301" s="72"/>
      <c r="AG301" s="74">
        <v>3.8767214611599998</v>
      </c>
      <c r="AH301" s="74">
        <v>0.17373911196045697</v>
      </c>
      <c r="AI301" s="74">
        <v>0</v>
      </c>
      <c r="AJ301" s="74">
        <v>0.17373911196045697</v>
      </c>
      <c r="AK301" s="74">
        <v>0</v>
      </c>
      <c r="AL301" s="75">
        <v>0</v>
      </c>
      <c r="AM301" s="202">
        <f t="shared" si="72"/>
        <v>1.0511105381445874E-5</v>
      </c>
      <c r="AN301" s="202">
        <f t="shared" si="73"/>
        <v>0</v>
      </c>
      <c r="AO301" s="202">
        <f t="shared" si="74"/>
        <v>1.0511105381445874E-5</v>
      </c>
      <c r="AP301" s="202">
        <f t="shared" si="75"/>
        <v>0</v>
      </c>
      <c r="AQ301" s="202">
        <f t="shared" si="76"/>
        <v>0</v>
      </c>
      <c r="AR301" s="209" t="s">
        <v>706</v>
      </c>
      <c r="AS301" s="223" t="s">
        <v>1658</v>
      </c>
      <c r="AT301" s="234">
        <v>325193</v>
      </c>
      <c r="AU301" s="244">
        <f t="shared" si="77"/>
        <v>0.17373911196045697</v>
      </c>
      <c r="AV301" s="244">
        <f t="shared" si="78"/>
        <v>0</v>
      </c>
      <c r="AW301" s="244">
        <f t="shared" si="79"/>
        <v>0.17373911196045697</v>
      </c>
      <c r="AX301" s="244">
        <f t="shared" si="80"/>
        <v>0</v>
      </c>
      <c r="AY301" s="244">
        <f t="shared" si="81"/>
        <v>0</v>
      </c>
      <c r="AZ301">
        <v>4.1616152141529405E-5</v>
      </c>
    </row>
    <row r="302" spans="1:52" ht="15.75" customHeight="1" x14ac:dyDescent="0.35">
      <c r="A302" s="67" t="s">
        <v>706</v>
      </c>
      <c r="B302" s="67" t="s">
        <v>736</v>
      </c>
      <c r="C302" s="67" t="s">
        <v>154</v>
      </c>
      <c r="D302" s="67" t="s">
        <v>753</v>
      </c>
      <c r="E302" s="67" t="s">
        <v>754</v>
      </c>
      <c r="F302" s="139" t="s">
        <v>755</v>
      </c>
      <c r="G302" s="67" t="s">
        <v>52</v>
      </c>
      <c r="H302" s="139" t="s">
        <v>214</v>
      </c>
      <c r="I302" s="139" t="s">
        <v>756</v>
      </c>
      <c r="J302" s="113">
        <v>0.32</v>
      </c>
      <c r="K302" s="228">
        <v>37.5</v>
      </c>
      <c r="L302" s="269" t="s">
        <v>750</v>
      </c>
      <c r="M302" s="269" t="s">
        <v>750</v>
      </c>
      <c r="N302" s="269" t="s">
        <v>750</v>
      </c>
      <c r="O302" s="269">
        <v>1</v>
      </c>
      <c r="P302" s="269">
        <v>1</v>
      </c>
      <c r="Q302" s="269">
        <v>1</v>
      </c>
      <c r="R302" s="269"/>
      <c r="S302" s="67" t="s">
        <v>713</v>
      </c>
      <c r="T302" s="70"/>
      <c r="U302" s="238">
        <f t="shared" si="67"/>
        <v>3.0907579617096199E-3</v>
      </c>
      <c r="V302" s="238">
        <f t="shared" si="68"/>
        <v>0</v>
      </c>
      <c r="W302" s="238">
        <f t="shared" si="69"/>
        <v>3.0907579617096199E-3</v>
      </c>
      <c r="X302" s="238">
        <f t="shared" si="70"/>
        <v>0</v>
      </c>
      <c r="Y302" s="238">
        <f t="shared" si="71"/>
        <v>0</v>
      </c>
      <c r="Z302" s="70">
        <v>3.0907579617096199E-3</v>
      </c>
      <c r="AA302" s="70"/>
      <c r="AB302" s="70">
        <v>3.0907579617096199E-3</v>
      </c>
      <c r="AC302" s="70">
        <v>0</v>
      </c>
      <c r="AD302" s="71">
        <v>0</v>
      </c>
      <c r="AE302" s="233"/>
      <c r="AF302" s="72"/>
      <c r="AG302" s="74">
        <v>3.8767214611599998</v>
      </c>
      <c r="AH302" s="74">
        <v>1.1982007721410821E-2</v>
      </c>
      <c r="AI302" s="74">
        <v>0</v>
      </c>
      <c r="AJ302" s="74">
        <v>1.1982007721410821E-2</v>
      </c>
      <c r="AK302" s="74">
        <v>0</v>
      </c>
      <c r="AL302" s="75">
        <v>0</v>
      </c>
      <c r="AM302" s="202">
        <f t="shared" si="72"/>
        <v>7.2490381941006E-7</v>
      </c>
      <c r="AN302" s="202">
        <f t="shared" si="73"/>
        <v>0</v>
      </c>
      <c r="AO302" s="202">
        <f t="shared" si="74"/>
        <v>7.2490381941006E-7</v>
      </c>
      <c r="AP302" s="202">
        <f t="shared" si="75"/>
        <v>0</v>
      </c>
      <c r="AQ302" s="202">
        <f t="shared" si="76"/>
        <v>0</v>
      </c>
      <c r="AR302" s="209" t="s">
        <v>706</v>
      </c>
      <c r="AS302" s="223" t="s">
        <v>1658</v>
      </c>
      <c r="AT302" s="234">
        <v>325193</v>
      </c>
      <c r="AU302" s="244">
        <f t="shared" si="77"/>
        <v>1.1982007721410821E-2</v>
      </c>
      <c r="AV302" s="244">
        <f t="shared" si="78"/>
        <v>0</v>
      </c>
      <c r="AW302" s="244">
        <f t="shared" si="79"/>
        <v>1.1982007721410821E-2</v>
      </c>
      <c r="AX302" s="244">
        <f t="shared" si="80"/>
        <v>0</v>
      </c>
      <c r="AY302" s="244">
        <f t="shared" si="81"/>
        <v>0</v>
      </c>
      <c r="AZ302">
        <v>2.8700794580365097E-6</v>
      </c>
    </row>
    <row r="303" spans="1:52" ht="15.75" customHeight="1" x14ac:dyDescent="0.35">
      <c r="A303" s="67" t="s">
        <v>706</v>
      </c>
      <c r="B303" s="67" t="s">
        <v>736</v>
      </c>
      <c r="C303" s="67" t="s">
        <v>74</v>
      </c>
      <c r="D303" s="67" t="s">
        <v>75</v>
      </c>
      <c r="E303" s="67" t="s">
        <v>757</v>
      </c>
      <c r="F303" s="67" t="s">
        <v>758</v>
      </c>
      <c r="G303" s="67" t="s">
        <v>52</v>
      </c>
      <c r="H303" s="139" t="s">
        <v>160</v>
      </c>
      <c r="I303" s="139" t="s">
        <v>759</v>
      </c>
      <c r="J303" s="76" t="s">
        <v>78</v>
      </c>
      <c r="K303" s="228">
        <f t="shared" si="82"/>
        <v>25</v>
      </c>
      <c r="L303" s="269">
        <v>25</v>
      </c>
      <c r="M303" s="269">
        <v>25</v>
      </c>
      <c r="N303" s="269">
        <v>25</v>
      </c>
      <c r="O303" s="269">
        <v>1</v>
      </c>
      <c r="P303" s="269">
        <v>1</v>
      </c>
      <c r="Q303" s="269">
        <v>1</v>
      </c>
      <c r="R303" s="269"/>
      <c r="S303" s="67" t="s">
        <v>713</v>
      </c>
      <c r="T303" s="70"/>
      <c r="U303" s="238">
        <f t="shared" si="67"/>
        <v>0.92980302014764327</v>
      </c>
      <c r="V303" s="238">
        <f t="shared" si="68"/>
        <v>0</v>
      </c>
      <c r="W303" s="238">
        <f t="shared" si="69"/>
        <v>5.6663895964676303E-2</v>
      </c>
      <c r="X303" s="238">
        <f t="shared" si="70"/>
        <v>0.43206220673065704</v>
      </c>
      <c r="Y303" s="238">
        <f t="shared" si="71"/>
        <v>0.44107691745230998</v>
      </c>
      <c r="Z303" s="70">
        <v>0.92980302014764327</v>
      </c>
      <c r="AA303" s="70"/>
      <c r="AB303" s="70">
        <v>5.6663895964676303E-2</v>
      </c>
      <c r="AC303" s="70">
        <v>0.43206220673065704</v>
      </c>
      <c r="AD303" s="71">
        <v>0.44107691745230998</v>
      </c>
      <c r="AE303" s="233"/>
      <c r="AF303" s="72"/>
      <c r="AG303" s="74">
        <v>3.8767214611599998</v>
      </c>
      <c r="AH303" s="74">
        <v>3.6045873228577525</v>
      </c>
      <c r="AI303" s="74">
        <v>0</v>
      </c>
      <c r="AJ303" s="74">
        <v>0.21967014155919815</v>
      </c>
      <c r="AK303" s="74">
        <v>1.6749848293888867</v>
      </c>
      <c r="AL303" s="75">
        <v>1.7099323519096679</v>
      </c>
      <c r="AM303" s="202">
        <f t="shared" si="72"/>
        <v>2.1807523233919286E-4</v>
      </c>
      <c r="AN303" s="202">
        <f t="shared" si="73"/>
        <v>0</v>
      </c>
      <c r="AO303" s="202">
        <f t="shared" si="74"/>
        <v>1.3289903355851085E-5</v>
      </c>
      <c r="AP303" s="202">
        <f t="shared" si="75"/>
        <v>1.0133551308836458E-4</v>
      </c>
      <c r="AQ303" s="202">
        <f t="shared" si="76"/>
        <v>1.0344981589497722E-4</v>
      </c>
      <c r="AR303" s="209" t="s">
        <v>706</v>
      </c>
      <c r="AS303" s="223" t="s">
        <v>1658</v>
      </c>
      <c r="AT303" s="234">
        <v>325193</v>
      </c>
      <c r="AU303" s="244">
        <f t="shared" si="77"/>
        <v>3.6045873228577525</v>
      </c>
      <c r="AV303" s="244">
        <f t="shared" si="78"/>
        <v>0</v>
      </c>
      <c r="AW303" s="244">
        <f t="shared" si="79"/>
        <v>0.21967014155919815</v>
      </c>
      <c r="AX303" s="244">
        <f t="shared" si="80"/>
        <v>1.6749848293888867</v>
      </c>
      <c r="AY303" s="244">
        <f t="shared" si="81"/>
        <v>1.7099323519096679</v>
      </c>
      <c r="AZ303">
        <v>8.6341557029264934E-4</v>
      </c>
    </row>
    <row r="304" spans="1:52" ht="15.75" customHeight="1" x14ac:dyDescent="0.35">
      <c r="A304" s="67" t="s">
        <v>706</v>
      </c>
      <c r="B304" s="67" t="s">
        <v>736</v>
      </c>
      <c r="C304" s="67" t="s">
        <v>154</v>
      </c>
      <c r="D304" s="67" t="s">
        <v>753</v>
      </c>
      <c r="E304" s="67" t="s">
        <v>163</v>
      </c>
      <c r="F304" s="67" t="s">
        <v>760</v>
      </c>
      <c r="G304" s="67" t="s">
        <v>52</v>
      </c>
      <c r="H304" s="139" t="s">
        <v>214</v>
      </c>
      <c r="I304" s="139" t="s">
        <v>761</v>
      </c>
      <c r="J304" s="113">
        <v>0.32460102400000002</v>
      </c>
      <c r="K304" s="228">
        <f t="shared" si="82"/>
        <v>25</v>
      </c>
      <c r="L304" s="269">
        <v>25</v>
      </c>
      <c r="M304" s="269">
        <v>25</v>
      </c>
      <c r="N304" s="269">
        <v>25</v>
      </c>
      <c r="O304" s="269">
        <v>1</v>
      </c>
      <c r="P304" s="269">
        <v>1</v>
      </c>
      <c r="Q304" s="269">
        <v>1</v>
      </c>
      <c r="R304" s="269"/>
      <c r="S304" s="67" t="s">
        <v>713</v>
      </c>
      <c r="T304" s="70"/>
      <c r="U304" s="238">
        <f t="shared" si="67"/>
        <v>0.27765309022691398</v>
      </c>
      <c r="V304" s="238">
        <f t="shared" si="68"/>
        <v>0</v>
      </c>
      <c r="W304" s="238">
        <f t="shared" si="69"/>
        <v>0.27765309022691398</v>
      </c>
      <c r="X304" s="238">
        <f t="shared" si="70"/>
        <v>0</v>
      </c>
      <c r="Y304" s="238">
        <f t="shared" si="71"/>
        <v>0</v>
      </c>
      <c r="Z304" s="70">
        <v>0.27765309022691398</v>
      </c>
      <c r="AA304" s="70"/>
      <c r="AB304" s="70">
        <v>0.27765309022691398</v>
      </c>
      <c r="AC304" s="70">
        <v>0</v>
      </c>
      <c r="AD304" s="71">
        <v>0</v>
      </c>
      <c r="AE304" s="233"/>
      <c r="AF304" s="72"/>
      <c r="AG304" s="74">
        <v>3.8767214611599998</v>
      </c>
      <c r="AH304" s="74">
        <v>1.0763836936400712</v>
      </c>
      <c r="AI304" s="74">
        <v>0</v>
      </c>
      <c r="AJ304" s="74">
        <v>1.0763836936400712</v>
      </c>
      <c r="AK304" s="74">
        <v>0</v>
      </c>
      <c r="AL304" s="75">
        <v>0</v>
      </c>
      <c r="AM304" s="202">
        <f t="shared" si="72"/>
        <v>6.5120526443670341E-5</v>
      </c>
      <c r="AN304" s="202">
        <f t="shared" si="73"/>
        <v>0</v>
      </c>
      <c r="AO304" s="202">
        <f t="shared" si="74"/>
        <v>6.5120526443670341E-5</v>
      </c>
      <c r="AP304" s="202">
        <f t="shared" si="75"/>
        <v>0</v>
      </c>
      <c r="AQ304" s="202">
        <f t="shared" si="76"/>
        <v>0</v>
      </c>
      <c r="AR304" s="209" t="s">
        <v>706</v>
      </c>
      <c r="AS304" s="223" t="s">
        <v>1658</v>
      </c>
      <c r="AT304" s="234">
        <v>325193</v>
      </c>
      <c r="AU304" s="244">
        <f t="shared" si="77"/>
        <v>1.0763836936400712</v>
      </c>
      <c r="AV304" s="244">
        <f t="shared" si="78"/>
        <v>0</v>
      </c>
      <c r="AW304" s="244">
        <f t="shared" si="79"/>
        <v>1.0763836936400712</v>
      </c>
      <c r="AX304" s="244">
        <f t="shared" si="80"/>
        <v>0</v>
      </c>
      <c r="AY304" s="244">
        <f t="shared" si="81"/>
        <v>0</v>
      </c>
      <c r="AZ304">
        <v>2.5782880464694623E-4</v>
      </c>
    </row>
    <row r="305" spans="1:52" ht="15.75" customHeight="1" x14ac:dyDescent="0.35">
      <c r="A305" s="67" t="s">
        <v>706</v>
      </c>
      <c r="B305" s="67" t="s">
        <v>736</v>
      </c>
      <c r="C305" s="67" t="s">
        <v>154</v>
      </c>
      <c r="D305" s="67" t="s">
        <v>155</v>
      </c>
      <c r="E305" s="67" t="s">
        <v>762</v>
      </c>
      <c r="F305" s="67" t="s">
        <v>760</v>
      </c>
      <c r="G305" s="67" t="s">
        <v>52</v>
      </c>
      <c r="H305" s="139" t="s">
        <v>214</v>
      </c>
      <c r="I305" s="139" t="s">
        <v>763</v>
      </c>
      <c r="J305" s="113">
        <v>0.32476435300000001</v>
      </c>
      <c r="K305" s="228">
        <f t="shared" si="82"/>
        <v>25</v>
      </c>
      <c r="L305" s="269">
        <v>25</v>
      </c>
      <c r="M305" s="269">
        <v>25</v>
      </c>
      <c r="N305" s="269">
        <v>25</v>
      </c>
      <c r="O305" s="269">
        <v>1</v>
      </c>
      <c r="P305" s="269">
        <v>1</v>
      </c>
      <c r="Q305" s="269">
        <v>1</v>
      </c>
      <c r="R305" s="269"/>
      <c r="S305" s="67" t="s">
        <v>713</v>
      </c>
      <c r="T305" s="70"/>
      <c r="U305" s="238">
        <f t="shared" si="67"/>
        <v>4.88082194786644E-2</v>
      </c>
      <c r="V305" s="238">
        <f t="shared" si="68"/>
        <v>0</v>
      </c>
      <c r="W305" s="238">
        <f t="shared" si="69"/>
        <v>4.88082194786644E-2</v>
      </c>
      <c r="X305" s="238">
        <f t="shared" si="70"/>
        <v>0</v>
      </c>
      <c r="Y305" s="238">
        <f t="shared" si="71"/>
        <v>0</v>
      </c>
      <c r="Z305" s="70">
        <v>4.88082194786644E-2</v>
      </c>
      <c r="AA305" s="70"/>
      <c r="AB305" s="70">
        <v>4.88082194786644E-2</v>
      </c>
      <c r="AC305" s="70">
        <v>0</v>
      </c>
      <c r="AD305" s="71">
        <v>0</v>
      </c>
      <c r="AE305" s="233"/>
      <c r="AF305" s="72"/>
      <c r="AG305" s="74">
        <v>3.8767214611599998</v>
      </c>
      <c r="AH305" s="74">
        <v>0.18921587193394582</v>
      </c>
      <c r="AI305" s="74">
        <v>0</v>
      </c>
      <c r="AJ305" s="74">
        <v>0.18921587193394582</v>
      </c>
      <c r="AK305" s="74">
        <v>0</v>
      </c>
      <c r="AL305" s="75">
        <v>0</v>
      </c>
      <c r="AM305" s="202">
        <f t="shared" si="72"/>
        <v>1.1447439481517193E-5</v>
      </c>
      <c r="AN305" s="202">
        <f t="shared" si="73"/>
        <v>0</v>
      </c>
      <c r="AO305" s="202">
        <f t="shared" si="74"/>
        <v>1.1447439481517193E-5</v>
      </c>
      <c r="AP305" s="202">
        <f t="shared" si="75"/>
        <v>0</v>
      </c>
      <c r="AQ305" s="202">
        <f t="shared" si="76"/>
        <v>0</v>
      </c>
      <c r="AR305" s="209" t="s">
        <v>706</v>
      </c>
      <c r="AS305" s="223" t="s">
        <v>1658</v>
      </c>
      <c r="AT305" s="234">
        <v>325193</v>
      </c>
      <c r="AU305" s="244">
        <f t="shared" si="77"/>
        <v>0.18921587193394582</v>
      </c>
      <c r="AV305" s="244">
        <f t="shared" si="78"/>
        <v>0</v>
      </c>
      <c r="AW305" s="244">
        <f t="shared" si="79"/>
        <v>0.18921587193394582</v>
      </c>
      <c r="AX305" s="244">
        <f t="shared" si="80"/>
        <v>0</v>
      </c>
      <c r="AY305" s="244">
        <f t="shared" si="81"/>
        <v>0</v>
      </c>
      <c r="AZ305">
        <v>4.5323338108159864E-5</v>
      </c>
    </row>
    <row r="306" spans="1:52" ht="15.75" customHeight="1" x14ac:dyDescent="0.35">
      <c r="A306" s="67" t="s">
        <v>706</v>
      </c>
      <c r="B306" s="67" t="s">
        <v>736</v>
      </c>
      <c r="C306" s="67" t="s">
        <v>154</v>
      </c>
      <c r="D306" s="67" t="s">
        <v>211</v>
      </c>
      <c r="E306" s="67" t="s">
        <v>764</v>
      </c>
      <c r="F306" s="67" t="s">
        <v>765</v>
      </c>
      <c r="G306" s="67" t="s">
        <v>52</v>
      </c>
      <c r="H306" s="139" t="s">
        <v>214</v>
      </c>
      <c r="I306" s="139" t="s">
        <v>766</v>
      </c>
      <c r="J306" s="113">
        <v>0.324772432</v>
      </c>
      <c r="K306" s="228">
        <f t="shared" si="82"/>
        <v>25</v>
      </c>
      <c r="L306" s="269">
        <v>25</v>
      </c>
      <c r="M306" s="269">
        <v>25</v>
      </c>
      <c r="N306" s="269">
        <v>25</v>
      </c>
      <c r="O306" s="269">
        <v>1</v>
      </c>
      <c r="P306" s="269">
        <v>1</v>
      </c>
      <c r="Q306" s="269">
        <v>1</v>
      </c>
      <c r="R306" s="269"/>
      <c r="S306" s="67" t="s">
        <v>713</v>
      </c>
      <c r="T306" s="70"/>
      <c r="U306" s="238">
        <f t="shared" si="67"/>
        <v>0.12865280015616298</v>
      </c>
      <c r="V306" s="238">
        <f t="shared" si="68"/>
        <v>0</v>
      </c>
      <c r="W306" s="238">
        <f t="shared" si="69"/>
        <v>0.12865280015616298</v>
      </c>
      <c r="X306" s="238">
        <f t="shared" si="70"/>
        <v>0</v>
      </c>
      <c r="Y306" s="238">
        <f t="shared" si="71"/>
        <v>0</v>
      </c>
      <c r="Z306" s="70">
        <v>0.12865280015616298</v>
      </c>
      <c r="AA306" s="70"/>
      <c r="AB306" s="70">
        <v>0.12865280015616298</v>
      </c>
      <c r="AC306" s="70">
        <v>0</v>
      </c>
      <c r="AD306" s="71">
        <v>0</v>
      </c>
      <c r="AE306" s="233"/>
      <c r="AF306" s="72"/>
      <c r="AG306" s="74">
        <v>3.8767214611599998</v>
      </c>
      <c r="AH306" s="74">
        <v>0.4987510714037256</v>
      </c>
      <c r="AI306" s="74">
        <v>0</v>
      </c>
      <c r="AJ306" s="74">
        <v>0.4987510714037256</v>
      </c>
      <c r="AK306" s="74">
        <v>0</v>
      </c>
      <c r="AL306" s="75">
        <v>0</v>
      </c>
      <c r="AM306" s="202">
        <f t="shared" si="72"/>
        <v>3.0174121482943757E-5</v>
      </c>
      <c r="AN306" s="202">
        <f t="shared" si="73"/>
        <v>0</v>
      </c>
      <c r="AO306" s="202">
        <f t="shared" si="74"/>
        <v>3.0174121482943757E-5</v>
      </c>
      <c r="AP306" s="202">
        <f t="shared" si="75"/>
        <v>0</v>
      </c>
      <c r="AQ306" s="202">
        <f t="shared" si="76"/>
        <v>0</v>
      </c>
      <c r="AR306" s="209" t="s">
        <v>706</v>
      </c>
      <c r="AS306" s="223" t="s">
        <v>1658</v>
      </c>
      <c r="AT306" s="234">
        <v>325193</v>
      </c>
      <c r="AU306" s="244">
        <f t="shared" si="77"/>
        <v>0.4987510714037256</v>
      </c>
      <c r="AV306" s="244">
        <f t="shared" si="78"/>
        <v>0</v>
      </c>
      <c r="AW306" s="244">
        <f t="shared" si="79"/>
        <v>0.4987510714037256</v>
      </c>
      <c r="AX306" s="244">
        <f t="shared" si="80"/>
        <v>0</v>
      </c>
      <c r="AY306" s="244">
        <f t="shared" si="81"/>
        <v>0</v>
      </c>
      <c r="AZ306">
        <v>1.1946705744076975E-4</v>
      </c>
    </row>
    <row r="307" spans="1:52" ht="15.75" customHeight="1" x14ac:dyDescent="0.35">
      <c r="A307" s="67" t="s">
        <v>706</v>
      </c>
      <c r="B307" s="67" t="s">
        <v>736</v>
      </c>
      <c r="C307" s="67" t="s">
        <v>74</v>
      </c>
      <c r="D307" s="67" t="s">
        <v>75</v>
      </c>
      <c r="E307" s="67" t="s">
        <v>767</v>
      </c>
      <c r="F307" s="67" t="s">
        <v>768</v>
      </c>
      <c r="G307" s="67" t="s">
        <v>52</v>
      </c>
      <c r="H307" s="139" t="s">
        <v>75</v>
      </c>
      <c r="I307" s="139" t="s">
        <v>769</v>
      </c>
      <c r="J307" s="76" t="s">
        <v>78</v>
      </c>
      <c r="K307" s="228">
        <f t="shared" si="82"/>
        <v>25</v>
      </c>
      <c r="L307" s="269">
        <v>25</v>
      </c>
      <c r="M307" s="269">
        <v>25</v>
      </c>
      <c r="N307" s="269">
        <v>25</v>
      </c>
      <c r="O307" s="269">
        <v>1</v>
      </c>
      <c r="P307" s="269">
        <v>1</v>
      </c>
      <c r="Q307" s="269">
        <v>1</v>
      </c>
      <c r="R307" s="269"/>
      <c r="S307" s="67" t="s">
        <v>713</v>
      </c>
      <c r="T307" s="70"/>
      <c r="U307" s="238">
        <f t="shared" si="67"/>
        <v>0.52414103767325615</v>
      </c>
      <c r="V307" s="238">
        <f t="shared" si="68"/>
        <v>0</v>
      </c>
      <c r="W307" s="238">
        <f t="shared" si="69"/>
        <v>6.6064951431543104E-2</v>
      </c>
      <c r="X307" s="238">
        <f t="shared" si="70"/>
        <v>0.45807608624171303</v>
      </c>
      <c r="Y307" s="238">
        <f t="shared" si="71"/>
        <v>0</v>
      </c>
      <c r="Z307" s="70">
        <v>0.52414103767325615</v>
      </c>
      <c r="AA307" s="70"/>
      <c r="AB307" s="70">
        <v>6.6064951431543104E-2</v>
      </c>
      <c r="AC307" s="70">
        <v>0.45807608624171303</v>
      </c>
      <c r="AD307" s="71">
        <v>0</v>
      </c>
      <c r="AE307" s="233"/>
      <c r="AF307" s="72"/>
      <c r="AG307" s="74">
        <v>3.8767214611599998</v>
      </c>
      <c r="AH307" s="74">
        <v>2.0319488094225839</v>
      </c>
      <c r="AI307" s="74">
        <v>0</v>
      </c>
      <c r="AJ307" s="74">
        <v>0.25611541504515623</v>
      </c>
      <c r="AK307" s="74">
        <v>1.7758333943774278</v>
      </c>
      <c r="AL307" s="75">
        <v>0</v>
      </c>
      <c r="AM307" s="202">
        <f t="shared" si="72"/>
        <v>1.229316060416226E-4</v>
      </c>
      <c r="AN307" s="202">
        <f t="shared" si="73"/>
        <v>0</v>
      </c>
      <c r="AO307" s="202">
        <f t="shared" si="74"/>
        <v>1.5494819139890027E-5</v>
      </c>
      <c r="AP307" s="202">
        <f t="shared" si="75"/>
        <v>1.0743678690173258E-4</v>
      </c>
      <c r="AQ307" s="202">
        <f t="shared" si="76"/>
        <v>0</v>
      </c>
      <c r="AR307" s="209" t="s">
        <v>706</v>
      </c>
      <c r="AS307" s="223" t="s">
        <v>1658</v>
      </c>
      <c r="AT307" s="234">
        <v>325193</v>
      </c>
      <c r="AU307" s="244">
        <f t="shared" si="77"/>
        <v>2.0319488094225839</v>
      </c>
      <c r="AV307" s="244">
        <f t="shared" si="78"/>
        <v>0</v>
      </c>
      <c r="AW307" s="244">
        <f t="shared" si="79"/>
        <v>0.25611541504515623</v>
      </c>
      <c r="AX307" s="244">
        <f t="shared" si="80"/>
        <v>1.7758333943774278</v>
      </c>
      <c r="AY307" s="244">
        <f t="shared" si="81"/>
        <v>0</v>
      </c>
      <c r="AZ307">
        <v>4.8671764142535782E-4</v>
      </c>
    </row>
    <row r="308" spans="1:52" ht="15.75" customHeight="1" x14ac:dyDescent="0.35">
      <c r="A308" s="67" t="s">
        <v>706</v>
      </c>
      <c r="B308" s="67" t="s">
        <v>736</v>
      </c>
      <c r="C308" s="67" t="s">
        <v>154</v>
      </c>
      <c r="D308" s="67" t="s">
        <v>211</v>
      </c>
      <c r="E308" s="67" t="s">
        <v>770</v>
      </c>
      <c r="F308" s="67" t="s">
        <v>771</v>
      </c>
      <c r="G308" s="67" t="s">
        <v>52</v>
      </c>
      <c r="H308" s="67" t="s">
        <v>214</v>
      </c>
      <c r="I308" s="139" t="s">
        <v>772</v>
      </c>
      <c r="J308" s="113">
        <v>0.32498307399999998</v>
      </c>
      <c r="K308" s="228">
        <f t="shared" si="82"/>
        <v>25</v>
      </c>
      <c r="L308" s="269">
        <v>25</v>
      </c>
      <c r="M308" s="269">
        <v>25</v>
      </c>
      <c r="N308" s="269">
        <v>25</v>
      </c>
      <c r="O308" s="269">
        <v>1</v>
      </c>
      <c r="P308" s="269">
        <v>1</v>
      </c>
      <c r="Q308" s="269">
        <v>1</v>
      </c>
      <c r="R308" s="269"/>
      <c r="S308" s="67" t="s">
        <v>713</v>
      </c>
      <c r="T308" s="70"/>
      <c r="U308" s="238">
        <f t="shared" si="67"/>
        <v>6.1815159234192396E-2</v>
      </c>
      <c r="V308" s="238">
        <f t="shared" si="68"/>
        <v>0</v>
      </c>
      <c r="W308" s="238">
        <f t="shared" si="69"/>
        <v>6.1815159234192396E-2</v>
      </c>
      <c r="X308" s="238">
        <f t="shared" si="70"/>
        <v>0</v>
      </c>
      <c r="Y308" s="238">
        <f t="shared" si="71"/>
        <v>0</v>
      </c>
      <c r="Z308" s="70">
        <v>6.1815159234192396E-2</v>
      </c>
      <c r="AA308" s="70"/>
      <c r="AB308" s="70">
        <v>6.1815159234192396E-2</v>
      </c>
      <c r="AC308" s="70">
        <v>0</v>
      </c>
      <c r="AD308" s="71">
        <v>0</v>
      </c>
      <c r="AE308" s="233"/>
      <c r="AF308" s="72"/>
      <c r="AG308" s="74">
        <v>3.8767214611599998</v>
      </c>
      <c r="AH308" s="74">
        <v>0.2396401544282164</v>
      </c>
      <c r="AI308" s="74">
        <v>0</v>
      </c>
      <c r="AJ308" s="74">
        <v>0.2396401544282164</v>
      </c>
      <c r="AK308" s="74">
        <v>0</v>
      </c>
      <c r="AL308" s="75">
        <v>0</v>
      </c>
      <c r="AM308" s="202">
        <f t="shared" si="72"/>
        <v>1.4498076388201199E-5</v>
      </c>
      <c r="AN308" s="202">
        <f t="shared" si="73"/>
        <v>0</v>
      </c>
      <c r="AO308" s="202">
        <f t="shared" si="74"/>
        <v>1.4498076388201199E-5</v>
      </c>
      <c r="AP308" s="202">
        <f t="shared" si="75"/>
        <v>0</v>
      </c>
      <c r="AQ308" s="202">
        <f t="shared" si="76"/>
        <v>0</v>
      </c>
      <c r="AR308" s="209" t="s">
        <v>706</v>
      </c>
      <c r="AS308" s="223" t="s">
        <v>1658</v>
      </c>
      <c r="AT308" s="234">
        <v>325193</v>
      </c>
      <c r="AU308" s="244">
        <f t="shared" si="77"/>
        <v>0.2396401544282164</v>
      </c>
      <c r="AV308" s="244">
        <f t="shared" si="78"/>
        <v>0</v>
      </c>
      <c r="AW308" s="244">
        <f t="shared" si="79"/>
        <v>0.2396401544282164</v>
      </c>
      <c r="AX308" s="244">
        <f t="shared" si="80"/>
        <v>0</v>
      </c>
      <c r="AY308" s="244">
        <f t="shared" si="81"/>
        <v>0</v>
      </c>
      <c r="AZ308">
        <v>5.7401589160730186E-5</v>
      </c>
    </row>
    <row r="309" spans="1:52" ht="15.75" customHeight="1" x14ac:dyDescent="0.35">
      <c r="A309" s="67" t="s">
        <v>706</v>
      </c>
      <c r="B309" s="67" t="s">
        <v>736</v>
      </c>
      <c r="C309" s="67" t="s">
        <v>48</v>
      </c>
      <c r="D309" s="67" t="s">
        <v>194</v>
      </c>
      <c r="E309" s="67" t="s">
        <v>773</v>
      </c>
      <c r="F309" s="67" t="s">
        <v>774</v>
      </c>
      <c r="G309" s="67" t="s">
        <v>52</v>
      </c>
      <c r="H309" s="139" t="s">
        <v>214</v>
      </c>
      <c r="I309" s="139" t="s">
        <v>775</v>
      </c>
      <c r="J309" s="113">
        <v>0.842217302</v>
      </c>
      <c r="K309" s="228">
        <f>N309</f>
        <v>32</v>
      </c>
      <c r="L309" s="269" t="s">
        <v>718</v>
      </c>
      <c r="M309" s="269">
        <v>25</v>
      </c>
      <c r="N309" s="269">
        <v>32</v>
      </c>
      <c r="O309" s="269">
        <v>1</v>
      </c>
      <c r="P309" s="269">
        <v>1</v>
      </c>
      <c r="Q309" s="269">
        <v>1</v>
      </c>
      <c r="R309" s="269">
        <v>21600</v>
      </c>
      <c r="S309" s="67" t="s">
        <v>713</v>
      </c>
      <c r="T309" s="70"/>
      <c r="U309" s="238">
        <f t="shared" si="67"/>
        <v>2.2780740632576957</v>
      </c>
      <c r="V309" s="238">
        <f t="shared" si="68"/>
        <v>0</v>
      </c>
      <c r="W309" s="238">
        <f t="shared" si="69"/>
        <v>3.35218457263756E-2</v>
      </c>
      <c r="X309" s="238">
        <f t="shared" si="70"/>
        <v>0</v>
      </c>
      <c r="Y309" s="238">
        <f t="shared" si="71"/>
        <v>2.2445522175313202</v>
      </c>
      <c r="Z309" s="70">
        <v>2.2780740632576957</v>
      </c>
      <c r="AA309" s="70"/>
      <c r="AB309" s="70">
        <v>3.35218457263756E-2</v>
      </c>
      <c r="AC309" s="70"/>
      <c r="AD309" s="71">
        <v>2.2445522175313202</v>
      </c>
      <c r="AE309" s="233"/>
      <c r="AF309" s="72"/>
      <c r="AG309" s="74">
        <v>3.8767214611599998</v>
      </c>
      <c r="AH309" s="74">
        <v>8.8314586111430717</v>
      </c>
      <c r="AI309" s="74">
        <v>0</v>
      </c>
      <c r="AJ309" s="74">
        <v>0.1299548587451349</v>
      </c>
      <c r="AK309" s="74">
        <v>0</v>
      </c>
      <c r="AL309" s="75">
        <v>8.7015037523979366</v>
      </c>
      <c r="AM309" s="202">
        <f t="shared" si="72"/>
        <v>5.3429760913437953E-4</v>
      </c>
      <c r="AN309" s="202">
        <f t="shared" si="73"/>
        <v>0</v>
      </c>
      <c r="AO309" s="202">
        <f t="shared" si="74"/>
        <v>7.8621860080182772E-6</v>
      </c>
      <c r="AP309" s="202">
        <f t="shared" si="75"/>
        <v>0</v>
      </c>
      <c r="AQ309" s="202">
        <f t="shared" si="76"/>
        <v>5.2643542312636122E-4</v>
      </c>
      <c r="AR309" s="209" t="s">
        <v>706</v>
      </c>
      <c r="AS309" s="223" t="s">
        <v>1658</v>
      </c>
      <c r="AT309" s="234">
        <v>325193</v>
      </c>
      <c r="AU309" s="244">
        <f t="shared" si="77"/>
        <v>8.8314586111430717</v>
      </c>
      <c r="AV309" s="244">
        <f t="shared" si="78"/>
        <v>0</v>
      </c>
      <c r="AW309" s="244">
        <f t="shared" si="79"/>
        <v>0.1299548587451349</v>
      </c>
      <c r="AX309" s="244">
        <f t="shared" si="80"/>
        <v>0</v>
      </c>
      <c r="AY309" s="244">
        <f t="shared" si="81"/>
        <v>8.7015037523979366</v>
      </c>
      <c r="AZ309">
        <v>2.1154207653403929E-3</v>
      </c>
    </row>
    <row r="310" spans="1:52" ht="15.75" customHeight="1" x14ac:dyDescent="0.35">
      <c r="A310" s="67" t="s">
        <v>706</v>
      </c>
      <c r="B310" s="67" t="s">
        <v>736</v>
      </c>
      <c r="C310" s="67" t="s">
        <v>74</v>
      </c>
      <c r="D310" s="67" t="s">
        <v>75</v>
      </c>
      <c r="E310" s="67" t="s">
        <v>776</v>
      </c>
      <c r="F310" s="67" t="s">
        <v>768</v>
      </c>
      <c r="G310" s="67" t="s">
        <v>52</v>
      </c>
      <c r="H310" s="139" t="s">
        <v>214</v>
      </c>
      <c r="I310" s="139" t="s">
        <v>777</v>
      </c>
      <c r="J310" s="76" t="s">
        <v>78</v>
      </c>
      <c r="K310" s="228">
        <f t="shared" si="82"/>
        <v>80</v>
      </c>
      <c r="L310" s="269">
        <v>80</v>
      </c>
      <c r="M310" s="269"/>
      <c r="N310" s="269"/>
      <c r="O310" s="269">
        <v>1</v>
      </c>
      <c r="P310" s="269">
        <v>1</v>
      </c>
      <c r="Q310" s="269">
        <v>1</v>
      </c>
      <c r="R310" s="269"/>
      <c r="S310" s="67" t="s">
        <v>713</v>
      </c>
      <c r="T310" s="70"/>
      <c r="U310" s="238">
        <f t="shared" si="67"/>
        <v>3.0124587600129749</v>
      </c>
      <c r="V310" s="238">
        <f t="shared" si="68"/>
        <v>0</v>
      </c>
      <c r="W310" s="238">
        <f t="shared" si="69"/>
        <v>0.12543326061271501</v>
      </c>
      <c r="X310" s="238">
        <f t="shared" si="70"/>
        <v>2.8870254994002598</v>
      </c>
      <c r="Y310" s="238">
        <f t="shared" si="71"/>
        <v>0</v>
      </c>
      <c r="Z310" s="70">
        <v>3.0124587600129749</v>
      </c>
      <c r="AA310" s="70"/>
      <c r="AB310" s="70">
        <v>0.12543326061271501</v>
      </c>
      <c r="AC310" s="70">
        <v>2.8870254994002598</v>
      </c>
      <c r="AD310" s="71">
        <v>0</v>
      </c>
      <c r="AE310" s="233"/>
      <c r="AF310" s="72"/>
      <c r="AG310" s="74">
        <v>3.8767214611599998</v>
      </c>
      <c r="AH310" s="74">
        <v>11.678463525801741</v>
      </c>
      <c r="AI310" s="74">
        <v>0</v>
      </c>
      <c r="AJ310" s="74">
        <v>0.48626981336058761</v>
      </c>
      <c r="AK310" s="74">
        <v>11.192193712441153</v>
      </c>
      <c r="AL310" s="75">
        <v>0</v>
      </c>
      <c r="AM310" s="202">
        <f t="shared" si="72"/>
        <v>7.0653958931833811E-4</v>
      </c>
      <c r="AN310" s="202">
        <f t="shared" si="73"/>
        <v>0</v>
      </c>
      <c r="AO310" s="202">
        <f t="shared" si="74"/>
        <v>2.9419013337724839E-5</v>
      </c>
      <c r="AP310" s="202">
        <f t="shared" si="75"/>
        <v>6.7712057598061316E-4</v>
      </c>
      <c r="AQ310" s="202">
        <f t="shared" si="76"/>
        <v>0</v>
      </c>
      <c r="AR310" s="209" t="s">
        <v>706</v>
      </c>
      <c r="AS310" s="223" t="s">
        <v>1658</v>
      </c>
      <c r="AT310" s="234">
        <v>325193</v>
      </c>
      <c r="AU310" s="244">
        <f t="shared" si="77"/>
        <v>11.678463525801741</v>
      </c>
      <c r="AV310" s="244">
        <f t="shared" si="78"/>
        <v>0</v>
      </c>
      <c r="AW310" s="244">
        <f t="shared" si="79"/>
        <v>0.48626981336058761</v>
      </c>
      <c r="AX310" s="244">
        <f t="shared" si="80"/>
        <v>11.192193712441153</v>
      </c>
      <c r="AY310" s="244">
        <f t="shared" si="81"/>
        <v>0</v>
      </c>
      <c r="AZ310">
        <v>2.7973707784329166E-3</v>
      </c>
    </row>
    <row r="311" spans="1:52" ht="15.75" customHeight="1" x14ac:dyDescent="0.35">
      <c r="A311" s="67" t="s">
        <v>706</v>
      </c>
      <c r="B311" s="67" t="s">
        <v>736</v>
      </c>
      <c r="C311" s="67" t="s">
        <v>48</v>
      </c>
      <c r="D311" s="67" t="s">
        <v>378</v>
      </c>
      <c r="E311" s="67" t="s">
        <v>378</v>
      </c>
      <c r="F311" s="67" t="s">
        <v>719</v>
      </c>
      <c r="G311" s="67" t="s">
        <v>52</v>
      </c>
      <c r="H311" s="139" t="s">
        <v>578</v>
      </c>
      <c r="I311" s="139" t="s">
        <v>720</v>
      </c>
      <c r="J311" s="113"/>
      <c r="K311" s="228">
        <f t="shared" si="82"/>
        <v>32</v>
      </c>
      <c r="L311" s="269">
        <v>32</v>
      </c>
      <c r="M311" s="269">
        <v>32</v>
      </c>
      <c r="N311" s="269">
        <v>32</v>
      </c>
      <c r="O311" s="269">
        <v>1</v>
      </c>
      <c r="P311" s="269">
        <v>1</v>
      </c>
      <c r="Q311" s="269">
        <v>1</v>
      </c>
      <c r="R311" s="269">
        <v>198000</v>
      </c>
      <c r="S311" s="67" t="s">
        <v>713</v>
      </c>
      <c r="T311" s="70"/>
      <c r="U311" s="238">
        <f t="shared" si="67"/>
        <v>5.8222153103704898E-2</v>
      </c>
      <c r="V311" s="238">
        <f t="shared" si="68"/>
        <v>0</v>
      </c>
      <c r="W311" s="238">
        <f t="shared" si="69"/>
        <v>5.8222153103704898E-2</v>
      </c>
      <c r="X311" s="238">
        <f t="shared" si="70"/>
        <v>0</v>
      </c>
      <c r="Y311" s="238">
        <f t="shared" si="71"/>
        <v>0</v>
      </c>
      <c r="Z311" s="70">
        <v>5.8222153103704898E-2</v>
      </c>
      <c r="AA311" s="70"/>
      <c r="AB311" s="70">
        <v>5.8222153103704898E-2</v>
      </c>
      <c r="AC311" s="70"/>
      <c r="AD311" s="71">
        <v>0</v>
      </c>
      <c r="AE311" s="233"/>
      <c r="AF311" s="72"/>
      <c r="AG311" s="74">
        <v>3.8767214611599998</v>
      </c>
      <c r="AH311" s="74">
        <v>0.22571107045207606</v>
      </c>
      <c r="AI311" s="74">
        <v>0</v>
      </c>
      <c r="AJ311" s="74">
        <v>0.22571107045207606</v>
      </c>
      <c r="AK311" s="74">
        <v>0</v>
      </c>
      <c r="AL311" s="75">
        <v>0</v>
      </c>
      <c r="AM311" s="202">
        <f t="shared" si="72"/>
        <v>1.3655375698136988E-5</v>
      </c>
      <c r="AN311" s="202">
        <f t="shared" si="73"/>
        <v>0</v>
      </c>
      <c r="AO311" s="202">
        <f t="shared" si="74"/>
        <v>1.3655375698136988E-5</v>
      </c>
      <c r="AP311" s="202">
        <f t="shared" si="75"/>
        <v>0</v>
      </c>
      <c r="AQ311" s="202">
        <f t="shared" si="76"/>
        <v>0</v>
      </c>
      <c r="AR311" s="209" t="s">
        <v>706</v>
      </c>
      <c r="AS311" s="223" t="s">
        <v>1658</v>
      </c>
      <c r="AT311" s="234">
        <v>325193</v>
      </c>
      <c r="AU311" s="244">
        <f t="shared" si="77"/>
        <v>0.22571107045207606</v>
      </c>
      <c r="AV311" s="244">
        <f t="shared" si="78"/>
        <v>0</v>
      </c>
      <c r="AW311" s="244">
        <f t="shared" si="79"/>
        <v>0.22571107045207606</v>
      </c>
      <c r="AX311" s="244">
        <f t="shared" si="80"/>
        <v>0</v>
      </c>
      <c r="AY311" s="244">
        <f t="shared" si="81"/>
        <v>0</v>
      </c>
      <c r="AZ311">
        <v>5.4065121790762681E-5</v>
      </c>
    </row>
    <row r="312" spans="1:52" ht="15.75" customHeight="1" x14ac:dyDescent="0.35">
      <c r="A312" s="67" t="s">
        <v>706</v>
      </c>
      <c r="B312" s="67" t="s">
        <v>736</v>
      </c>
      <c r="C312" s="67" t="s">
        <v>74</v>
      </c>
      <c r="D312" s="67" t="s">
        <v>83</v>
      </c>
      <c r="E312" s="67" t="s">
        <v>83</v>
      </c>
      <c r="F312" s="67" t="s">
        <v>721</v>
      </c>
      <c r="G312" s="67" t="s">
        <v>52</v>
      </c>
      <c r="H312" s="139" t="s">
        <v>83</v>
      </c>
      <c r="I312" s="139" t="s">
        <v>722</v>
      </c>
      <c r="J312" s="76" t="s">
        <v>87</v>
      </c>
      <c r="K312" s="228">
        <f>N312</f>
        <v>78.400000000000006</v>
      </c>
      <c r="L312" s="269" t="s">
        <v>723</v>
      </c>
      <c r="M312" s="269">
        <v>32</v>
      </c>
      <c r="N312" s="269">
        <v>78.400000000000006</v>
      </c>
      <c r="O312" s="269">
        <v>1</v>
      </c>
      <c r="P312" s="269">
        <v>1</v>
      </c>
      <c r="Q312" s="269">
        <v>1</v>
      </c>
      <c r="R312" s="269"/>
      <c r="S312" s="67" t="s">
        <v>713</v>
      </c>
      <c r="T312" s="70"/>
      <c r="U312" s="238">
        <f t="shared" si="67"/>
        <v>2.4008698770764156</v>
      </c>
      <c r="V312" s="238">
        <f t="shared" si="68"/>
        <v>0</v>
      </c>
      <c r="W312" s="238">
        <f t="shared" si="69"/>
        <v>4.9400614754658697E-3</v>
      </c>
      <c r="X312" s="238">
        <f t="shared" si="70"/>
        <v>0</v>
      </c>
      <c r="Y312" s="238">
        <f t="shared" si="71"/>
        <v>2.3959298156009496</v>
      </c>
      <c r="Z312" s="70">
        <v>2.4008698770764156</v>
      </c>
      <c r="AA312" s="70"/>
      <c r="AB312" s="70">
        <v>4.9400614754658697E-3</v>
      </c>
      <c r="AC312" s="70"/>
      <c r="AD312" s="71">
        <v>2.3959298156009496</v>
      </c>
      <c r="AE312" s="233"/>
      <c r="AF312" s="72"/>
      <c r="AG312" s="74">
        <v>3.8767214611599998</v>
      </c>
      <c r="AH312" s="74">
        <v>9.307503777914711</v>
      </c>
      <c r="AI312" s="74">
        <v>0</v>
      </c>
      <c r="AJ312" s="74">
        <v>1.9151242341388271E-2</v>
      </c>
      <c r="AK312" s="74">
        <v>0</v>
      </c>
      <c r="AL312" s="75">
        <v>9.2883525355733223</v>
      </c>
      <c r="AM312" s="202">
        <f t="shared" si="72"/>
        <v>5.6309803787954048E-4</v>
      </c>
      <c r="AN312" s="202">
        <f t="shared" si="73"/>
        <v>0</v>
      </c>
      <c r="AO312" s="202">
        <f t="shared" si="74"/>
        <v>1.1586379380237442E-6</v>
      </c>
      <c r="AP312" s="202">
        <f t="shared" si="75"/>
        <v>0</v>
      </c>
      <c r="AQ312" s="202">
        <f t="shared" si="76"/>
        <v>5.6193939994151666E-4</v>
      </c>
      <c r="AR312" s="209" t="s">
        <v>706</v>
      </c>
      <c r="AS312" s="223" t="s">
        <v>1658</v>
      </c>
      <c r="AT312" s="234">
        <v>325193</v>
      </c>
      <c r="AU312" s="244">
        <f t="shared" si="77"/>
        <v>9.307503777914711</v>
      </c>
      <c r="AV312" s="244">
        <f t="shared" si="78"/>
        <v>0</v>
      </c>
      <c r="AW312" s="244">
        <f t="shared" si="79"/>
        <v>1.9151242341388271E-2</v>
      </c>
      <c r="AX312" s="244">
        <f t="shared" si="80"/>
        <v>0</v>
      </c>
      <c r="AY312" s="244">
        <f t="shared" si="81"/>
        <v>9.2883525355733223</v>
      </c>
      <c r="AZ312">
        <v>2.2294490222081803E-3</v>
      </c>
    </row>
    <row r="313" spans="1:52" ht="15.75" customHeight="1" x14ac:dyDescent="0.35">
      <c r="A313" s="78" t="s">
        <v>706</v>
      </c>
      <c r="B313" s="78" t="s">
        <v>736</v>
      </c>
      <c r="C313" s="78" t="s">
        <v>74</v>
      </c>
      <c r="D313" s="78" t="s">
        <v>75</v>
      </c>
      <c r="E313" s="78" t="s">
        <v>724</v>
      </c>
      <c r="F313" s="78" t="s">
        <v>725</v>
      </c>
      <c r="G313" s="78" t="s">
        <v>52</v>
      </c>
      <c r="H313" s="145" t="s">
        <v>76</v>
      </c>
      <c r="I313" s="145" t="s">
        <v>726</v>
      </c>
      <c r="J313" s="76" t="s">
        <v>78</v>
      </c>
      <c r="K313" s="228">
        <f>N313</f>
        <v>25</v>
      </c>
      <c r="L313" s="269" t="s">
        <v>727</v>
      </c>
      <c r="M313" s="269">
        <v>78.400000000000006</v>
      </c>
      <c r="N313" s="269">
        <v>25</v>
      </c>
      <c r="O313" s="269" t="s">
        <v>728</v>
      </c>
      <c r="P313" s="269">
        <v>1</v>
      </c>
      <c r="Q313" s="269">
        <v>1</v>
      </c>
      <c r="R313" s="269"/>
      <c r="S313" s="67" t="s">
        <v>713</v>
      </c>
      <c r="T313" s="82"/>
      <c r="U313" s="238">
        <f t="shared" si="67"/>
        <v>7.9393845141415842E-2</v>
      </c>
      <c r="V313" s="238">
        <f t="shared" si="68"/>
        <v>0</v>
      </c>
      <c r="W313" s="238">
        <f t="shared" si="69"/>
        <v>3.1757538056566299E-3</v>
      </c>
      <c r="X313" s="238">
        <f t="shared" si="70"/>
        <v>0</v>
      </c>
      <c r="Y313" s="238">
        <f t="shared" si="71"/>
        <v>7.6218091335759214E-2</v>
      </c>
      <c r="Z313" s="70">
        <v>7.9393845141415842E-2</v>
      </c>
      <c r="AA313" s="70"/>
      <c r="AB313" s="70">
        <v>3.1757538056566299E-3</v>
      </c>
      <c r="AC313" s="70"/>
      <c r="AD313" s="71">
        <v>7.6218091335759214E-2</v>
      </c>
      <c r="AE313" s="147"/>
      <c r="AF313" s="121"/>
      <c r="AG313" s="86">
        <v>3.8767214611599998</v>
      </c>
      <c r="AH313" s="86">
        <v>0.30778782334374039</v>
      </c>
      <c r="AI313" s="86">
        <v>0</v>
      </c>
      <c r="AJ313" s="86">
        <v>1.23115129337496E-2</v>
      </c>
      <c r="AK313" s="86">
        <v>0</v>
      </c>
      <c r="AL313" s="87">
        <v>0.29547631040999078</v>
      </c>
      <c r="AM313" s="202">
        <f t="shared" si="72"/>
        <v>1.862096686109591E-5</v>
      </c>
      <c r="AN313" s="202">
        <f t="shared" si="73"/>
        <v>0</v>
      </c>
      <c r="AO313" s="202">
        <f t="shared" si="74"/>
        <v>7.4483867444383547E-7</v>
      </c>
      <c r="AP313" s="202">
        <f t="shared" si="75"/>
        <v>0</v>
      </c>
      <c r="AQ313" s="202">
        <f t="shared" si="76"/>
        <v>1.7876128186652075E-5</v>
      </c>
      <c r="AR313" s="213" t="s">
        <v>706</v>
      </c>
      <c r="AS313" s="223" t="s">
        <v>1658</v>
      </c>
      <c r="AT313" s="234">
        <v>325193</v>
      </c>
      <c r="AU313" s="244">
        <f t="shared" si="77"/>
        <v>0.30778782334374039</v>
      </c>
      <c r="AV313" s="244">
        <f t="shared" si="78"/>
        <v>0</v>
      </c>
      <c r="AW313" s="244">
        <f t="shared" si="79"/>
        <v>1.23115129337496E-2</v>
      </c>
      <c r="AX313" s="244">
        <f t="shared" si="80"/>
        <v>0</v>
      </c>
      <c r="AY313" s="244">
        <f t="shared" si="81"/>
        <v>0.29547631040999078</v>
      </c>
      <c r="AZ313">
        <v>7.3725166078312821E-5</v>
      </c>
    </row>
    <row r="314" spans="1:52" ht="15.75" customHeight="1" x14ac:dyDescent="0.35">
      <c r="A314" s="67" t="s">
        <v>778</v>
      </c>
      <c r="B314" s="67" t="s">
        <v>779</v>
      </c>
      <c r="C314" s="67" t="s">
        <v>74</v>
      </c>
      <c r="D314" s="67" t="s">
        <v>83</v>
      </c>
      <c r="E314" s="67" t="s">
        <v>780</v>
      </c>
      <c r="F314" s="67" t="s">
        <v>781</v>
      </c>
      <c r="G314" s="67" t="s">
        <v>52</v>
      </c>
      <c r="H314" s="67" t="s">
        <v>83</v>
      </c>
      <c r="I314" s="139" t="s">
        <v>782</v>
      </c>
      <c r="J314" s="150" t="s">
        <v>87</v>
      </c>
      <c r="K314" s="228">
        <f>566</f>
        <v>566</v>
      </c>
      <c r="L314" s="269" t="s">
        <v>783</v>
      </c>
      <c r="M314" s="269">
        <v>25</v>
      </c>
      <c r="N314" s="269" t="s">
        <v>783</v>
      </c>
      <c r="O314" s="269" t="s">
        <v>784</v>
      </c>
      <c r="P314" s="269">
        <v>1</v>
      </c>
      <c r="Q314" s="269" t="s">
        <v>784</v>
      </c>
      <c r="R314" s="269"/>
      <c r="S314" s="56" t="s">
        <v>785</v>
      </c>
      <c r="T314" s="70"/>
      <c r="U314" s="238">
        <f t="shared" si="67"/>
        <v>9.9084275428439644E-2</v>
      </c>
      <c r="V314" s="238">
        <f t="shared" si="68"/>
        <v>0</v>
      </c>
      <c r="W314" s="238">
        <f t="shared" si="69"/>
        <v>2.1585299999999997E-3</v>
      </c>
      <c r="X314" s="238">
        <f t="shared" si="70"/>
        <v>7.0684999999999998E-2</v>
      </c>
      <c r="Y314" s="238">
        <f t="shared" si="71"/>
        <v>2.6240745428439648E-2</v>
      </c>
      <c r="Z314" s="82">
        <v>9.9084275428439644E-2</v>
      </c>
      <c r="AA314" s="82"/>
      <c r="AB314" s="82">
        <v>2.1585299999999997E-3</v>
      </c>
      <c r="AC314" s="82">
        <v>7.0684999999999998E-2</v>
      </c>
      <c r="AD314" s="83">
        <v>2.6240745428439648E-2</v>
      </c>
      <c r="AE314" s="151" t="s">
        <v>786</v>
      </c>
      <c r="AF314" s="152" t="s">
        <v>787</v>
      </c>
      <c r="AG314" s="74">
        <v>6017025000</v>
      </c>
      <c r="AH314" s="74">
        <v>596.19256235980708</v>
      </c>
      <c r="AI314" s="74">
        <v>0</v>
      </c>
      <c r="AJ314" s="74">
        <v>12.987928973249998</v>
      </c>
      <c r="AK314" s="74">
        <v>425.31341212500001</v>
      </c>
      <c r="AL314" s="75">
        <v>157.89122126155706</v>
      </c>
      <c r="AM314" s="202">
        <f t="shared" si="72"/>
        <v>3.6069269491975191E-2</v>
      </c>
      <c r="AN314" s="202">
        <f t="shared" si="73"/>
        <v>0</v>
      </c>
      <c r="AO314" s="202">
        <f t="shared" si="74"/>
        <v>7.8576141309871675E-4</v>
      </c>
      <c r="AP314" s="202">
        <f t="shared" si="75"/>
        <v>2.5731189969508326E-2</v>
      </c>
      <c r="AQ314" s="202">
        <f t="shared" si="76"/>
        <v>9.5523181093681488E-3</v>
      </c>
      <c r="AR314" s="209" t="s">
        <v>778</v>
      </c>
      <c r="AS314" s="224" t="s">
        <v>1664</v>
      </c>
      <c r="AT314" s="234">
        <v>324110</v>
      </c>
      <c r="AU314" s="244">
        <f t="shared" si="77"/>
        <v>596.19256235980708</v>
      </c>
      <c r="AV314" s="244">
        <f t="shared" si="78"/>
        <v>0</v>
      </c>
      <c r="AW314" s="244">
        <f t="shared" si="79"/>
        <v>12.987928973249998</v>
      </c>
      <c r="AX314" s="244">
        <f t="shared" si="80"/>
        <v>425.31341212500001</v>
      </c>
      <c r="AY314" s="244">
        <f t="shared" si="81"/>
        <v>157.89122126155706</v>
      </c>
      <c r="AZ314">
        <v>0.16026035572753977</v>
      </c>
    </row>
    <row r="315" spans="1:52" ht="15.75" customHeight="1" x14ac:dyDescent="0.35">
      <c r="A315" s="67" t="s">
        <v>778</v>
      </c>
      <c r="B315" s="67" t="s">
        <v>779</v>
      </c>
      <c r="C315" s="67" t="s">
        <v>74</v>
      </c>
      <c r="D315" s="67" t="s">
        <v>83</v>
      </c>
      <c r="E315" s="67" t="s">
        <v>788</v>
      </c>
      <c r="F315" s="67" t="s">
        <v>789</v>
      </c>
      <c r="G315" s="67" t="s">
        <v>52</v>
      </c>
      <c r="H315" s="67" t="s">
        <v>83</v>
      </c>
      <c r="I315" s="139" t="s">
        <v>790</v>
      </c>
      <c r="J315" s="76" t="s">
        <v>87</v>
      </c>
      <c r="K315" s="228">
        <f>398</f>
        <v>398</v>
      </c>
      <c r="L315" s="269" t="s">
        <v>791</v>
      </c>
      <c r="M315" s="269" t="s">
        <v>792</v>
      </c>
      <c r="N315" s="269" t="s">
        <v>791</v>
      </c>
      <c r="O315" s="269" t="s">
        <v>793</v>
      </c>
      <c r="P315" s="269">
        <v>1</v>
      </c>
      <c r="Q315" s="269">
        <v>1</v>
      </c>
      <c r="R315" s="269"/>
      <c r="S315" s="66" t="s">
        <v>785</v>
      </c>
      <c r="T315" s="70"/>
      <c r="U315" s="238">
        <f t="shared" si="67"/>
        <v>3.193176367362402E-2</v>
      </c>
      <c r="V315" s="238">
        <f t="shared" si="68"/>
        <v>0</v>
      </c>
      <c r="W315" s="238">
        <f t="shared" si="69"/>
        <v>1.6458109720500632E-4</v>
      </c>
      <c r="X315" s="238">
        <f t="shared" si="70"/>
        <v>2.3166840662288281E-2</v>
      </c>
      <c r="Y315" s="238">
        <f t="shared" si="71"/>
        <v>8.6003419141307338E-3</v>
      </c>
      <c r="Z315" s="70">
        <v>3.193176367362402E-2</v>
      </c>
      <c r="AA315" s="70"/>
      <c r="AB315" s="70">
        <v>1.6458109720500632E-4</v>
      </c>
      <c r="AC315" s="70">
        <v>2.3166840662288281E-2</v>
      </c>
      <c r="AD315" s="71">
        <v>8.6003419141307338E-3</v>
      </c>
      <c r="AE315" s="151" t="s">
        <v>786</v>
      </c>
      <c r="AF315" s="153" t="s">
        <v>787</v>
      </c>
      <c r="AG315" s="74">
        <v>6017025000</v>
      </c>
      <c r="AH315" s="74">
        <v>192.13422031828759</v>
      </c>
      <c r="AI315" s="74">
        <v>0</v>
      </c>
      <c r="AJ315" s="74">
        <v>0.99028857640995316</v>
      </c>
      <c r="AK315" s="74">
        <v>139.39545943600515</v>
      </c>
      <c r="AL315" s="75">
        <v>51.748472305872475</v>
      </c>
      <c r="AM315" s="202">
        <f t="shared" si="72"/>
        <v>1.1623997696080706E-2</v>
      </c>
      <c r="AN315" s="202">
        <f t="shared" si="73"/>
        <v>0</v>
      </c>
      <c r="AO315" s="202">
        <f t="shared" si="74"/>
        <v>5.9911826803029398E-5</v>
      </c>
      <c r="AP315" s="202">
        <f t="shared" si="75"/>
        <v>8.4333363241800921E-3</v>
      </c>
      <c r="AQ315" s="202">
        <f t="shared" si="76"/>
        <v>3.1307495450975842E-3</v>
      </c>
      <c r="AR315" s="209" t="s">
        <v>778</v>
      </c>
      <c r="AS315" s="224" t="s">
        <v>1664</v>
      </c>
      <c r="AT315" s="234">
        <v>324110</v>
      </c>
      <c r="AU315" s="244">
        <f t="shared" si="77"/>
        <v>192.13422031828759</v>
      </c>
      <c r="AV315" s="244">
        <f t="shared" si="78"/>
        <v>0</v>
      </c>
      <c r="AW315" s="244">
        <f t="shared" si="79"/>
        <v>0.99028857640995316</v>
      </c>
      <c r="AX315" s="244">
        <f t="shared" si="80"/>
        <v>139.39545943600515</v>
      </c>
      <c r="AY315" s="244">
        <f t="shared" si="81"/>
        <v>51.748472305872475</v>
      </c>
      <c r="AZ315">
        <v>5.1646901420181329E-2</v>
      </c>
    </row>
    <row r="316" spans="1:52" ht="15" customHeight="1" x14ac:dyDescent="0.35">
      <c r="A316" s="67" t="s">
        <v>778</v>
      </c>
      <c r="B316" s="67" t="s">
        <v>779</v>
      </c>
      <c r="C316" s="67" t="s">
        <v>48</v>
      </c>
      <c r="D316" s="67" t="s">
        <v>49</v>
      </c>
      <c r="E316" s="67" t="s">
        <v>794</v>
      </c>
      <c r="F316" s="67" t="s">
        <v>795</v>
      </c>
      <c r="G316" s="67" t="s">
        <v>52</v>
      </c>
      <c r="H316" s="67" t="s">
        <v>796</v>
      </c>
      <c r="I316" s="139" t="s">
        <v>797</v>
      </c>
      <c r="J316" s="95" t="s">
        <v>798</v>
      </c>
      <c r="K316" s="228">
        <f>AVERAGE(470,525,590,675)</f>
        <v>565</v>
      </c>
      <c r="L316" s="269" t="s">
        <v>799</v>
      </c>
      <c r="M316" s="269">
        <v>398</v>
      </c>
      <c r="N316" s="269" t="s">
        <v>800</v>
      </c>
      <c r="O316" s="269" t="s">
        <v>801</v>
      </c>
      <c r="P316" s="269">
        <v>1</v>
      </c>
      <c r="Q316" s="269" t="s">
        <v>801</v>
      </c>
      <c r="R316" s="269"/>
      <c r="S316" s="66" t="s">
        <v>785</v>
      </c>
      <c r="T316" s="70"/>
      <c r="U316" s="238">
        <f t="shared" si="67"/>
        <v>0.12352783035740122</v>
      </c>
      <c r="V316" s="238">
        <f t="shared" si="68"/>
        <v>0</v>
      </c>
      <c r="W316" s="238">
        <f t="shared" si="69"/>
        <v>1.050270144547357E-3</v>
      </c>
      <c r="X316" s="238">
        <f t="shared" si="70"/>
        <v>8.9319161853001025E-2</v>
      </c>
      <c r="Y316" s="238">
        <f t="shared" si="71"/>
        <v>3.3158398359852834E-2</v>
      </c>
      <c r="Z316" s="70">
        <v>0.12352783035740122</v>
      </c>
      <c r="AA316" s="70"/>
      <c r="AB316" s="70">
        <v>1.050270144547357E-3</v>
      </c>
      <c r="AC316" s="70">
        <v>8.9319161853001025E-2</v>
      </c>
      <c r="AD316" s="71">
        <v>3.3158398359852834E-2</v>
      </c>
      <c r="AE316" s="120" t="s">
        <v>802</v>
      </c>
      <c r="AF316" s="154" t="s">
        <v>803</v>
      </c>
      <c r="AG316" s="74">
        <v>6017025000</v>
      </c>
      <c r="AH316" s="74">
        <v>743.27004345624209</v>
      </c>
      <c r="AI316" s="74">
        <v>0</v>
      </c>
      <c r="AJ316" s="74">
        <v>6.3195017164950604</v>
      </c>
      <c r="AK316" s="74">
        <v>537.4356298485535</v>
      </c>
      <c r="AL316" s="75">
        <v>199.51491189119352</v>
      </c>
      <c r="AM316" s="202">
        <f t="shared" si="72"/>
        <v>4.4967363223420646E-2</v>
      </c>
      <c r="AN316" s="202">
        <f t="shared" si="73"/>
        <v>0</v>
      </c>
      <c r="AO316" s="202">
        <f t="shared" si="74"/>
        <v>3.823258203105469E-4</v>
      </c>
      <c r="AP316" s="202">
        <f t="shared" si="75"/>
        <v>3.2514512577729797E-2</v>
      </c>
      <c r="AQ316" s="202">
        <f t="shared" si="76"/>
        <v>1.2070524825380301E-2</v>
      </c>
      <c r="AR316" s="209" t="s">
        <v>778</v>
      </c>
      <c r="AS316" s="224" t="s">
        <v>1664</v>
      </c>
      <c r="AT316" s="234">
        <v>324110</v>
      </c>
      <c r="AU316" s="244">
        <f t="shared" si="77"/>
        <v>743.27004345624209</v>
      </c>
      <c r="AV316" s="244">
        <f t="shared" si="78"/>
        <v>0</v>
      </c>
      <c r="AW316" s="244">
        <f t="shared" si="79"/>
        <v>6.3195017164950604</v>
      </c>
      <c r="AX316" s="244">
        <f t="shared" si="80"/>
        <v>537.4356298485535</v>
      </c>
      <c r="AY316" s="244">
        <f t="shared" si="81"/>
        <v>199.51491189119352</v>
      </c>
      <c r="AZ316">
        <v>0.1997957188436601</v>
      </c>
    </row>
    <row r="317" spans="1:52" s="249" customFormat="1" ht="15.5" customHeight="1" x14ac:dyDescent="0.35">
      <c r="A317" s="67" t="s">
        <v>778</v>
      </c>
      <c r="B317" s="67" t="s">
        <v>779</v>
      </c>
      <c r="C317" s="67" t="s">
        <v>48</v>
      </c>
      <c r="D317" s="67" t="s">
        <v>552</v>
      </c>
      <c r="E317" s="67" t="s">
        <v>804</v>
      </c>
      <c r="F317" s="67" t="s">
        <v>805</v>
      </c>
      <c r="G317" s="67" t="s">
        <v>52</v>
      </c>
      <c r="H317" s="67" t="s">
        <v>578</v>
      </c>
      <c r="I317" s="139" t="s">
        <v>806</v>
      </c>
      <c r="J317" s="95" t="s">
        <v>676</v>
      </c>
      <c r="K317" s="228">
        <f>AVERAGE(445,520)</f>
        <v>482.5</v>
      </c>
      <c r="L317" s="311" t="s">
        <v>807</v>
      </c>
      <c r="M317" s="311" t="s">
        <v>807</v>
      </c>
      <c r="N317" s="311" t="s">
        <v>807</v>
      </c>
      <c r="O317" s="312" t="s">
        <v>1684</v>
      </c>
      <c r="P317" s="311" t="s">
        <v>801</v>
      </c>
      <c r="Q317" s="311" t="str">
        <f>O317</f>
        <v>4-30</v>
      </c>
      <c r="R317" s="311"/>
      <c r="S317" s="66" t="s">
        <v>785</v>
      </c>
      <c r="T317" s="70"/>
      <c r="U317" s="238">
        <f t="shared" si="67"/>
        <v>3.6296180071078619E-2</v>
      </c>
      <c r="V317" s="238">
        <f t="shared" si="68"/>
        <v>0</v>
      </c>
      <c r="W317" s="238">
        <f t="shared" si="69"/>
        <v>1.7313652443705849E-3</v>
      </c>
      <c r="X317" s="238">
        <f t="shared" si="70"/>
        <v>3.4564814826708035E-2</v>
      </c>
      <c r="Y317" s="238">
        <f t="shared" si="71"/>
        <v>0</v>
      </c>
      <c r="Z317" s="70">
        <v>3.6296180071078619E-2</v>
      </c>
      <c r="AA317" s="70"/>
      <c r="AB317" s="70">
        <v>1.7313652443705849E-3</v>
      </c>
      <c r="AC317" s="70">
        <v>3.4564814826708035E-2</v>
      </c>
      <c r="AD317" s="71">
        <v>0</v>
      </c>
      <c r="AE317" s="120" t="s">
        <v>808</v>
      </c>
      <c r="AF317" s="121">
        <v>7</v>
      </c>
      <c r="AG317" s="74">
        <v>6017025000</v>
      </c>
      <c r="AH317" s="74">
        <v>218.39502289218183</v>
      </c>
      <c r="AI317" s="74">
        <v>0</v>
      </c>
      <c r="AJ317" s="74">
        <v>10.417667959508918</v>
      </c>
      <c r="AK317" s="74">
        <v>207.97735493267291</v>
      </c>
      <c r="AL317" s="75">
        <v>0</v>
      </c>
      <c r="AM317" s="202">
        <f t="shared" si="72"/>
        <v>1.3212759490364379E-2</v>
      </c>
      <c r="AN317" s="202">
        <f t="shared" si="73"/>
        <v>0</v>
      </c>
      <c r="AO317" s="202">
        <f t="shared" si="74"/>
        <v>6.3026226228342255E-4</v>
      </c>
      <c r="AP317" s="202">
        <f t="shared" si="75"/>
        <v>1.2582497228080957E-2</v>
      </c>
      <c r="AQ317" s="202">
        <f t="shared" si="76"/>
        <v>0</v>
      </c>
      <c r="AR317" s="209" t="s">
        <v>778</v>
      </c>
      <c r="AS317" s="224" t="s">
        <v>1664</v>
      </c>
      <c r="AT317" s="249">
        <v>324110</v>
      </c>
      <c r="AU317" s="249">
        <f t="shared" si="77"/>
        <v>218.39502289218183</v>
      </c>
      <c r="AV317" s="249">
        <f t="shared" si="78"/>
        <v>0</v>
      </c>
      <c r="AW317" s="249">
        <f t="shared" si="79"/>
        <v>10.417667959508918</v>
      </c>
      <c r="AX317" s="249">
        <f t="shared" si="80"/>
        <v>207.97735493267291</v>
      </c>
      <c r="AY317" s="249">
        <f t="shared" si="81"/>
        <v>0</v>
      </c>
      <c r="AZ317" s="249">
        <v>5.8705972310842798E-2</v>
      </c>
    </row>
    <row r="318" spans="1:52" ht="15.75" customHeight="1" x14ac:dyDescent="0.35">
      <c r="A318" s="67" t="s">
        <v>778</v>
      </c>
      <c r="B318" s="67" t="s">
        <v>779</v>
      </c>
      <c r="C318" s="67" t="s">
        <v>48</v>
      </c>
      <c r="D318" s="67" t="s">
        <v>809</v>
      </c>
      <c r="E318" s="67" t="s">
        <v>810</v>
      </c>
      <c r="F318" s="67" t="s">
        <v>811</v>
      </c>
      <c r="G318" s="67" t="s">
        <v>52</v>
      </c>
      <c r="H318" s="67" t="s">
        <v>578</v>
      </c>
      <c r="I318" s="139" t="s">
        <v>812</v>
      </c>
      <c r="J318" s="95" t="s">
        <v>676</v>
      </c>
      <c r="K318" s="228">
        <f>N318</f>
        <v>371</v>
      </c>
      <c r="L318" s="269" t="s">
        <v>813</v>
      </c>
      <c r="M318" s="269">
        <v>333</v>
      </c>
      <c r="N318" s="269">
        <v>371</v>
      </c>
      <c r="O318" s="269" t="s">
        <v>814</v>
      </c>
      <c r="P318" s="269"/>
      <c r="Q318" s="269"/>
      <c r="R318" s="269"/>
      <c r="S318" s="66" t="s">
        <v>785</v>
      </c>
      <c r="T318" s="70"/>
      <c r="U318" s="238">
        <f t="shared" si="67"/>
        <v>1.6195828449818088E-2</v>
      </c>
      <c r="V318" s="238">
        <f t="shared" si="68"/>
        <v>0</v>
      </c>
      <c r="W318" s="238">
        <f t="shared" si="69"/>
        <v>8.3065761929823764E-4</v>
      </c>
      <c r="X318" s="238">
        <f t="shared" si="70"/>
        <v>1.120535204918444E-2</v>
      </c>
      <c r="Y318" s="238">
        <f t="shared" si="71"/>
        <v>4.1598187813354087E-3</v>
      </c>
      <c r="Z318" s="70">
        <v>1.6195828449818088E-2</v>
      </c>
      <c r="AA318" s="70"/>
      <c r="AB318" s="70">
        <v>8.3065761929823764E-4</v>
      </c>
      <c r="AC318" s="70">
        <v>1.120535204918444E-2</v>
      </c>
      <c r="AD318" s="71">
        <v>4.1598187813354087E-3</v>
      </c>
      <c r="AE318" s="120" t="s">
        <v>815</v>
      </c>
      <c r="AF318" s="121">
        <v>26</v>
      </c>
      <c r="AG318" s="74">
        <v>6017025000</v>
      </c>
      <c r="AH318" s="74">
        <v>97.450704678266675</v>
      </c>
      <c r="AI318" s="74">
        <v>0</v>
      </c>
      <c r="AJ318" s="74">
        <v>4.998087661757979</v>
      </c>
      <c r="AK318" s="74">
        <v>67.422883413744003</v>
      </c>
      <c r="AL318" s="75">
        <v>25.02973360276469</v>
      </c>
      <c r="AM318" s="202">
        <f t="shared" si="72"/>
        <v>5.8957054333428124E-3</v>
      </c>
      <c r="AN318" s="202">
        <f t="shared" si="73"/>
        <v>0</v>
      </c>
      <c r="AO318" s="202">
        <f t="shared" si="74"/>
        <v>3.0238111341561122E-4</v>
      </c>
      <c r="AP318" s="202">
        <f t="shared" si="75"/>
        <v>4.0790414126446089E-3</v>
      </c>
      <c r="AQ318" s="202">
        <f t="shared" si="76"/>
        <v>1.514282907282592E-3</v>
      </c>
      <c r="AR318" s="209" t="s">
        <v>778</v>
      </c>
      <c r="AS318" s="224" t="s">
        <v>1664</v>
      </c>
      <c r="AT318" s="234">
        <v>324110</v>
      </c>
      <c r="AU318" s="244">
        <f t="shared" si="77"/>
        <v>97.450704678266675</v>
      </c>
      <c r="AV318" s="244">
        <f t="shared" si="78"/>
        <v>0</v>
      </c>
      <c r="AW318" s="244">
        <f t="shared" si="79"/>
        <v>4.998087661757979</v>
      </c>
      <c r="AX318" s="244">
        <f t="shared" si="80"/>
        <v>67.422883413744003</v>
      </c>
      <c r="AY318" s="244">
        <f t="shared" si="81"/>
        <v>25.02973360276469</v>
      </c>
      <c r="AZ318">
        <v>2.6195369723873142E-2</v>
      </c>
    </row>
    <row r="319" spans="1:52" ht="15.75" customHeight="1" x14ac:dyDescent="0.35">
      <c r="A319" s="67" t="s">
        <v>778</v>
      </c>
      <c r="B319" s="67" t="s">
        <v>779</v>
      </c>
      <c r="C319" s="67" t="s">
        <v>48</v>
      </c>
      <c r="D319" s="67" t="s">
        <v>809</v>
      </c>
      <c r="E319" s="67" t="s">
        <v>816</v>
      </c>
      <c r="F319" s="67" t="s">
        <v>817</v>
      </c>
      <c r="G319" s="67" t="s">
        <v>52</v>
      </c>
      <c r="H319" s="67" t="s">
        <v>578</v>
      </c>
      <c r="I319" s="139" t="s">
        <v>818</v>
      </c>
      <c r="J319" s="95" t="s">
        <v>676</v>
      </c>
      <c r="K319" s="228">
        <v>350</v>
      </c>
      <c r="L319" s="269" t="s">
        <v>819</v>
      </c>
      <c r="M319" s="269"/>
      <c r="N319" s="269"/>
      <c r="O319" s="269" t="s">
        <v>820</v>
      </c>
      <c r="P319" s="269"/>
      <c r="Q319" s="269"/>
      <c r="R319" s="269"/>
      <c r="S319" s="66" t="s">
        <v>785</v>
      </c>
      <c r="T319" s="70"/>
      <c r="U319" s="238">
        <f t="shared" si="67"/>
        <v>3.3801980033764202E-2</v>
      </c>
      <c r="V319" s="238">
        <f t="shared" si="68"/>
        <v>0</v>
      </c>
      <c r="W319" s="238">
        <f t="shared" si="69"/>
        <v>1.733648411343139E-3</v>
      </c>
      <c r="X319" s="238">
        <f t="shared" si="70"/>
        <v>2.3386459507854663E-2</v>
      </c>
      <c r="Y319" s="238">
        <f t="shared" si="71"/>
        <v>8.6818721145664017E-3</v>
      </c>
      <c r="Z319" s="70">
        <v>3.3801980033764202E-2</v>
      </c>
      <c r="AA319" s="70"/>
      <c r="AB319" s="70">
        <v>1.733648411343139E-3</v>
      </c>
      <c r="AC319" s="70">
        <v>2.3386459507854663E-2</v>
      </c>
      <c r="AD319" s="71">
        <v>8.6818721145664017E-3</v>
      </c>
      <c r="AE319" s="120" t="s">
        <v>815</v>
      </c>
      <c r="AF319" s="121">
        <v>26</v>
      </c>
      <c r="AG319" s="74">
        <v>6017025000</v>
      </c>
      <c r="AH319" s="74">
        <v>203.38735891266009</v>
      </c>
      <c r="AI319" s="74">
        <v>0</v>
      </c>
      <c r="AJ319" s="74">
        <v>10.431405832261952</v>
      </c>
      <c r="AK319" s="74">
        <v>140.71691152024923</v>
      </c>
      <c r="AL319" s="75">
        <v>52.239041560148905</v>
      </c>
      <c r="AM319" s="202">
        <f t="shared" si="72"/>
        <v>1.2304805398518982E-2</v>
      </c>
      <c r="AN319" s="202">
        <f t="shared" si="73"/>
        <v>0</v>
      </c>
      <c r="AO319" s="202">
        <f t="shared" si="74"/>
        <v>6.3109339481653276E-4</v>
      </c>
      <c r="AP319" s="202">
        <f t="shared" si="75"/>
        <v>8.5132833318359285E-3</v>
      </c>
      <c r="AQ319" s="202">
        <f t="shared" si="76"/>
        <v>3.160428671866521E-3</v>
      </c>
      <c r="AR319" s="209" t="s">
        <v>778</v>
      </c>
      <c r="AS319" s="224" t="s">
        <v>1664</v>
      </c>
      <c r="AT319" s="234">
        <v>324110</v>
      </c>
      <c r="AU319" s="244">
        <f t="shared" si="77"/>
        <v>203.38735891266009</v>
      </c>
      <c r="AV319" s="244">
        <f t="shared" si="78"/>
        <v>0</v>
      </c>
      <c r="AW319" s="244">
        <f t="shared" si="79"/>
        <v>10.431405832261952</v>
      </c>
      <c r="AX319" s="244">
        <f t="shared" si="80"/>
        <v>140.71691152024923</v>
      </c>
      <c r="AY319" s="244">
        <f t="shared" si="81"/>
        <v>52.239041560148905</v>
      </c>
      <c r="AZ319">
        <v>5.4671816704342589E-2</v>
      </c>
    </row>
    <row r="320" spans="1:52" ht="15.75" customHeight="1" x14ac:dyDescent="0.35">
      <c r="A320" s="67" t="s">
        <v>778</v>
      </c>
      <c r="B320" s="67" t="s">
        <v>779</v>
      </c>
      <c r="C320" s="67" t="s">
        <v>48</v>
      </c>
      <c r="D320" s="67" t="s">
        <v>809</v>
      </c>
      <c r="E320" s="67" t="s">
        <v>821</v>
      </c>
      <c r="F320" s="67" t="s">
        <v>822</v>
      </c>
      <c r="G320" s="67" t="s">
        <v>52</v>
      </c>
      <c r="H320" s="67" t="s">
        <v>578</v>
      </c>
      <c r="I320" s="139" t="s">
        <v>823</v>
      </c>
      <c r="J320" s="95" t="s">
        <v>676</v>
      </c>
      <c r="K320" s="228">
        <f>AVERAGE(205,260)</f>
        <v>232.5</v>
      </c>
      <c r="L320" s="269" t="s">
        <v>824</v>
      </c>
      <c r="M320" s="269"/>
      <c r="N320" s="269"/>
      <c r="O320" s="269" t="s">
        <v>825</v>
      </c>
      <c r="P320" s="269"/>
      <c r="Q320" s="269"/>
      <c r="R320" s="269"/>
      <c r="S320" s="66" t="s">
        <v>785</v>
      </c>
      <c r="T320" s="70"/>
      <c r="U320" s="238">
        <f t="shared" si="67"/>
        <v>1.7890996234444585E-2</v>
      </c>
      <c r="V320" s="238">
        <f t="shared" si="68"/>
        <v>0</v>
      </c>
      <c r="W320" s="238">
        <f t="shared" si="69"/>
        <v>1.9785597870397285E-3</v>
      </c>
      <c r="X320" s="238">
        <f t="shared" si="70"/>
        <v>1.1604456228972014E-2</v>
      </c>
      <c r="Y320" s="238">
        <f t="shared" si="71"/>
        <v>4.3079802184328416E-3</v>
      </c>
      <c r="Z320" s="70">
        <v>1.7890996234444585E-2</v>
      </c>
      <c r="AA320" s="70"/>
      <c r="AB320" s="70">
        <v>1.9785597870397285E-3</v>
      </c>
      <c r="AC320" s="70">
        <v>1.1604456228972014E-2</v>
      </c>
      <c r="AD320" s="71">
        <v>4.3079802184328416E-3</v>
      </c>
      <c r="AE320" s="120" t="s">
        <v>815</v>
      </c>
      <c r="AF320" s="121">
        <v>26</v>
      </c>
      <c r="AG320" s="74">
        <v>6017025000</v>
      </c>
      <c r="AH320" s="74">
        <v>107.65057161755892</v>
      </c>
      <c r="AI320" s="74">
        <v>0</v>
      </c>
      <c r="AJ320" s="74">
        <v>11.905043702612723</v>
      </c>
      <c r="AK320" s="74">
        <v>69.824303241130337</v>
      </c>
      <c r="AL320" s="75">
        <v>25.921224673815868</v>
      </c>
      <c r="AM320" s="202">
        <f t="shared" si="72"/>
        <v>6.5127908729186064E-3</v>
      </c>
      <c r="AN320" s="202">
        <f t="shared" si="73"/>
        <v>0</v>
      </c>
      <c r="AO320" s="202">
        <f t="shared" si="74"/>
        <v>7.2024754539646587E-4</v>
      </c>
      <c r="AP320" s="202">
        <f t="shared" si="75"/>
        <v>4.2243257794514124E-3</v>
      </c>
      <c r="AQ320" s="202">
        <f t="shared" si="76"/>
        <v>1.5682175480707279E-3</v>
      </c>
      <c r="AR320" s="209" t="s">
        <v>778</v>
      </c>
      <c r="AS320" s="224" t="s">
        <v>1664</v>
      </c>
      <c r="AT320" s="234">
        <v>324110</v>
      </c>
      <c r="AU320" s="244">
        <f t="shared" si="77"/>
        <v>107.65057161755892</v>
      </c>
      <c r="AV320" s="244">
        <f t="shared" si="78"/>
        <v>0</v>
      </c>
      <c r="AW320" s="244">
        <f t="shared" si="79"/>
        <v>11.905043702612723</v>
      </c>
      <c r="AX320" s="244">
        <f t="shared" si="80"/>
        <v>69.824303241130337</v>
      </c>
      <c r="AY320" s="244">
        <f t="shared" si="81"/>
        <v>25.921224673815868</v>
      </c>
      <c r="AZ320">
        <v>2.8937158882722181E-2</v>
      </c>
    </row>
    <row r="321" spans="1:52" ht="15.75" customHeight="1" x14ac:dyDescent="0.35">
      <c r="A321" s="67" t="s">
        <v>778</v>
      </c>
      <c r="B321" s="67" t="s">
        <v>779</v>
      </c>
      <c r="C321" s="67" t="s">
        <v>48</v>
      </c>
      <c r="D321" s="67" t="s">
        <v>826</v>
      </c>
      <c r="E321" s="67" t="s">
        <v>826</v>
      </c>
      <c r="F321" s="67" t="s">
        <v>827</v>
      </c>
      <c r="G321" s="67" t="s">
        <v>52</v>
      </c>
      <c r="H321" s="67" t="s">
        <v>578</v>
      </c>
      <c r="I321" s="139" t="s">
        <v>828</v>
      </c>
      <c r="J321" s="95" t="s">
        <v>676</v>
      </c>
      <c r="K321" s="228">
        <f>AVERAGE(250,420)</f>
        <v>335</v>
      </c>
      <c r="L321" s="269" t="s">
        <v>829</v>
      </c>
      <c r="M321" s="269"/>
      <c r="N321" s="269"/>
      <c r="O321" s="269" t="s">
        <v>830</v>
      </c>
      <c r="P321" s="269"/>
      <c r="Q321" s="269"/>
      <c r="R321" s="269"/>
      <c r="S321" s="66" t="s">
        <v>785</v>
      </c>
      <c r="T321" s="70"/>
      <c r="U321" s="238">
        <f t="shared" si="67"/>
        <v>2.583266656533054E-2</v>
      </c>
      <c r="V321" s="238">
        <f t="shared" si="68"/>
        <v>0</v>
      </c>
      <c r="W321" s="238">
        <f t="shared" si="69"/>
        <v>1.772808310268155E-3</v>
      </c>
      <c r="X321" s="238">
        <f t="shared" si="70"/>
        <v>1.7546123305439951E-2</v>
      </c>
      <c r="Y321" s="238">
        <f t="shared" si="71"/>
        <v>6.513734949622433E-3</v>
      </c>
      <c r="Z321" s="70">
        <v>2.583266656533054E-2</v>
      </c>
      <c r="AA321" s="70"/>
      <c r="AB321" s="70">
        <v>1.772808310268155E-3</v>
      </c>
      <c r="AC321" s="70">
        <v>1.7546123305439951E-2</v>
      </c>
      <c r="AD321" s="71">
        <v>6.513734949622433E-3</v>
      </c>
      <c r="AE321" s="120" t="s">
        <v>831</v>
      </c>
      <c r="AF321" s="121">
        <v>35</v>
      </c>
      <c r="AG321" s="74">
        <v>6017025000</v>
      </c>
      <c r="AH321" s="74">
        <v>155.43580054025799</v>
      </c>
      <c r="AI321" s="74">
        <v>0</v>
      </c>
      <c r="AJ321" s="74">
        <v>10.667031923091246</v>
      </c>
      <c r="AK321" s="74">
        <v>105.57546258191482</v>
      </c>
      <c r="AL321" s="75">
        <v>39.193306035251922</v>
      </c>
      <c r="AM321" s="202">
        <f t="shared" si="72"/>
        <v>9.4037667229466826E-3</v>
      </c>
      <c r="AN321" s="202">
        <f t="shared" si="73"/>
        <v>0</v>
      </c>
      <c r="AO321" s="202">
        <f t="shared" si="74"/>
        <v>6.4534862291904861E-4</v>
      </c>
      <c r="AP321" s="202">
        <f t="shared" si="75"/>
        <v>6.3872481007383845E-3</v>
      </c>
      <c r="AQ321" s="202">
        <f t="shared" si="76"/>
        <v>2.3711699992892488E-3</v>
      </c>
      <c r="AR321" s="209" t="s">
        <v>778</v>
      </c>
      <c r="AS321" s="224" t="s">
        <v>1664</v>
      </c>
      <c r="AT321" s="234">
        <v>324110</v>
      </c>
      <c r="AU321" s="244">
        <f t="shared" si="77"/>
        <v>155.43580054025799</v>
      </c>
      <c r="AV321" s="244">
        <f t="shared" si="78"/>
        <v>0</v>
      </c>
      <c r="AW321" s="244">
        <f t="shared" si="79"/>
        <v>10.667031923091246</v>
      </c>
      <c r="AX321" s="244">
        <f t="shared" si="80"/>
        <v>105.57546258191482</v>
      </c>
      <c r="AY321" s="244">
        <f t="shared" si="81"/>
        <v>39.193306035251922</v>
      </c>
      <c r="AZ321">
        <v>4.1782132586120985E-2</v>
      </c>
    </row>
    <row r="322" spans="1:52" ht="15.75" customHeight="1" x14ac:dyDescent="0.35">
      <c r="A322" s="67" t="s">
        <v>778</v>
      </c>
      <c r="B322" s="67" t="s">
        <v>779</v>
      </c>
      <c r="C322" s="67" t="s">
        <v>48</v>
      </c>
      <c r="D322" s="67" t="s">
        <v>832</v>
      </c>
      <c r="E322" s="67" t="s">
        <v>832</v>
      </c>
      <c r="F322" s="67" t="s">
        <v>833</v>
      </c>
      <c r="G322" s="67" t="s">
        <v>52</v>
      </c>
      <c r="H322" s="67" t="s">
        <v>578</v>
      </c>
      <c r="I322" s="139" t="s">
        <v>834</v>
      </c>
      <c r="J322" s="95" t="s">
        <v>835</v>
      </c>
      <c r="K322" s="228">
        <f>AVERAGE(120,180)</f>
        <v>150</v>
      </c>
      <c r="L322" s="269" t="s">
        <v>836</v>
      </c>
      <c r="M322" s="269"/>
      <c r="N322" s="269"/>
      <c r="O322" s="269" t="s">
        <v>837</v>
      </c>
      <c r="P322" s="269"/>
      <c r="Q322" s="269"/>
      <c r="R322" s="269"/>
      <c r="S322" s="66" t="s">
        <v>785</v>
      </c>
      <c r="T322" s="70"/>
      <c r="U322" s="238">
        <f t="shared" si="67"/>
        <v>7.2455946833252635E-4</v>
      </c>
      <c r="V322" s="238">
        <f t="shared" si="68"/>
        <v>0</v>
      </c>
      <c r="W322" s="238">
        <f t="shared" si="69"/>
        <v>1.4429957325785576E-4</v>
      </c>
      <c r="X322" s="238">
        <f t="shared" si="70"/>
        <v>4.231659039819817E-4</v>
      </c>
      <c r="Y322" s="238">
        <f t="shared" si="71"/>
        <v>1.570939910926889E-4</v>
      </c>
      <c r="Z322" s="70">
        <v>7.2455946833252635E-4</v>
      </c>
      <c r="AA322" s="70"/>
      <c r="AB322" s="70">
        <v>1.4429957325785576E-4</v>
      </c>
      <c r="AC322" s="70">
        <v>4.231659039819817E-4</v>
      </c>
      <c r="AD322" s="71">
        <v>1.570939910926889E-4</v>
      </c>
      <c r="AE322" s="120" t="s">
        <v>838</v>
      </c>
      <c r="AF322" s="121" t="s">
        <v>839</v>
      </c>
      <c r="AG322" s="74">
        <v>6017025000</v>
      </c>
      <c r="AH322" s="74">
        <v>4.3596924349435193</v>
      </c>
      <c r="AI322" s="74">
        <v>0</v>
      </c>
      <c r="AJ322" s="74">
        <v>0.86825413978184962</v>
      </c>
      <c r="AK322" s="74">
        <v>2.5461998234071834</v>
      </c>
      <c r="AL322" s="75">
        <v>0.94523847175448639</v>
      </c>
      <c r="AM322" s="202">
        <f t="shared" si="72"/>
        <v>2.6375860966075103E-4</v>
      </c>
      <c r="AN322" s="202">
        <f t="shared" si="73"/>
        <v>0</v>
      </c>
      <c r="AO322" s="202">
        <f t="shared" si="74"/>
        <v>5.252882127773743E-5</v>
      </c>
      <c r="AP322" s="202">
        <f t="shared" si="75"/>
        <v>1.5404346415758775E-4</v>
      </c>
      <c r="AQ322" s="202">
        <f t="shared" si="76"/>
        <v>5.7186324225425856E-5</v>
      </c>
      <c r="AR322" s="209" t="s">
        <v>778</v>
      </c>
      <c r="AS322" s="224" t="s">
        <v>1664</v>
      </c>
      <c r="AT322" s="234">
        <v>324110</v>
      </c>
      <c r="AU322" s="244">
        <f t="shared" si="77"/>
        <v>4.3596924349435193</v>
      </c>
      <c r="AV322" s="244">
        <f t="shared" si="78"/>
        <v>0</v>
      </c>
      <c r="AW322" s="244">
        <f t="shared" si="79"/>
        <v>0.86825413978184962</v>
      </c>
      <c r="AX322" s="244">
        <f t="shared" si="80"/>
        <v>2.5461998234071834</v>
      </c>
      <c r="AY322" s="244">
        <f t="shared" si="81"/>
        <v>0.94523847175448639</v>
      </c>
      <c r="AZ322">
        <v>1.1719130774144912E-3</v>
      </c>
    </row>
    <row r="323" spans="1:52" ht="15.75" customHeight="1" x14ac:dyDescent="0.35">
      <c r="A323" s="67" t="s">
        <v>778</v>
      </c>
      <c r="B323" s="67" t="s">
        <v>779</v>
      </c>
      <c r="C323" s="67" t="s">
        <v>48</v>
      </c>
      <c r="D323" s="67" t="s">
        <v>651</v>
      </c>
      <c r="E323" s="67" t="s">
        <v>840</v>
      </c>
      <c r="F323" s="67" t="s">
        <v>841</v>
      </c>
      <c r="G323" s="67" t="s">
        <v>52</v>
      </c>
      <c r="H323" s="67" t="s">
        <v>842</v>
      </c>
      <c r="I323" s="139" t="s">
        <v>843</v>
      </c>
      <c r="J323" s="95" t="s">
        <v>676</v>
      </c>
      <c r="K323" s="228">
        <f>N323</f>
        <v>37.700000000000003</v>
      </c>
      <c r="L323" s="269" t="s">
        <v>844</v>
      </c>
      <c r="M323" s="269"/>
      <c r="N323" s="269">
        <v>37.700000000000003</v>
      </c>
      <c r="O323" s="269" t="s">
        <v>845</v>
      </c>
      <c r="P323" s="269"/>
      <c r="Q323" s="269" t="s">
        <v>846</v>
      </c>
      <c r="R323" s="269"/>
      <c r="S323" s="66" t="s">
        <v>785</v>
      </c>
      <c r="T323" s="70"/>
      <c r="U323" s="238">
        <f t="shared" si="67"/>
        <v>2.7927085727917161E-2</v>
      </c>
      <c r="V323" s="238">
        <f t="shared" si="68"/>
        <v>0</v>
      </c>
      <c r="W323" s="238">
        <f t="shared" si="69"/>
        <v>1.9388347646697589E-3</v>
      </c>
      <c r="X323" s="238">
        <f t="shared" si="70"/>
        <v>1.8952441492373004E-2</v>
      </c>
      <c r="Y323" s="238">
        <f t="shared" si="71"/>
        <v>7.035809470874399E-3</v>
      </c>
      <c r="Z323" s="70">
        <v>2.7927085727917161E-2</v>
      </c>
      <c r="AA323" s="70"/>
      <c r="AB323" s="70">
        <v>1.9388347646697589E-3</v>
      </c>
      <c r="AC323" s="70">
        <v>1.8952441492373004E-2</v>
      </c>
      <c r="AD323" s="71">
        <v>7.035809470874399E-3</v>
      </c>
      <c r="AE323" s="120" t="s">
        <v>847</v>
      </c>
      <c r="AF323" s="154" t="s">
        <v>803</v>
      </c>
      <c r="AG323" s="74">
        <v>6017025000</v>
      </c>
      <c r="AH323" s="74">
        <v>168.03797300202078</v>
      </c>
      <c r="AI323" s="74">
        <v>0</v>
      </c>
      <c r="AJ323" s="74">
        <v>11.666017249887057</v>
      </c>
      <c r="AK323" s="74">
        <v>114.03731427064568</v>
      </c>
      <c r="AL323" s="75">
        <v>42.334641481488035</v>
      </c>
      <c r="AM323" s="202">
        <f t="shared" si="72"/>
        <v>1.0166190113316563E-2</v>
      </c>
      <c r="AN323" s="202">
        <f t="shared" si="73"/>
        <v>0</v>
      </c>
      <c r="AO323" s="202">
        <f t="shared" si="74"/>
        <v>7.0578659756956265E-4</v>
      </c>
      <c r="AP323" s="202">
        <f t="shared" si="75"/>
        <v>6.8991847269751945E-3</v>
      </c>
      <c r="AQ323" s="202">
        <f t="shared" si="76"/>
        <v>2.5612187887718049E-3</v>
      </c>
      <c r="AR323" s="209" t="s">
        <v>778</v>
      </c>
      <c r="AS323" s="224" t="s">
        <v>1664</v>
      </c>
      <c r="AT323" s="234">
        <v>324110</v>
      </c>
      <c r="AU323" s="244">
        <f t="shared" si="77"/>
        <v>168.03797300202078</v>
      </c>
      <c r="AV323" s="244">
        <f t="shared" si="78"/>
        <v>0</v>
      </c>
      <c r="AW323" s="244">
        <f t="shared" si="79"/>
        <v>11.666017249887057</v>
      </c>
      <c r="AX323" s="244">
        <f t="shared" si="80"/>
        <v>114.03731427064568</v>
      </c>
      <c r="AY323" s="244">
        <f t="shared" si="81"/>
        <v>42.334641481488035</v>
      </c>
      <c r="AZ323">
        <v>4.5169676760888879E-2</v>
      </c>
    </row>
    <row r="324" spans="1:52" ht="15.75" customHeight="1" x14ac:dyDescent="0.35">
      <c r="A324" s="67" t="s">
        <v>778</v>
      </c>
      <c r="B324" s="67" t="s">
        <v>779</v>
      </c>
      <c r="C324" s="67" t="s">
        <v>48</v>
      </c>
      <c r="D324" s="67" t="s">
        <v>848</v>
      </c>
      <c r="E324" s="67" t="s">
        <v>848</v>
      </c>
      <c r="F324" s="67" t="s">
        <v>849</v>
      </c>
      <c r="G324" s="67" t="s">
        <v>52</v>
      </c>
      <c r="H324" s="67" t="s">
        <v>578</v>
      </c>
      <c r="I324" s="139" t="s">
        <v>850</v>
      </c>
      <c r="J324" s="95" t="s">
        <v>851</v>
      </c>
      <c r="K324" s="228">
        <f>AVERAGE(21,37.8)</f>
        <v>29.4</v>
      </c>
      <c r="L324" s="269" t="s">
        <v>852</v>
      </c>
      <c r="M324" s="269"/>
      <c r="N324" s="269"/>
      <c r="O324" s="269"/>
      <c r="P324" s="269"/>
      <c r="Q324" s="269"/>
      <c r="R324" s="269"/>
      <c r="S324" s="66" t="s">
        <v>785</v>
      </c>
      <c r="T324" s="70"/>
      <c r="U324" s="238">
        <f t="shared" si="67"/>
        <v>3.9567498424063555E-3</v>
      </c>
      <c r="V324" s="238">
        <f t="shared" si="68"/>
        <v>0</v>
      </c>
      <c r="W324" s="238">
        <f t="shared" si="69"/>
        <v>6.792166767999343E-4</v>
      </c>
      <c r="X324" s="238">
        <f t="shared" si="70"/>
        <v>2.3902053142519685E-3</v>
      </c>
      <c r="Y324" s="238">
        <f t="shared" si="71"/>
        <v>8.8732785135445268E-4</v>
      </c>
      <c r="Z324" s="70">
        <v>3.9567498424063555E-3</v>
      </c>
      <c r="AA324" s="70"/>
      <c r="AB324" s="70">
        <v>6.792166767999343E-4</v>
      </c>
      <c r="AC324" s="70">
        <v>2.3902053142519685E-3</v>
      </c>
      <c r="AD324" s="71">
        <v>8.8732785135445268E-4</v>
      </c>
      <c r="AE324" s="120" t="s">
        <v>853</v>
      </c>
      <c r="AF324" s="121">
        <v>3</v>
      </c>
      <c r="AG324" s="74">
        <v>6017025000</v>
      </c>
      <c r="AH324" s="74">
        <v>23.807862720505099</v>
      </c>
      <c r="AI324" s="74">
        <v>0</v>
      </c>
      <c r="AJ324" s="74">
        <v>4.0868637247221242</v>
      </c>
      <c r="AK324" s="74">
        <v>14.381925130986952</v>
      </c>
      <c r="AL324" s="75">
        <v>5.3390738647960259</v>
      </c>
      <c r="AM324" s="202">
        <f t="shared" si="72"/>
        <v>1.4403604987872965E-3</v>
      </c>
      <c r="AN324" s="202">
        <f t="shared" si="73"/>
        <v>0</v>
      </c>
      <c r="AO324" s="202">
        <f t="shared" si="74"/>
        <v>2.4725264683026448E-4</v>
      </c>
      <c r="AP324" s="202">
        <f t="shared" si="75"/>
        <v>8.7009729089829169E-4</v>
      </c>
      <c r="AQ324" s="202">
        <f t="shared" si="76"/>
        <v>3.2301056105874041E-4</v>
      </c>
      <c r="AR324" s="209" t="s">
        <v>778</v>
      </c>
      <c r="AS324" s="224" t="s">
        <v>1664</v>
      </c>
      <c r="AT324" s="234">
        <v>324110</v>
      </c>
      <c r="AU324" s="244">
        <f t="shared" si="77"/>
        <v>23.807862720505099</v>
      </c>
      <c r="AV324" s="244">
        <f t="shared" si="78"/>
        <v>0</v>
      </c>
      <c r="AW324" s="244">
        <f t="shared" si="79"/>
        <v>4.0868637247221242</v>
      </c>
      <c r="AX324" s="244">
        <f t="shared" si="80"/>
        <v>14.381925130986952</v>
      </c>
      <c r="AY324" s="244">
        <f t="shared" si="81"/>
        <v>5.3390738647960259</v>
      </c>
      <c r="AZ324">
        <v>6.3997050442872192E-3</v>
      </c>
    </row>
    <row r="325" spans="1:52" ht="15.75" customHeight="1" x14ac:dyDescent="0.35">
      <c r="A325" s="67" t="s">
        <v>778</v>
      </c>
      <c r="B325" s="67" t="s">
        <v>779</v>
      </c>
      <c r="C325" s="67" t="s">
        <v>48</v>
      </c>
      <c r="D325" s="67" t="s">
        <v>552</v>
      </c>
      <c r="E325" s="67" t="s">
        <v>854</v>
      </c>
      <c r="F325" s="67" t="s">
        <v>855</v>
      </c>
      <c r="G325" s="67" t="s">
        <v>52</v>
      </c>
      <c r="H325" s="67" t="s">
        <v>856</v>
      </c>
      <c r="I325" s="139" t="s">
        <v>857</v>
      </c>
      <c r="J325" s="95" t="str">
        <f>J317</f>
        <v>70-85%</v>
      </c>
      <c r="K325" s="228">
        <v>1000</v>
      </c>
      <c r="L325" s="269" t="s">
        <v>858</v>
      </c>
      <c r="M325" s="269" t="s">
        <v>859</v>
      </c>
      <c r="N325" s="269" t="s">
        <v>860</v>
      </c>
      <c r="O325" s="269" t="s">
        <v>861</v>
      </c>
      <c r="P325" s="269" t="s">
        <v>861</v>
      </c>
      <c r="Q325" s="269">
        <v>45664</v>
      </c>
      <c r="R325" s="269"/>
      <c r="S325" s="66" t="s">
        <v>785</v>
      </c>
      <c r="T325" s="70"/>
      <c r="U325" s="238">
        <f t="shared" ref="U325:U388" si="83">ABS(Z325)</f>
        <v>0.14531086960134301</v>
      </c>
      <c r="V325" s="238">
        <f t="shared" ref="V325:V388" si="84">ABS(AA325)</f>
        <v>0</v>
      </c>
      <c r="W325" s="238">
        <f t="shared" ref="W325:W388" si="85">ABS(AB325)</f>
        <v>9.1039537430139331E-3</v>
      </c>
      <c r="X325" s="238">
        <f t="shared" ref="X325:X388" si="86">ABS(AC325)</f>
        <v>9.9331563609734552E-2</v>
      </c>
      <c r="Y325" s="238">
        <f t="shared" ref="Y325:Y388" si="87">ABS(AD325)</f>
        <v>3.6875352248594527E-2</v>
      </c>
      <c r="Z325" s="70">
        <v>0.14531086960134301</v>
      </c>
      <c r="AA325" s="70"/>
      <c r="AB325" s="70">
        <v>9.1039537430139331E-3</v>
      </c>
      <c r="AC325" s="70">
        <v>9.9331563609734552E-2</v>
      </c>
      <c r="AD325" s="71">
        <v>3.6875352248594527E-2</v>
      </c>
      <c r="AE325" s="120" t="s">
        <v>808</v>
      </c>
      <c r="AF325" s="121">
        <v>7</v>
      </c>
      <c r="AG325" s="74">
        <v>6017025000</v>
      </c>
      <c r="AH325" s="74">
        <v>874.33913516302096</v>
      </c>
      <c r="AI325" s="74">
        <v>0</v>
      </c>
      <c r="AJ325" s="74">
        <v>54.77871727055841</v>
      </c>
      <c r="AK325" s="74">
        <v>597.68050152886303</v>
      </c>
      <c r="AL325" s="75">
        <v>221.87991636359948</v>
      </c>
      <c r="AM325" s="202">
        <f t="shared" ref="AM325:AM388" si="88">AH325/16529.1</f>
        <v>5.289695961443884E-2</v>
      </c>
      <c r="AN325" s="202">
        <f t="shared" ref="AN325:AN388" si="89">AI325/16529.1</f>
        <v>0</v>
      </c>
      <c r="AO325" s="202">
        <f t="shared" ref="AO325:AO388" si="90">AJ325/16529.1</f>
        <v>3.3140774313518834E-3</v>
      </c>
      <c r="AP325" s="202">
        <f t="shared" ref="AP325:AP388" si="91">AK325/16529.1</f>
        <v>3.615928886199872E-2</v>
      </c>
      <c r="AQ325" s="202">
        <f t="shared" ref="AQ325:AQ388" si="92">AL325/16529.1</f>
        <v>1.3423593321088232E-2</v>
      </c>
      <c r="AR325" s="209" t="s">
        <v>778</v>
      </c>
      <c r="AS325" s="224" t="s">
        <v>1664</v>
      </c>
      <c r="AT325" s="234">
        <v>324110</v>
      </c>
      <c r="AU325" s="244">
        <f t="shared" ref="AU325:AU388" si="93">ABS(AH325)</f>
        <v>874.33913516302096</v>
      </c>
      <c r="AV325" s="244">
        <f t="shared" ref="AV325:AV388" si="94">ABS(AI325)</f>
        <v>0</v>
      </c>
      <c r="AW325" s="244">
        <f t="shared" ref="AW325:AW388" si="95">ABS(AJ325)</f>
        <v>54.77871727055841</v>
      </c>
      <c r="AX325" s="244">
        <f t="shared" ref="AX325:AX388" si="96">ABS(AK325)</f>
        <v>597.68050152886303</v>
      </c>
      <c r="AY325" s="244">
        <f t="shared" ref="AY325:AY388" si="97">ABS(AL325)</f>
        <v>221.87991636359948</v>
      </c>
      <c r="AZ325">
        <v>0.23502792499308386</v>
      </c>
    </row>
    <row r="326" spans="1:52" s="155" customFormat="1" ht="15.75" customHeight="1" x14ac:dyDescent="0.35">
      <c r="A326" s="78" t="s">
        <v>778</v>
      </c>
      <c r="B326" s="78" t="s">
        <v>779</v>
      </c>
      <c r="C326" s="78" t="s">
        <v>48</v>
      </c>
      <c r="D326" s="78" t="s">
        <v>862</v>
      </c>
      <c r="E326" s="78" t="s">
        <v>862</v>
      </c>
      <c r="F326" s="78" t="s">
        <v>863</v>
      </c>
      <c r="G326" s="78" t="s">
        <v>52</v>
      </c>
      <c r="H326" s="78" t="s">
        <v>864</v>
      </c>
      <c r="I326" s="145" t="s">
        <v>865</v>
      </c>
      <c r="J326" s="98" t="s">
        <v>866</v>
      </c>
      <c r="K326" s="228">
        <v>300</v>
      </c>
      <c r="L326" s="269"/>
      <c r="M326" s="269"/>
      <c r="N326" s="269"/>
      <c r="O326" s="269"/>
      <c r="P326" s="269"/>
      <c r="Q326" s="269"/>
      <c r="R326" s="269"/>
      <c r="S326" s="77" t="s">
        <v>785</v>
      </c>
      <c r="T326" s="82"/>
      <c r="U326" s="238">
        <f t="shared" si="83"/>
        <v>5.3575891273972961E-3</v>
      </c>
      <c r="V326" s="238">
        <f t="shared" si="84"/>
        <v>0</v>
      </c>
      <c r="W326" s="238">
        <f t="shared" si="85"/>
        <v>5.3575891273972961E-3</v>
      </c>
      <c r="X326" s="238">
        <f t="shared" si="86"/>
        <v>0</v>
      </c>
      <c r="Y326" s="238">
        <f t="shared" si="87"/>
        <v>0</v>
      </c>
      <c r="Z326" s="70">
        <v>5.3575891273972961E-3</v>
      </c>
      <c r="AA326" s="70"/>
      <c r="AB326" s="70">
        <v>5.3575891273972961E-3</v>
      </c>
      <c r="AC326" s="70">
        <v>0</v>
      </c>
      <c r="AD326" s="71">
        <v>0</v>
      </c>
      <c r="AE326" s="147" t="s">
        <v>867</v>
      </c>
      <c r="AF326" s="148">
        <v>3</v>
      </c>
      <c r="AG326" s="86">
        <v>6017025000</v>
      </c>
      <c r="AH326" s="86">
        <v>32.236747719277716</v>
      </c>
      <c r="AI326" s="86">
        <v>0</v>
      </c>
      <c r="AJ326" s="86">
        <v>32.236747719277716</v>
      </c>
      <c r="AK326" s="86">
        <v>0</v>
      </c>
      <c r="AL326" s="87">
        <v>0</v>
      </c>
      <c r="AM326" s="202">
        <f t="shared" si="88"/>
        <v>1.950302661323225E-3</v>
      </c>
      <c r="AN326" s="202">
        <f t="shared" si="89"/>
        <v>0</v>
      </c>
      <c r="AO326" s="202">
        <f t="shared" si="90"/>
        <v>1.950302661323225E-3</v>
      </c>
      <c r="AP326" s="202">
        <f t="shared" si="91"/>
        <v>0</v>
      </c>
      <c r="AQ326" s="202">
        <f t="shared" si="92"/>
        <v>0</v>
      </c>
      <c r="AR326" s="213" t="s">
        <v>778</v>
      </c>
      <c r="AS326" s="224" t="s">
        <v>1664</v>
      </c>
      <c r="AT326" s="234">
        <v>324110</v>
      </c>
      <c r="AU326" s="244">
        <f t="shared" si="93"/>
        <v>32.236747719277716</v>
      </c>
      <c r="AV326" s="244">
        <f t="shared" si="94"/>
        <v>0</v>
      </c>
      <c r="AW326" s="244">
        <f t="shared" si="95"/>
        <v>32.236747719277716</v>
      </c>
      <c r="AX326" s="244">
        <f t="shared" si="96"/>
        <v>0</v>
      </c>
      <c r="AY326" s="244">
        <f t="shared" si="97"/>
        <v>0</v>
      </c>
      <c r="AZ326" s="155">
        <v>8.6654429846317257E-3</v>
      </c>
    </row>
    <row r="327" spans="1:52" ht="15.75" customHeight="1" x14ac:dyDescent="0.35">
      <c r="A327" s="67" t="s">
        <v>547</v>
      </c>
      <c r="B327" s="67" t="s">
        <v>868</v>
      </c>
      <c r="C327" s="67" t="s">
        <v>71</v>
      </c>
      <c r="D327" s="67" t="s">
        <v>71</v>
      </c>
      <c r="E327" s="67" t="s">
        <v>869</v>
      </c>
      <c r="F327" s="67" t="s">
        <v>567</v>
      </c>
      <c r="G327" s="67" t="s">
        <v>52</v>
      </c>
      <c r="H327" s="67" t="s">
        <v>578</v>
      </c>
      <c r="I327" s="67" t="s">
        <v>870</v>
      </c>
      <c r="J327" s="135">
        <f>AVERAGE(55,65)/100</f>
        <v>0.6</v>
      </c>
      <c r="K327" s="228">
        <f t="shared" ref="K327:K388" si="98">L327*1</f>
        <v>130</v>
      </c>
      <c r="L327" s="269">
        <v>130</v>
      </c>
      <c r="M327" s="269"/>
      <c r="N327" s="269"/>
      <c r="O327" s="269">
        <v>143.17699999999999</v>
      </c>
      <c r="P327" s="269"/>
      <c r="Q327" s="269"/>
      <c r="R327" s="269"/>
      <c r="S327" s="56" t="s">
        <v>871</v>
      </c>
      <c r="T327" s="70">
        <v>0.73099999999999998</v>
      </c>
      <c r="U327" s="238">
        <f t="shared" si="83"/>
        <v>0.28799999999999998</v>
      </c>
      <c r="V327" s="238">
        <f t="shared" si="84"/>
        <v>0</v>
      </c>
      <c r="W327" s="238">
        <f t="shared" si="85"/>
        <v>0.28799999999999998</v>
      </c>
      <c r="X327" s="238">
        <f t="shared" si="86"/>
        <v>0</v>
      </c>
      <c r="Y327" s="238">
        <f t="shared" si="87"/>
        <v>0</v>
      </c>
      <c r="Z327" s="82">
        <v>0.28799999999999998</v>
      </c>
      <c r="AA327" s="82"/>
      <c r="AB327" s="82">
        <v>0.28799999999999998</v>
      </c>
      <c r="AC327" s="82"/>
      <c r="AD327" s="83"/>
      <c r="AE327" s="233"/>
      <c r="AF327" s="72"/>
      <c r="AG327" s="74">
        <v>5.53</v>
      </c>
      <c r="AH327" s="74">
        <v>1.5926400000000001</v>
      </c>
      <c r="AI327" s="74">
        <v>0</v>
      </c>
      <c r="AJ327" s="74">
        <v>1.5926400000000001</v>
      </c>
      <c r="AK327" s="74">
        <v>0</v>
      </c>
      <c r="AL327" s="75">
        <v>0</v>
      </c>
      <c r="AM327" s="202">
        <f t="shared" si="88"/>
        <v>9.6353703468428424E-5</v>
      </c>
      <c r="AN327" s="202">
        <f t="shared" si="89"/>
        <v>0</v>
      </c>
      <c r="AO327" s="202">
        <f t="shared" si="90"/>
        <v>9.6353703468428424E-5</v>
      </c>
      <c r="AP327" s="202">
        <f t="shared" si="91"/>
        <v>0</v>
      </c>
      <c r="AQ327" s="202">
        <f t="shared" si="92"/>
        <v>0</v>
      </c>
      <c r="AR327" s="209" t="s">
        <v>547</v>
      </c>
      <c r="AS327" s="223" t="s">
        <v>1658</v>
      </c>
      <c r="AT327" s="234">
        <v>325311</v>
      </c>
      <c r="AU327" s="244">
        <f t="shared" si="93"/>
        <v>1.5926400000000001</v>
      </c>
      <c r="AV327" s="244">
        <f t="shared" si="94"/>
        <v>0</v>
      </c>
      <c r="AW327" s="244">
        <f t="shared" si="95"/>
        <v>1.5926400000000001</v>
      </c>
      <c r="AX327" s="244">
        <f t="shared" si="96"/>
        <v>0</v>
      </c>
      <c r="AY327" s="244">
        <f t="shared" si="97"/>
        <v>0</v>
      </c>
      <c r="AZ327">
        <v>3.8148893360160968E-4</v>
      </c>
    </row>
    <row r="328" spans="1:52" ht="15.75" customHeight="1" x14ac:dyDescent="0.35">
      <c r="A328" s="67" t="s">
        <v>547</v>
      </c>
      <c r="B328" s="67" t="s">
        <v>868</v>
      </c>
      <c r="C328" s="67" t="s">
        <v>48</v>
      </c>
      <c r="D328" s="67" t="s">
        <v>560</v>
      </c>
      <c r="E328" s="67" t="s">
        <v>872</v>
      </c>
      <c r="F328" s="67" t="s">
        <v>873</v>
      </c>
      <c r="G328" s="67" t="s">
        <v>52</v>
      </c>
      <c r="H328" s="67" t="s">
        <v>578</v>
      </c>
      <c r="I328" s="67" t="s">
        <v>874</v>
      </c>
      <c r="J328" s="95" t="s">
        <v>866</v>
      </c>
      <c r="K328" s="228">
        <f t="shared" si="98"/>
        <v>182</v>
      </c>
      <c r="L328" s="269">
        <v>182</v>
      </c>
      <c r="M328" s="269"/>
      <c r="N328" s="269"/>
      <c r="O328" s="269">
        <v>152</v>
      </c>
      <c r="P328" s="269"/>
      <c r="Q328" s="269"/>
      <c r="R328" s="269"/>
      <c r="S328" s="66" t="s">
        <v>871</v>
      </c>
      <c r="T328" s="70">
        <v>0.56299999999999994</v>
      </c>
      <c r="U328" s="238">
        <f t="shared" si="83"/>
        <v>2.9700000000000001E-2</v>
      </c>
      <c r="V328" s="238">
        <f t="shared" si="84"/>
        <v>0</v>
      </c>
      <c r="W328" s="238">
        <f t="shared" si="85"/>
        <v>2.9700000000000001E-2</v>
      </c>
      <c r="X328" s="238">
        <f t="shared" si="86"/>
        <v>0</v>
      </c>
      <c r="Y328" s="238">
        <f t="shared" si="87"/>
        <v>0</v>
      </c>
      <c r="Z328" s="70">
        <v>2.9700000000000001E-2</v>
      </c>
      <c r="AA328" s="70"/>
      <c r="AB328" s="70">
        <v>2.9700000000000001E-2</v>
      </c>
      <c r="AC328" s="70"/>
      <c r="AD328" s="71"/>
      <c r="AE328" s="233"/>
      <c r="AF328" s="72"/>
      <c r="AG328" s="74">
        <v>5.53</v>
      </c>
      <c r="AH328" s="74">
        <v>0.164241</v>
      </c>
      <c r="AI328" s="74">
        <v>0</v>
      </c>
      <c r="AJ328" s="74">
        <v>0.164241</v>
      </c>
      <c r="AK328" s="74">
        <v>0</v>
      </c>
      <c r="AL328" s="75">
        <v>0</v>
      </c>
      <c r="AM328" s="202">
        <f t="shared" si="88"/>
        <v>9.9364756701816806E-6</v>
      </c>
      <c r="AN328" s="202">
        <f t="shared" si="89"/>
        <v>0</v>
      </c>
      <c r="AO328" s="202">
        <f t="shared" si="90"/>
        <v>9.9364756701816806E-6</v>
      </c>
      <c r="AP328" s="202">
        <f t="shared" si="91"/>
        <v>0</v>
      </c>
      <c r="AQ328" s="202">
        <f t="shared" si="92"/>
        <v>0</v>
      </c>
      <c r="AR328" s="209" t="s">
        <v>547</v>
      </c>
      <c r="AS328" s="223" t="s">
        <v>1658</v>
      </c>
      <c r="AT328" s="234">
        <v>325311</v>
      </c>
      <c r="AU328" s="244">
        <f t="shared" si="93"/>
        <v>0.164241</v>
      </c>
      <c r="AV328" s="244">
        <f t="shared" si="94"/>
        <v>0</v>
      </c>
      <c r="AW328" s="244">
        <f t="shared" si="95"/>
        <v>0.164241</v>
      </c>
      <c r="AX328" s="244">
        <f t="shared" si="96"/>
        <v>0</v>
      </c>
      <c r="AY328" s="244">
        <f t="shared" si="97"/>
        <v>0</v>
      </c>
      <c r="AZ328">
        <v>3.9341046277665993E-5</v>
      </c>
    </row>
    <row r="329" spans="1:52" ht="15.75" customHeight="1" x14ac:dyDescent="0.35">
      <c r="A329" s="67" t="s">
        <v>547</v>
      </c>
      <c r="B329" s="67" t="s">
        <v>868</v>
      </c>
      <c r="C329" s="67" t="s">
        <v>74</v>
      </c>
      <c r="D329" s="67" t="s">
        <v>875</v>
      </c>
      <c r="E329" s="67" t="s">
        <v>875</v>
      </c>
      <c r="F329" s="67" t="s">
        <v>876</v>
      </c>
      <c r="G329" s="67" t="s">
        <v>52</v>
      </c>
      <c r="H329" s="67" t="s">
        <v>95</v>
      </c>
      <c r="I329" s="67" t="s">
        <v>877</v>
      </c>
      <c r="J329" s="95" t="s">
        <v>798</v>
      </c>
      <c r="K329" s="228">
        <f t="shared" si="98"/>
        <v>205</v>
      </c>
      <c r="L329" s="269">
        <v>205</v>
      </c>
      <c r="M329" s="269"/>
      <c r="N329" s="269"/>
      <c r="O329" s="269">
        <v>150</v>
      </c>
      <c r="P329" s="269"/>
      <c r="Q329" s="269"/>
      <c r="R329" s="269"/>
      <c r="S329" s="66" t="s">
        <v>871</v>
      </c>
      <c r="T329" s="70"/>
      <c r="U329" s="238">
        <f t="shared" si="83"/>
        <v>1.1917295400000003</v>
      </c>
      <c r="V329" s="238">
        <f t="shared" si="84"/>
        <v>0</v>
      </c>
      <c r="W329" s="238">
        <f t="shared" si="85"/>
        <v>2.9700000000000001E-2</v>
      </c>
      <c r="X329" s="238">
        <f t="shared" si="86"/>
        <v>0</v>
      </c>
      <c r="Y329" s="238">
        <f t="shared" si="87"/>
        <v>1.1620295400000002</v>
      </c>
      <c r="Z329" s="70">
        <v>1.1917295400000003</v>
      </c>
      <c r="AA329" s="70"/>
      <c r="AB329" s="70">
        <v>2.9700000000000001E-2</v>
      </c>
      <c r="AC329" s="70"/>
      <c r="AD329" s="71">
        <v>1.1620295400000002</v>
      </c>
      <c r="AE329" s="156">
        <v>320</v>
      </c>
      <c r="AF329" s="121">
        <v>20</v>
      </c>
      <c r="AG329" s="74">
        <v>5.53</v>
      </c>
      <c r="AH329" s="74">
        <v>6.5902643562000023</v>
      </c>
      <c r="AI329" s="74">
        <v>0</v>
      </c>
      <c r="AJ329" s="74">
        <v>0.164241</v>
      </c>
      <c r="AK329" s="74">
        <v>0</v>
      </c>
      <c r="AL329" s="75">
        <v>6.4260233562000018</v>
      </c>
      <c r="AM329" s="202">
        <f t="shared" si="88"/>
        <v>3.9870678719349526E-4</v>
      </c>
      <c r="AN329" s="202">
        <f t="shared" si="89"/>
        <v>0</v>
      </c>
      <c r="AO329" s="202">
        <f t="shared" si="90"/>
        <v>9.9364756701816806E-6</v>
      </c>
      <c r="AP329" s="202">
        <f t="shared" si="91"/>
        <v>0</v>
      </c>
      <c r="AQ329" s="202">
        <f t="shared" si="92"/>
        <v>3.8877031152331358E-4</v>
      </c>
      <c r="AR329" s="209" t="s">
        <v>547</v>
      </c>
      <c r="AS329" s="223" t="s">
        <v>1658</v>
      </c>
      <c r="AT329" s="234">
        <v>325311</v>
      </c>
      <c r="AU329" s="244">
        <f t="shared" si="93"/>
        <v>6.5902643562000023</v>
      </c>
      <c r="AV329" s="244">
        <f t="shared" si="94"/>
        <v>0</v>
      </c>
      <c r="AW329" s="244">
        <f t="shared" si="95"/>
        <v>0.164241</v>
      </c>
      <c r="AX329" s="244">
        <f t="shared" si="96"/>
        <v>0</v>
      </c>
      <c r="AY329" s="244">
        <f t="shared" si="97"/>
        <v>6.4260233562000018</v>
      </c>
      <c r="AZ329">
        <v>1.5785820533199199E-3</v>
      </c>
    </row>
    <row r="330" spans="1:52" ht="15.75" customHeight="1" x14ac:dyDescent="0.35">
      <c r="A330" s="67" t="s">
        <v>547</v>
      </c>
      <c r="B330" s="67" t="s">
        <v>868</v>
      </c>
      <c r="C330" s="67" t="s">
        <v>74</v>
      </c>
      <c r="D330" s="67" t="s">
        <v>878</v>
      </c>
      <c r="E330" s="67" t="s">
        <v>879</v>
      </c>
      <c r="F330" s="67" t="s">
        <v>880</v>
      </c>
      <c r="G330" s="67" t="s">
        <v>52</v>
      </c>
      <c r="H330" s="67" t="s">
        <v>95</v>
      </c>
      <c r="I330" s="67" t="s">
        <v>881</v>
      </c>
      <c r="J330" s="66" t="s">
        <v>882</v>
      </c>
      <c r="K330" s="228">
        <f t="shared" si="98"/>
        <v>155</v>
      </c>
      <c r="L330" s="269">
        <v>155</v>
      </c>
      <c r="M330" s="269"/>
      <c r="N330" s="269"/>
      <c r="O330" s="269">
        <v>150</v>
      </c>
      <c r="P330" s="269"/>
      <c r="Q330" s="269"/>
      <c r="R330" s="269"/>
      <c r="S330" s="66" t="s">
        <v>871</v>
      </c>
      <c r="T330" s="70"/>
      <c r="U330" s="238">
        <f t="shared" si="83"/>
        <v>0.65952</v>
      </c>
      <c r="V330" s="238">
        <f t="shared" si="84"/>
        <v>0</v>
      </c>
      <c r="W330" s="238">
        <f t="shared" si="85"/>
        <v>0</v>
      </c>
      <c r="X330" s="238">
        <f t="shared" si="86"/>
        <v>0</v>
      </c>
      <c r="Y330" s="238">
        <f t="shared" si="87"/>
        <v>0.65952</v>
      </c>
      <c r="Z330" s="70">
        <v>-0.65952</v>
      </c>
      <c r="AA330" s="70"/>
      <c r="AB330" s="70"/>
      <c r="AC330" s="70"/>
      <c r="AD330" s="71">
        <v>-0.65952</v>
      </c>
      <c r="AE330" s="156">
        <v>320</v>
      </c>
      <c r="AF330" s="121">
        <v>20</v>
      </c>
      <c r="AG330" s="74">
        <v>5.53</v>
      </c>
      <c r="AH330" s="74">
        <v>-3.6471456</v>
      </c>
      <c r="AI330" s="74">
        <v>0</v>
      </c>
      <c r="AJ330" s="74">
        <v>0</v>
      </c>
      <c r="AK330" s="74">
        <v>0</v>
      </c>
      <c r="AL330" s="75">
        <v>-3.6471456</v>
      </c>
      <c r="AM330" s="202">
        <f t="shared" si="88"/>
        <v>-2.2064998094270107E-4</v>
      </c>
      <c r="AN330" s="202">
        <f t="shared" si="89"/>
        <v>0</v>
      </c>
      <c r="AO330" s="202">
        <f t="shared" si="90"/>
        <v>0</v>
      </c>
      <c r="AP330" s="202">
        <f t="shared" si="91"/>
        <v>0</v>
      </c>
      <c r="AQ330" s="202">
        <f t="shared" si="92"/>
        <v>-2.2064998094270107E-4</v>
      </c>
      <c r="AR330" s="209" t="s">
        <v>547</v>
      </c>
      <c r="AS330" s="223" t="s">
        <v>1658</v>
      </c>
      <c r="AT330" s="234">
        <v>325311</v>
      </c>
      <c r="AU330" s="244">
        <f t="shared" si="93"/>
        <v>3.6471456</v>
      </c>
      <c r="AV330" s="244">
        <f t="shared" si="94"/>
        <v>0</v>
      </c>
      <c r="AW330" s="244">
        <f t="shared" si="95"/>
        <v>0</v>
      </c>
      <c r="AX330" s="244">
        <f t="shared" si="96"/>
        <v>0</v>
      </c>
      <c r="AY330" s="244">
        <f t="shared" si="97"/>
        <v>3.6471456</v>
      </c>
      <c r="AZ330">
        <v>-8.7360965794768604E-4</v>
      </c>
    </row>
    <row r="331" spans="1:52" ht="15.75" customHeight="1" x14ac:dyDescent="0.35">
      <c r="A331" s="67" t="s">
        <v>547</v>
      </c>
      <c r="B331" s="67" t="s">
        <v>868</v>
      </c>
      <c r="C331" s="67" t="s">
        <v>74</v>
      </c>
      <c r="D331" s="67" t="s">
        <v>140</v>
      </c>
      <c r="E331" s="67" t="s">
        <v>883</v>
      </c>
      <c r="F331" s="67" t="s">
        <v>884</v>
      </c>
      <c r="G331" s="67" t="s">
        <v>52</v>
      </c>
      <c r="H331" s="67" t="s">
        <v>143</v>
      </c>
      <c r="I331" s="67" t="s">
        <v>885</v>
      </c>
      <c r="J331" s="95" t="s">
        <v>681</v>
      </c>
      <c r="K331" s="228">
        <f>AVERAGE(80,135)</f>
        <v>107.5</v>
      </c>
      <c r="L331" s="269" t="s">
        <v>886</v>
      </c>
      <c r="M331" s="269"/>
      <c r="N331" s="269"/>
      <c r="O331" s="269" t="s">
        <v>887</v>
      </c>
      <c r="P331" s="269"/>
      <c r="Q331" s="269"/>
      <c r="R331" s="269"/>
      <c r="S331" s="66" t="s">
        <v>871</v>
      </c>
      <c r="T331" s="70"/>
      <c r="U331" s="238">
        <f t="shared" si="83"/>
        <v>0.99917045999999987</v>
      </c>
      <c r="V331" s="238">
        <f t="shared" si="84"/>
        <v>0</v>
      </c>
      <c r="W331" s="238">
        <f t="shared" si="85"/>
        <v>3.0600000000000002E-2</v>
      </c>
      <c r="X331" s="238">
        <f t="shared" si="86"/>
        <v>0</v>
      </c>
      <c r="Y331" s="238">
        <f t="shared" si="87"/>
        <v>0.96857045999999991</v>
      </c>
      <c r="Z331" s="70">
        <v>0.99917045999999987</v>
      </c>
      <c r="AA331" s="70"/>
      <c r="AB331" s="70">
        <v>3.0600000000000002E-2</v>
      </c>
      <c r="AC331" s="70"/>
      <c r="AD331" s="71">
        <v>0.96857045999999991</v>
      </c>
      <c r="AE331" s="156">
        <v>320</v>
      </c>
      <c r="AF331" s="121">
        <v>20</v>
      </c>
      <c r="AG331" s="74">
        <v>5.53</v>
      </c>
      <c r="AH331" s="74">
        <v>5.5254126437999993</v>
      </c>
      <c r="AI331" s="74">
        <v>0</v>
      </c>
      <c r="AJ331" s="74">
        <v>0.16921800000000001</v>
      </c>
      <c r="AK331" s="74">
        <v>0</v>
      </c>
      <c r="AL331" s="75">
        <v>5.3561946437999994</v>
      </c>
      <c r="AM331" s="202">
        <f t="shared" si="88"/>
        <v>3.3428393825435138E-4</v>
      </c>
      <c r="AN331" s="202">
        <f t="shared" si="89"/>
        <v>0</v>
      </c>
      <c r="AO331" s="202">
        <f t="shared" si="90"/>
        <v>1.023758099352052E-5</v>
      </c>
      <c r="AP331" s="202">
        <f t="shared" si="91"/>
        <v>0</v>
      </c>
      <c r="AQ331" s="202">
        <f t="shared" si="92"/>
        <v>3.2404635726083087E-4</v>
      </c>
      <c r="AR331" s="209" t="s">
        <v>547</v>
      </c>
      <c r="AS331" s="223" t="s">
        <v>1658</v>
      </c>
      <c r="AT331" s="234">
        <v>325311</v>
      </c>
      <c r="AU331" s="244">
        <f t="shared" si="93"/>
        <v>5.5254126437999993</v>
      </c>
      <c r="AV331" s="244">
        <f t="shared" si="94"/>
        <v>0</v>
      </c>
      <c r="AW331" s="244">
        <f t="shared" si="95"/>
        <v>0.16921800000000001</v>
      </c>
      <c r="AX331" s="244">
        <f t="shared" si="96"/>
        <v>0</v>
      </c>
      <c r="AY331" s="244">
        <f t="shared" si="97"/>
        <v>5.3561946437999994</v>
      </c>
      <c r="AZ331">
        <v>1.3235155321931588E-3</v>
      </c>
    </row>
    <row r="332" spans="1:52" ht="15.75" customHeight="1" x14ac:dyDescent="0.35">
      <c r="A332" s="67" t="s">
        <v>547</v>
      </c>
      <c r="B332" s="67" t="s">
        <v>868</v>
      </c>
      <c r="C332" s="67" t="s">
        <v>108</v>
      </c>
      <c r="D332" s="67" t="s">
        <v>271</v>
      </c>
      <c r="E332" s="67" t="s">
        <v>888</v>
      </c>
      <c r="F332" s="67" t="s">
        <v>889</v>
      </c>
      <c r="G332" s="67" t="s">
        <v>52</v>
      </c>
      <c r="H332" s="67" t="s">
        <v>890</v>
      </c>
      <c r="I332" s="67" t="s">
        <v>891</v>
      </c>
      <c r="J332" s="95" t="s">
        <v>676</v>
      </c>
      <c r="K332" s="228">
        <f t="shared" si="98"/>
        <v>37.799999999999997</v>
      </c>
      <c r="L332" s="269">
        <v>37.799999999999997</v>
      </c>
      <c r="M332" s="269"/>
      <c r="N332" s="269"/>
      <c r="O332" s="269">
        <v>0.97</v>
      </c>
      <c r="P332" s="269"/>
      <c r="Q332" s="269"/>
      <c r="R332" s="269"/>
      <c r="S332" s="66" t="s">
        <v>871</v>
      </c>
      <c r="T332" s="70"/>
      <c r="U332" s="238">
        <f t="shared" si="83"/>
        <v>8.6400000000000005E-2</v>
      </c>
      <c r="V332" s="238">
        <f t="shared" si="84"/>
        <v>0</v>
      </c>
      <c r="W332" s="238">
        <f t="shared" si="85"/>
        <v>8.6400000000000005E-2</v>
      </c>
      <c r="X332" s="238">
        <f t="shared" si="86"/>
        <v>0</v>
      </c>
      <c r="Y332" s="238">
        <f t="shared" si="87"/>
        <v>0</v>
      </c>
      <c r="Z332" s="70">
        <v>8.6400000000000005E-2</v>
      </c>
      <c r="AA332" s="70"/>
      <c r="AB332" s="70">
        <v>8.6400000000000005E-2</v>
      </c>
      <c r="AC332" s="70"/>
      <c r="AD332" s="71"/>
      <c r="AE332" s="70"/>
      <c r="AF332" s="72"/>
      <c r="AG332" s="74">
        <v>5.53</v>
      </c>
      <c r="AH332" s="74">
        <v>0.47779200000000005</v>
      </c>
      <c r="AI332" s="74">
        <v>0</v>
      </c>
      <c r="AJ332" s="74">
        <v>0.47779200000000005</v>
      </c>
      <c r="AK332" s="74">
        <v>0</v>
      </c>
      <c r="AL332" s="75">
        <v>0</v>
      </c>
      <c r="AM332" s="202">
        <f t="shared" si="88"/>
        <v>2.8906111040528529E-5</v>
      </c>
      <c r="AN332" s="202">
        <f t="shared" si="89"/>
        <v>0</v>
      </c>
      <c r="AO332" s="202">
        <f t="shared" si="90"/>
        <v>2.8906111040528529E-5</v>
      </c>
      <c r="AP332" s="202">
        <f t="shared" si="91"/>
        <v>0</v>
      </c>
      <c r="AQ332" s="202">
        <f t="shared" si="92"/>
        <v>0</v>
      </c>
      <c r="AR332" s="209" t="s">
        <v>547</v>
      </c>
      <c r="AS332" s="223" t="s">
        <v>1658</v>
      </c>
      <c r="AT332" s="234">
        <v>325311</v>
      </c>
      <c r="AU332" s="244">
        <f t="shared" si="93"/>
        <v>0.47779200000000005</v>
      </c>
      <c r="AV332" s="244">
        <f t="shared" si="94"/>
        <v>0</v>
      </c>
      <c r="AW332" s="244">
        <f t="shared" si="95"/>
        <v>0.47779200000000005</v>
      </c>
      <c r="AX332" s="244">
        <f t="shared" si="96"/>
        <v>0</v>
      </c>
      <c r="AY332" s="244">
        <f t="shared" si="97"/>
        <v>0</v>
      </c>
      <c r="AZ332">
        <v>1.144466800804829E-4</v>
      </c>
    </row>
    <row r="333" spans="1:52" ht="15.75" customHeight="1" x14ac:dyDescent="0.35">
      <c r="A333" s="67" t="s">
        <v>547</v>
      </c>
      <c r="B333" s="67" t="s">
        <v>868</v>
      </c>
      <c r="C333" s="67" t="s">
        <v>92</v>
      </c>
      <c r="D333" s="67" t="s">
        <v>892</v>
      </c>
      <c r="E333" s="67" t="s">
        <v>892</v>
      </c>
      <c r="F333" s="67" t="s">
        <v>94</v>
      </c>
      <c r="G333" s="67" t="s">
        <v>52</v>
      </c>
      <c r="H333" s="67" t="s">
        <v>95</v>
      </c>
      <c r="I333" s="67" t="s">
        <v>96</v>
      </c>
      <c r="J333" s="95"/>
      <c r="K333" s="228">
        <f t="shared" si="98"/>
        <v>147</v>
      </c>
      <c r="L333" s="269">
        <v>147</v>
      </c>
      <c r="M333" s="269"/>
      <c r="N333" s="269"/>
      <c r="O333" s="269">
        <v>3.53</v>
      </c>
      <c r="P333" s="269"/>
      <c r="Q333" s="269"/>
      <c r="R333" s="269"/>
      <c r="S333" s="66" t="s">
        <v>871</v>
      </c>
      <c r="T333" s="70"/>
      <c r="U333" s="238">
        <f t="shared" si="83"/>
        <v>0.73</v>
      </c>
      <c r="V333" s="238">
        <f t="shared" si="84"/>
        <v>0</v>
      </c>
      <c r="W333" s="238">
        <f t="shared" si="85"/>
        <v>0</v>
      </c>
      <c r="X333" s="238">
        <f t="shared" si="86"/>
        <v>0</v>
      </c>
      <c r="Y333" s="238">
        <f t="shared" si="87"/>
        <v>0.73</v>
      </c>
      <c r="Z333" s="70">
        <v>-0.73</v>
      </c>
      <c r="AA333" s="70"/>
      <c r="AB333" s="70"/>
      <c r="AC333" s="70"/>
      <c r="AD333" s="71">
        <v>-0.73</v>
      </c>
      <c r="AE333" s="233">
        <f>L333</f>
        <v>147</v>
      </c>
      <c r="AF333" s="72">
        <f>O333</f>
        <v>3.53</v>
      </c>
      <c r="AG333" s="74">
        <v>5.53</v>
      </c>
      <c r="AH333" s="74">
        <v>-4.0369000000000002</v>
      </c>
      <c r="AI333" s="74">
        <v>0</v>
      </c>
      <c r="AJ333" s="74">
        <v>0</v>
      </c>
      <c r="AK333" s="74">
        <v>0</v>
      </c>
      <c r="AL333" s="75">
        <v>-4.0369000000000002</v>
      </c>
      <c r="AM333" s="202">
        <f t="shared" si="88"/>
        <v>-2.4422987337483594E-4</v>
      </c>
      <c r="AN333" s="202">
        <f t="shared" si="89"/>
        <v>0</v>
      </c>
      <c r="AO333" s="202">
        <f t="shared" si="90"/>
        <v>0</v>
      </c>
      <c r="AP333" s="202">
        <f t="shared" si="91"/>
        <v>0</v>
      </c>
      <c r="AQ333" s="202">
        <f t="shared" si="92"/>
        <v>-2.4422987337483594E-4</v>
      </c>
      <c r="AR333" s="209" t="s">
        <v>547</v>
      </c>
      <c r="AS333" s="223" t="s">
        <v>1658</v>
      </c>
      <c r="AT333" s="234">
        <v>325311</v>
      </c>
      <c r="AU333" s="244">
        <f t="shared" si="93"/>
        <v>4.0369000000000002</v>
      </c>
      <c r="AV333" s="244">
        <f t="shared" si="94"/>
        <v>0</v>
      </c>
      <c r="AW333" s="244">
        <f t="shared" si="95"/>
        <v>0</v>
      </c>
      <c r="AX333" s="244">
        <f t="shared" si="96"/>
        <v>0</v>
      </c>
      <c r="AY333" s="244">
        <f t="shared" si="97"/>
        <v>4.0369000000000002</v>
      </c>
      <c r="AZ333">
        <v>-9.6696847753185782E-4</v>
      </c>
    </row>
    <row r="334" spans="1:52" ht="15.75" customHeight="1" x14ac:dyDescent="0.35">
      <c r="A334" s="67" t="s">
        <v>547</v>
      </c>
      <c r="B334" s="67" t="s">
        <v>868</v>
      </c>
      <c r="C334" s="67" t="s">
        <v>92</v>
      </c>
      <c r="D334" s="67" t="s">
        <v>93</v>
      </c>
      <c r="E334" s="67" t="s">
        <v>93</v>
      </c>
      <c r="F334" s="67" t="s">
        <v>893</v>
      </c>
      <c r="G334" s="67" t="s">
        <v>894</v>
      </c>
      <c r="H334" s="67" t="s">
        <v>95</v>
      </c>
      <c r="I334" s="67" t="s">
        <v>96</v>
      </c>
      <c r="J334" s="111">
        <v>0.85</v>
      </c>
      <c r="K334" s="228">
        <f>AVERAGE(110,120)</f>
        <v>115</v>
      </c>
      <c r="L334" s="269" t="s">
        <v>895</v>
      </c>
      <c r="M334" s="269"/>
      <c r="N334" s="269"/>
      <c r="O334" s="269">
        <v>0.55000000000000004</v>
      </c>
      <c r="P334" s="269"/>
      <c r="Q334" s="269"/>
      <c r="R334" s="269"/>
      <c r="S334" s="66" t="s">
        <v>871</v>
      </c>
      <c r="T334" s="70"/>
      <c r="U334" s="238">
        <f t="shared" si="83"/>
        <v>0.65952</v>
      </c>
      <c r="V334" s="238">
        <f t="shared" si="84"/>
        <v>0</v>
      </c>
      <c r="W334" s="238">
        <f t="shared" si="85"/>
        <v>0</v>
      </c>
      <c r="X334" s="238">
        <f t="shared" si="86"/>
        <v>0</v>
      </c>
      <c r="Y334" s="238">
        <f t="shared" si="87"/>
        <v>0.65952</v>
      </c>
      <c r="Z334" s="70">
        <v>0.65952</v>
      </c>
      <c r="AA334" s="70"/>
      <c r="AB334" s="70"/>
      <c r="AC334" s="70"/>
      <c r="AD334" s="71">
        <v>0.65952</v>
      </c>
      <c r="AE334" s="81">
        <v>115</v>
      </c>
      <c r="AF334" s="84">
        <f>O334</f>
        <v>0.55000000000000004</v>
      </c>
      <c r="AG334" s="86">
        <v>5.53</v>
      </c>
      <c r="AH334" s="74">
        <v>3.6471456</v>
      </c>
      <c r="AI334" s="74">
        <v>0</v>
      </c>
      <c r="AJ334" s="74">
        <v>0</v>
      </c>
      <c r="AK334" s="74">
        <v>0</v>
      </c>
      <c r="AL334" s="75">
        <v>3.6471456</v>
      </c>
      <c r="AM334" s="202">
        <f t="shared" si="88"/>
        <v>2.2064998094270107E-4</v>
      </c>
      <c r="AN334" s="202">
        <f t="shared" si="89"/>
        <v>0</v>
      </c>
      <c r="AO334" s="202">
        <f t="shared" si="90"/>
        <v>0</v>
      </c>
      <c r="AP334" s="202">
        <f t="shared" si="91"/>
        <v>0</v>
      </c>
      <c r="AQ334" s="202">
        <f t="shared" si="92"/>
        <v>2.2064998094270107E-4</v>
      </c>
      <c r="AR334" s="209" t="s">
        <v>547</v>
      </c>
      <c r="AS334" s="223" t="s">
        <v>1658</v>
      </c>
      <c r="AT334" s="234">
        <v>325311</v>
      </c>
      <c r="AU334" s="244">
        <f t="shared" si="93"/>
        <v>3.6471456</v>
      </c>
      <c r="AV334" s="244">
        <f t="shared" si="94"/>
        <v>0</v>
      </c>
      <c r="AW334" s="244">
        <f t="shared" si="95"/>
        <v>0</v>
      </c>
      <c r="AX334" s="244">
        <f t="shared" si="96"/>
        <v>0</v>
      </c>
      <c r="AY334" s="244">
        <f t="shared" si="97"/>
        <v>3.6471456</v>
      </c>
      <c r="AZ334">
        <v>8.7360965794768604E-4</v>
      </c>
    </row>
    <row r="335" spans="1:52" ht="15.75" customHeight="1" x14ac:dyDescent="0.35">
      <c r="A335" s="57" t="s">
        <v>896</v>
      </c>
      <c r="B335" s="57" t="str">
        <f>B336</f>
        <v>Ehtylene dichlorine/Vinyl chloride monomer</v>
      </c>
      <c r="C335" s="57" t="s">
        <v>48</v>
      </c>
      <c r="D335" s="57" t="s">
        <v>560</v>
      </c>
      <c r="E335" s="57" t="s">
        <v>897</v>
      </c>
      <c r="F335" s="157" t="s">
        <v>898</v>
      </c>
      <c r="G335" s="57" t="s">
        <v>52</v>
      </c>
      <c r="H335" s="57" t="s">
        <v>578</v>
      </c>
      <c r="I335" s="157" t="s">
        <v>899</v>
      </c>
      <c r="J335" s="135" t="s">
        <v>688</v>
      </c>
      <c r="K335" s="228">
        <v>80</v>
      </c>
      <c r="L335" s="269"/>
      <c r="M335" s="269" t="s">
        <v>900</v>
      </c>
      <c r="N335" s="269">
        <v>80</v>
      </c>
      <c r="O335" s="269">
        <v>1</v>
      </c>
      <c r="P335" s="269"/>
      <c r="Q335" s="269"/>
      <c r="R335" s="269"/>
      <c r="S335" s="56" t="s">
        <v>901</v>
      </c>
      <c r="T335" s="60"/>
      <c r="U335" s="238">
        <f t="shared" si="83"/>
        <v>1.6513</v>
      </c>
      <c r="V335" s="238">
        <f t="shared" si="84"/>
        <v>0</v>
      </c>
      <c r="W335" s="238">
        <f t="shared" si="85"/>
        <v>0.12870000000000001</v>
      </c>
      <c r="X335" s="238">
        <f t="shared" si="86"/>
        <v>0</v>
      </c>
      <c r="Y335" s="238">
        <f t="shared" si="87"/>
        <v>1.78</v>
      </c>
      <c r="Z335" s="70">
        <v>-1.6513</v>
      </c>
      <c r="AA335" s="70"/>
      <c r="AB335" s="70">
        <v>0.12870000000000001</v>
      </c>
      <c r="AC335" s="70"/>
      <c r="AD335" s="71">
        <v>-1.78</v>
      </c>
      <c r="AE335" s="158">
        <v>121.1</v>
      </c>
      <c r="AF335" s="72">
        <v>7.9</v>
      </c>
      <c r="AG335" s="74">
        <v>8</v>
      </c>
      <c r="AH335" s="64">
        <v>-13.2104</v>
      </c>
      <c r="AI335" s="64">
        <v>0</v>
      </c>
      <c r="AJ335" s="64">
        <v>1.0296000000000001</v>
      </c>
      <c r="AK335" s="64">
        <v>0</v>
      </c>
      <c r="AL335" s="65">
        <v>-14.24</v>
      </c>
      <c r="AM335" s="202">
        <f t="shared" si="88"/>
        <v>-7.9922076822089533E-4</v>
      </c>
      <c r="AN335" s="202">
        <f t="shared" si="89"/>
        <v>0</v>
      </c>
      <c r="AO335" s="202">
        <f t="shared" si="90"/>
        <v>6.2290142838993063E-5</v>
      </c>
      <c r="AP335" s="202">
        <f t="shared" si="91"/>
        <v>0</v>
      </c>
      <c r="AQ335" s="202">
        <f t="shared" si="92"/>
        <v>-8.6151091105988846E-4</v>
      </c>
      <c r="AR335" s="206" t="s">
        <v>896</v>
      </c>
      <c r="AS335" s="223" t="s">
        <v>1658</v>
      </c>
      <c r="AT335" s="234">
        <v>325211</v>
      </c>
      <c r="AU335" s="244">
        <f t="shared" si="93"/>
        <v>13.2104</v>
      </c>
      <c r="AV335" s="244">
        <f t="shared" si="94"/>
        <v>0</v>
      </c>
      <c r="AW335" s="244">
        <f t="shared" si="95"/>
        <v>1.0296000000000001</v>
      </c>
      <c r="AX335" s="244">
        <f t="shared" si="96"/>
        <v>0</v>
      </c>
      <c r="AY335" s="244">
        <f t="shared" si="97"/>
        <v>14.24</v>
      </c>
      <c r="AZ335">
        <v>-3.1643192488262908E-3</v>
      </c>
    </row>
    <row r="336" spans="1:52" ht="15.75" customHeight="1" x14ac:dyDescent="0.35">
      <c r="A336" s="67" t="s">
        <v>896</v>
      </c>
      <c r="B336" s="67" t="s">
        <v>902</v>
      </c>
      <c r="C336" s="67" t="s">
        <v>74</v>
      </c>
      <c r="D336" s="67" t="s">
        <v>694</v>
      </c>
      <c r="E336" s="67" t="s">
        <v>903</v>
      </c>
      <c r="F336" s="139" t="s">
        <v>904</v>
      </c>
      <c r="G336" s="67" t="str">
        <f t="shared" ref="G336:G341" si="99">G335</f>
        <v>Continuous</v>
      </c>
      <c r="H336" s="67" t="s">
        <v>214</v>
      </c>
      <c r="I336" s="139" t="s">
        <v>905</v>
      </c>
      <c r="J336" s="95" t="s">
        <v>676</v>
      </c>
      <c r="K336" s="228">
        <f>AVERAGE(-195,-173)</f>
        <v>-184</v>
      </c>
      <c r="L336" s="269" t="s">
        <v>906</v>
      </c>
      <c r="M336" s="269"/>
      <c r="N336" s="269"/>
      <c r="O336" s="269" t="s">
        <v>907</v>
      </c>
      <c r="P336" s="269"/>
      <c r="Q336" s="269"/>
      <c r="R336" s="269"/>
      <c r="S336" s="66" t="s">
        <v>901</v>
      </c>
      <c r="T336" s="70"/>
      <c r="U336" s="238">
        <f t="shared" si="83"/>
        <v>0.11</v>
      </c>
      <c r="V336" s="238">
        <f t="shared" si="84"/>
        <v>0</v>
      </c>
      <c r="W336" s="238">
        <f t="shared" si="85"/>
        <v>0.11</v>
      </c>
      <c r="X336" s="238">
        <f t="shared" si="86"/>
        <v>0</v>
      </c>
      <c r="Y336" s="238">
        <f t="shared" si="87"/>
        <v>0</v>
      </c>
      <c r="Z336" s="60">
        <v>0.11</v>
      </c>
      <c r="AA336" s="60"/>
      <c r="AB336" s="60">
        <v>0.11</v>
      </c>
      <c r="AC336" s="60"/>
      <c r="AD336" s="61"/>
      <c r="AE336" s="70"/>
      <c r="AF336" s="72"/>
      <c r="AG336" s="74">
        <v>8</v>
      </c>
      <c r="AH336" s="74">
        <v>0.88</v>
      </c>
      <c r="AI336" s="74">
        <v>0</v>
      </c>
      <c r="AJ336" s="74">
        <v>0.88</v>
      </c>
      <c r="AK336" s="74">
        <v>0</v>
      </c>
      <c r="AL336" s="75">
        <v>0</v>
      </c>
      <c r="AM336" s="202">
        <f t="shared" si="88"/>
        <v>5.3239438323925688E-5</v>
      </c>
      <c r="AN336" s="202">
        <f t="shared" si="89"/>
        <v>0</v>
      </c>
      <c r="AO336" s="202">
        <f t="shared" si="90"/>
        <v>5.3239438323925688E-5</v>
      </c>
      <c r="AP336" s="202">
        <f t="shared" si="91"/>
        <v>0</v>
      </c>
      <c r="AQ336" s="202">
        <f t="shared" si="92"/>
        <v>0</v>
      </c>
      <c r="AR336" s="209" t="s">
        <v>896</v>
      </c>
      <c r="AS336" s="223" t="s">
        <v>1658</v>
      </c>
      <c r="AT336" s="234">
        <v>325211</v>
      </c>
      <c r="AU336" s="244">
        <f t="shared" si="93"/>
        <v>0.88</v>
      </c>
      <c r="AV336" s="244">
        <f t="shared" si="94"/>
        <v>0</v>
      </c>
      <c r="AW336" s="244">
        <f t="shared" si="95"/>
        <v>0.88</v>
      </c>
      <c r="AX336" s="244">
        <f t="shared" si="96"/>
        <v>0</v>
      </c>
      <c r="AY336" s="244">
        <f t="shared" si="97"/>
        <v>0</v>
      </c>
      <c r="AZ336">
        <v>2.1078854076842004E-4</v>
      </c>
    </row>
    <row r="337" spans="1:52" ht="15.75" customHeight="1" x14ac:dyDescent="0.35">
      <c r="A337" s="67" t="s">
        <v>896</v>
      </c>
      <c r="B337" s="67" t="str">
        <f>B338</f>
        <v>Ehtylene dichlorine/Vinyl chloride monomer</v>
      </c>
      <c r="C337" s="67" t="s">
        <v>48</v>
      </c>
      <c r="D337" s="67" t="s">
        <v>560</v>
      </c>
      <c r="E337" s="67" t="s">
        <v>908</v>
      </c>
      <c r="F337" s="139" t="s">
        <v>909</v>
      </c>
      <c r="G337" s="67" t="str">
        <f t="shared" si="99"/>
        <v>Continuous</v>
      </c>
      <c r="H337" s="67" t="str">
        <f>H335</f>
        <v>Reactor</v>
      </c>
      <c r="I337" s="139" t="s">
        <v>899</v>
      </c>
      <c r="J337" s="95" t="s">
        <v>688</v>
      </c>
      <c r="K337" s="228">
        <v>200</v>
      </c>
      <c r="L337" s="269" t="s">
        <v>910</v>
      </c>
      <c r="M337" s="269" t="s">
        <v>911</v>
      </c>
      <c r="N337" s="269">
        <v>200</v>
      </c>
      <c r="O337" s="269" t="s">
        <v>912</v>
      </c>
      <c r="P337" s="269"/>
      <c r="Q337" s="269"/>
      <c r="R337" s="269"/>
      <c r="S337" s="66" t="s">
        <v>901</v>
      </c>
      <c r="T337" s="70"/>
      <c r="U337" s="238">
        <f t="shared" si="83"/>
        <v>1.7712999999999999</v>
      </c>
      <c r="V337" s="238">
        <f t="shared" si="84"/>
        <v>0</v>
      </c>
      <c r="W337" s="238">
        <f t="shared" si="85"/>
        <v>0.12870000000000001</v>
      </c>
      <c r="X337" s="238">
        <f t="shared" si="86"/>
        <v>0</v>
      </c>
      <c r="Y337" s="238">
        <f t="shared" si="87"/>
        <v>1.9</v>
      </c>
      <c r="Z337" s="70">
        <v>-1.7712999999999999</v>
      </c>
      <c r="AA337" s="70"/>
      <c r="AB337" s="70">
        <v>0.12870000000000001</v>
      </c>
      <c r="AC337" s="70"/>
      <c r="AD337" s="71">
        <v>-1.9</v>
      </c>
      <c r="AE337" s="158">
        <v>121.1</v>
      </c>
      <c r="AF337" s="72">
        <v>7.9</v>
      </c>
      <c r="AG337" s="74">
        <v>8</v>
      </c>
      <c r="AH337" s="74">
        <v>-14.170399999999999</v>
      </c>
      <c r="AI337" s="74">
        <v>0</v>
      </c>
      <c r="AJ337" s="74">
        <v>1.0296000000000001</v>
      </c>
      <c r="AK337" s="74">
        <v>0</v>
      </c>
      <c r="AL337" s="75">
        <v>-15.2</v>
      </c>
      <c r="AM337" s="202">
        <f t="shared" si="88"/>
        <v>-8.5730015548335966E-4</v>
      </c>
      <c r="AN337" s="202">
        <f t="shared" si="89"/>
        <v>0</v>
      </c>
      <c r="AO337" s="202">
        <f t="shared" si="90"/>
        <v>6.2290142838993063E-5</v>
      </c>
      <c r="AP337" s="202">
        <f t="shared" si="91"/>
        <v>0</v>
      </c>
      <c r="AQ337" s="202">
        <f t="shared" si="92"/>
        <v>-9.1959029832235268E-4</v>
      </c>
      <c r="AR337" s="209" t="s">
        <v>896</v>
      </c>
      <c r="AS337" s="223" t="s">
        <v>1658</v>
      </c>
      <c r="AT337" s="234">
        <v>325211</v>
      </c>
      <c r="AU337" s="244">
        <f t="shared" si="93"/>
        <v>14.170399999999999</v>
      </c>
      <c r="AV337" s="244">
        <f t="shared" si="94"/>
        <v>0</v>
      </c>
      <c r="AW337" s="244">
        <f t="shared" si="95"/>
        <v>1.0296000000000001</v>
      </c>
      <c r="AX337" s="244">
        <f t="shared" si="96"/>
        <v>0</v>
      </c>
      <c r="AY337" s="244">
        <f t="shared" si="97"/>
        <v>15.2</v>
      </c>
      <c r="AZ337">
        <v>-3.3942703842100214E-3</v>
      </c>
    </row>
    <row r="338" spans="1:52" ht="15.75" customHeight="1" x14ac:dyDescent="0.35">
      <c r="A338" s="67" t="s">
        <v>896</v>
      </c>
      <c r="B338" s="67" t="s">
        <v>902</v>
      </c>
      <c r="C338" s="67" t="s">
        <v>74</v>
      </c>
      <c r="D338" s="67" t="s">
        <v>83</v>
      </c>
      <c r="E338" s="67" t="s">
        <v>913</v>
      </c>
      <c r="F338" s="139" t="s">
        <v>914</v>
      </c>
      <c r="G338" s="67" t="str">
        <f t="shared" si="99"/>
        <v>Continuous</v>
      </c>
      <c r="H338" s="67" t="s">
        <v>915</v>
      </c>
      <c r="I338" s="139" t="s">
        <v>916</v>
      </c>
      <c r="J338" s="76" t="s">
        <v>87</v>
      </c>
      <c r="K338" s="228">
        <f t="shared" si="98"/>
        <v>74.39500000000001</v>
      </c>
      <c r="L338" s="269">
        <v>74.39500000000001</v>
      </c>
      <c r="M338" s="269"/>
      <c r="N338" s="269"/>
      <c r="O338" s="269">
        <v>1.1499999999999999</v>
      </c>
      <c r="P338" s="269"/>
      <c r="Q338" s="269"/>
      <c r="R338" s="269"/>
      <c r="S338" s="66" t="s">
        <v>901</v>
      </c>
      <c r="T338" s="70"/>
      <c r="U338" s="238">
        <f t="shared" si="83"/>
        <v>6.9326000000000008</v>
      </c>
      <c r="V338" s="238">
        <f t="shared" si="84"/>
        <v>0</v>
      </c>
      <c r="W338" s="238">
        <f t="shared" si="85"/>
        <v>0.13260000000000002</v>
      </c>
      <c r="X338" s="238">
        <f t="shared" si="86"/>
        <v>0</v>
      </c>
      <c r="Y338" s="238">
        <f t="shared" si="87"/>
        <v>6.8000000000000007</v>
      </c>
      <c r="Z338" s="70">
        <v>6.9326000000000008</v>
      </c>
      <c r="AA338" s="70"/>
      <c r="AB338" s="70">
        <v>0.13260000000000002</v>
      </c>
      <c r="AC338" s="70"/>
      <c r="AD338" s="71">
        <v>6.8000000000000007</v>
      </c>
      <c r="AE338" s="158">
        <v>121.1</v>
      </c>
      <c r="AF338" s="72">
        <v>7.9</v>
      </c>
      <c r="AG338" s="74">
        <v>8</v>
      </c>
      <c r="AH338" s="74">
        <v>55.460800000000006</v>
      </c>
      <c r="AI338" s="74">
        <v>0</v>
      </c>
      <c r="AJ338" s="74">
        <v>1.0608000000000002</v>
      </c>
      <c r="AK338" s="74">
        <v>0</v>
      </c>
      <c r="AL338" s="75">
        <v>54.400000000000006</v>
      </c>
      <c r="AM338" s="202">
        <f t="shared" si="88"/>
        <v>3.3553430011313387E-3</v>
      </c>
      <c r="AN338" s="202">
        <f t="shared" si="89"/>
        <v>0</v>
      </c>
      <c r="AO338" s="202">
        <f t="shared" si="90"/>
        <v>6.4177722925023154E-5</v>
      </c>
      <c r="AP338" s="202">
        <f t="shared" si="91"/>
        <v>0</v>
      </c>
      <c r="AQ338" s="202">
        <f t="shared" si="92"/>
        <v>3.2911652782063156E-3</v>
      </c>
      <c r="AR338" s="209" t="s">
        <v>896</v>
      </c>
      <c r="AS338" s="223" t="s">
        <v>1658</v>
      </c>
      <c r="AT338" s="234">
        <v>325211</v>
      </c>
      <c r="AU338" s="244">
        <f t="shared" si="93"/>
        <v>55.460800000000006</v>
      </c>
      <c r="AV338" s="244">
        <f t="shared" si="94"/>
        <v>0</v>
      </c>
      <c r="AW338" s="244">
        <f t="shared" si="95"/>
        <v>1.0608000000000002</v>
      </c>
      <c r="AX338" s="244">
        <f t="shared" si="96"/>
        <v>0</v>
      </c>
      <c r="AY338" s="244">
        <f t="shared" si="97"/>
        <v>54.400000000000006</v>
      </c>
      <c r="AZ338">
        <v>1.3284660343010445E-2</v>
      </c>
    </row>
    <row r="339" spans="1:52" ht="15.75" customHeight="1" x14ac:dyDescent="0.35">
      <c r="A339" s="67" t="s">
        <v>896</v>
      </c>
      <c r="B339" s="67" t="s">
        <v>902</v>
      </c>
      <c r="C339" s="67" t="s">
        <v>71</v>
      </c>
      <c r="D339" s="67" t="s">
        <v>71</v>
      </c>
      <c r="E339" s="67" t="s">
        <v>917</v>
      </c>
      <c r="F339" s="139" t="s">
        <v>918</v>
      </c>
      <c r="G339" s="67" t="str">
        <f t="shared" si="99"/>
        <v>Continuous</v>
      </c>
      <c r="H339" s="67" t="s">
        <v>300</v>
      </c>
      <c r="I339" s="139" t="s">
        <v>919</v>
      </c>
      <c r="J339" s="95"/>
      <c r="K339" s="228">
        <v>250</v>
      </c>
      <c r="L339" s="269" t="s">
        <v>910</v>
      </c>
      <c r="M339" s="269"/>
      <c r="N339" s="269"/>
      <c r="O339" s="269" t="s">
        <v>912</v>
      </c>
      <c r="P339" s="269"/>
      <c r="Q339" s="269"/>
      <c r="R339" s="269"/>
      <c r="S339" s="66" t="s">
        <v>901</v>
      </c>
      <c r="T339" s="70"/>
      <c r="U339" s="238">
        <f t="shared" si="83"/>
        <v>0.46199999999999997</v>
      </c>
      <c r="V339" s="238">
        <f t="shared" si="84"/>
        <v>0</v>
      </c>
      <c r="W339" s="238">
        <f t="shared" si="85"/>
        <v>0.46199999999999997</v>
      </c>
      <c r="X339" s="238">
        <f t="shared" si="86"/>
        <v>0</v>
      </c>
      <c r="Y339" s="238">
        <f t="shared" si="87"/>
        <v>0</v>
      </c>
      <c r="Z339" s="70">
        <v>0.46199999999999997</v>
      </c>
      <c r="AA339" s="70"/>
      <c r="AB339" s="70">
        <v>0.46199999999999997</v>
      </c>
      <c r="AC339" s="70"/>
      <c r="AD339" s="71"/>
      <c r="AE339" s="158"/>
      <c r="AF339" s="72"/>
      <c r="AG339" s="74">
        <v>8</v>
      </c>
      <c r="AH339" s="74">
        <v>3.6959999999999997</v>
      </c>
      <c r="AI339" s="74">
        <v>0</v>
      </c>
      <c r="AJ339" s="74">
        <v>3.6959999999999997</v>
      </c>
      <c r="AK339" s="74">
        <v>0</v>
      </c>
      <c r="AL339" s="75">
        <v>0</v>
      </c>
      <c r="AM339" s="202">
        <f t="shared" si="88"/>
        <v>2.2360564096048788E-4</v>
      </c>
      <c r="AN339" s="202">
        <f t="shared" si="89"/>
        <v>0</v>
      </c>
      <c r="AO339" s="202">
        <f t="shared" si="90"/>
        <v>2.2360564096048788E-4</v>
      </c>
      <c r="AP339" s="202">
        <f t="shared" si="91"/>
        <v>0</v>
      </c>
      <c r="AQ339" s="202">
        <f t="shared" si="92"/>
        <v>0</v>
      </c>
      <c r="AR339" s="209" t="s">
        <v>896</v>
      </c>
      <c r="AS339" s="223" t="s">
        <v>1658</v>
      </c>
      <c r="AT339" s="234">
        <v>325211</v>
      </c>
      <c r="AU339" s="244">
        <f t="shared" si="93"/>
        <v>3.6959999999999997</v>
      </c>
      <c r="AV339" s="244">
        <f t="shared" si="94"/>
        <v>0</v>
      </c>
      <c r="AW339" s="244">
        <f t="shared" si="95"/>
        <v>3.6959999999999997</v>
      </c>
      <c r="AX339" s="244">
        <f t="shared" si="96"/>
        <v>0</v>
      </c>
      <c r="AY339" s="244">
        <f t="shared" si="97"/>
        <v>0</v>
      </c>
      <c r="AZ339">
        <v>8.8531187122736408E-4</v>
      </c>
    </row>
    <row r="340" spans="1:52" ht="15.75" customHeight="1" x14ac:dyDescent="0.35">
      <c r="A340" s="67" t="s">
        <v>896</v>
      </c>
      <c r="B340" s="67" t="s">
        <v>902</v>
      </c>
      <c r="C340" s="67" t="s">
        <v>48</v>
      </c>
      <c r="D340" s="67" t="s">
        <v>49</v>
      </c>
      <c r="E340" s="67" t="s">
        <v>920</v>
      </c>
      <c r="F340" s="139" t="s">
        <v>921</v>
      </c>
      <c r="G340" s="67" t="str">
        <f t="shared" si="99"/>
        <v>Continuous</v>
      </c>
      <c r="H340" s="67" t="s">
        <v>53</v>
      </c>
      <c r="I340" s="139" t="s">
        <v>922</v>
      </c>
      <c r="J340" s="95" t="s">
        <v>923</v>
      </c>
      <c r="K340" s="228">
        <v>250</v>
      </c>
      <c r="L340" s="269" t="s">
        <v>910</v>
      </c>
      <c r="M340" s="269" t="s">
        <v>924</v>
      </c>
      <c r="N340" s="269"/>
      <c r="O340" s="269" t="s">
        <v>925</v>
      </c>
      <c r="P340" s="269"/>
      <c r="Q340" s="269"/>
      <c r="R340" s="269"/>
      <c r="S340" s="66" t="s">
        <v>901</v>
      </c>
      <c r="T340" s="70"/>
      <c r="U340" s="238">
        <f t="shared" si="83"/>
        <v>2.819</v>
      </c>
      <c r="V340" s="238">
        <f t="shared" si="84"/>
        <v>0</v>
      </c>
      <c r="W340" s="238">
        <f t="shared" si="85"/>
        <v>0.11899999999999999</v>
      </c>
      <c r="X340" s="238">
        <f t="shared" si="86"/>
        <v>2.7</v>
      </c>
      <c r="Y340" s="238">
        <f t="shared" si="87"/>
        <v>0</v>
      </c>
      <c r="Z340" s="70">
        <v>2.819</v>
      </c>
      <c r="AA340" s="70"/>
      <c r="AB340" s="70">
        <v>0.11899999999999999</v>
      </c>
      <c r="AC340" s="70">
        <v>2.7</v>
      </c>
      <c r="AD340" s="71"/>
      <c r="AE340" s="158"/>
      <c r="AF340" s="72"/>
      <c r="AG340" s="74">
        <v>8</v>
      </c>
      <c r="AH340" s="74">
        <v>22.552</v>
      </c>
      <c r="AI340" s="74">
        <v>0</v>
      </c>
      <c r="AJ340" s="74">
        <v>0.95199999999999996</v>
      </c>
      <c r="AK340" s="74">
        <v>21.6</v>
      </c>
      <c r="AL340" s="75">
        <v>0</v>
      </c>
      <c r="AM340" s="202">
        <f t="shared" si="88"/>
        <v>1.3643816057740592E-3</v>
      </c>
      <c r="AN340" s="202">
        <f t="shared" si="89"/>
        <v>0</v>
      </c>
      <c r="AO340" s="202">
        <f t="shared" si="90"/>
        <v>5.7595392368610516E-5</v>
      </c>
      <c r="AP340" s="202">
        <f t="shared" si="91"/>
        <v>1.3067862134054488E-3</v>
      </c>
      <c r="AQ340" s="202">
        <f t="shared" si="92"/>
        <v>0</v>
      </c>
      <c r="AR340" s="209" t="s">
        <v>896</v>
      </c>
      <c r="AS340" s="223" t="s">
        <v>1658</v>
      </c>
      <c r="AT340" s="234">
        <v>325211</v>
      </c>
      <c r="AU340" s="244">
        <f t="shared" si="93"/>
        <v>22.552</v>
      </c>
      <c r="AV340" s="244">
        <f t="shared" si="94"/>
        <v>0</v>
      </c>
      <c r="AW340" s="244">
        <f t="shared" si="95"/>
        <v>0.95199999999999996</v>
      </c>
      <c r="AX340" s="244">
        <f t="shared" si="96"/>
        <v>21.6</v>
      </c>
      <c r="AY340" s="244">
        <f t="shared" si="97"/>
        <v>0</v>
      </c>
      <c r="AZ340">
        <v>5.4019354220561462E-3</v>
      </c>
    </row>
    <row r="341" spans="1:52" ht="15.75" customHeight="1" x14ac:dyDescent="0.35">
      <c r="A341" s="78" t="s">
        <v>896</v>
      </c>
      <c r="B341" s="78" t="s">
        <v>902</v>
      </c>
      <c r="C341" s="78" t="s">
        <v>74</v>
      </c>
      <c r="D341" s="78" t="s">
        <v>83</v>
      </c>
      <c r="E341" s="78" t="s">
        <v>926</v>
      </c>
      <c r="F341" s="145" t="s">
        <v>927</v>
      </c>
      <c r="G341" s="78" t="str">
        <f t="shared" si="99"/>
        <v>Continuous</v>
      </c>
      <c r="H341" s="78" t="s">
        <v>83</v>
      </c>
      <c r="I341" s="145" t="s">
        <v>916</v>
      </c>
      <c r="J341" s="79" t="s">
        <v>87</v>
      </c>
      <c r="K341" s="228">
        <v>92</v>
      </c>
      <c r="L341" s="269" t="s">
        <v>928</v>
      </c>
      <c r="M341" s="269"/>
      <c r="N341" s="269"/>
      <c r="O341" s="269" t="s">
        <v>929</v>
      </c>
      <c r="P341" s="269"/>
      <c r="Q341" s="269"/>
      <c r="R341" s="269"/>
      <c r="S341" s="77" t="s">
        <v>901</v>
      </c>
      <c r="T341" s="82"/>
      <c r="U341" s="238">
        <f t="shared" si="83"/>
        <v>0.61899999999999999</v>
      </c>
      <c r="V341" s="238">
        <f t="shared" si="84"/>
        <v>0</v>
      </c>
      <c r="W341" s="238">
        <f t="shared" si="85"/>
        <v>0.11899999999999999</v>
      </c>
      <c r="X341" s="238">
        <f t="shared" si="86"/>
        <v>0</v>
      </c>
      <c r="Y341" s="238">
        <f t="shared" si="87"/>
        <v>0.5</v>
      </c>
      <c r="Z341" s="70">
        <v>0.61899999999999999</v>
      </c>
      <c r="AA341" s="70"/>
      <c r="AB341" s="70">
        <v>0.11899999999999999</v>
      </c>
      <c r="AC341" s="70"/>
      <c r="AD341" s="129">
        <v>0.5</v>
      </c>
      <c r="AE341" s="81">
        <v>121.1</v>
      </c>
      <c r="AF341" s="84">
        <v>7.9</v>
      </c>
      <c r="AG341" s="86">
        <v>8</v>
      </c>
      <c r="AH341" s="86">
        <v>4.952</v>
      </c>
      <c r="AI341" s="86">
        <v>0</v>
      </c>
      <c r="AJ341" s="86">
        <v>0.95199999999999996</v>
      </c>
      <c r="AK341" s="86">
        <v>0</v>
      </c>
      <c r="AL341" s="87">
        <v>4</v>
      </c>
      <c r="AM341" s="202">
        <f t="shared" si="88"/>
        <v>2.9959283929554544E-4</v>
      </c>
      <c r="AN341" s="202">
        <f t="shared" si="89"/>
        <v>0</v>
      </c>
      <c r="AO341" s="202">
        <f t="shared" si="90"/>
        <v>5.7595392368610516E-5</v>
      </c>
      <c r="AP341" s="202">
        <f t="shared" si="91"/>
        <v>0</v>
      </c>
      <c r="AQ341" s="202">
        <f t="shared" si="92"/>
        <v>2.4199744692693495E-4</v>
      </c>
      <c r="AR341" s="213" t="s">
        <v>896</v>
      </c>
      <c r="AS341" s="223" t="s">
        <v>1658</v>
      </c>
      <c r="AT341" s="234">
        <v>325211</v>
      </c>
      <c r="AU341" s="244">
        <f t="shared" si="93"/>
        <v>4.952</v>
      </c>
      <c r="AV341" s="244">
        <f t="shared" si="94"/>
        <v>0</v>
      </c>
      <c r="AW341" s="244">
        <f t="shared" si="95"/>
        <v>0.95199999999999996</v>
      </c>
      <c r="AX341" s="244">
        <f t="shared" si="96"/>
        <v>0</v>
      </c>
      <c r="AY341" s="244">
        <f t="shared" si="97"/>
        <v>4</v>
      </c>
      <c r="AZ341">
        <v>1.1861646066877454E-3</v>
      </c>
    </row>
    <row r="342" spans="1:52" ht="15.75" customHeight="1" x14ac:dyDescent="0.35">
      <c r="A342" s="67" t="s">
        <v>896</v>
      </c>
      <c r="B342" s="67" t="s">
        <v>930</v>
      </c>
      <c r="C342" s="67" t="s">
        <v>108</v>
      </c>
      <c r="D342" s="67" t="s">
        <v>511</v>
      </c>
      <c r="E342" s="67" t="s">
        <v>511</v>
      </c>
      <c r="F342" s="139" t="s">
        <v>931</v>
      </c>
      <c r="G342" s="67" t="s">
        <v>190</v>
      </c>
      <c r="H342" s="67" t="s">
        <v>578</v>
      </c>
      <c r="I342" s="139" t="s">
        <v>932</v>
      </c>
      <c r="J342" s="135" t="s">
        <v>933</v>
      </c>
      <c r="K342" s="228">
        <f t="shared" si="98"/>
        <v>25</v>
      </c>
      <c r="L342" s="269">
        <v>25</v>
      </c>
      <c r="M342" s="269"/>
      <c r="N342" s="269"/>
      <c r="O342" s="269">
        <v>1</v>
      </c>
      <c r="P342" s="269"/>
      <c r="Q342" s="269"/>
      <c r="R342" s="269"/>
      <c r="S342" s="57" t="s">
        <v>934</v>
      </c>
      <c r="T342" s="70"/>
      <c r="U342" s="238">
        <f t="shared" si="83"/>
        <v>0.16439999999999999</v>
      </c>
      <c r="V342" s="238">
        <f t="shared" si="84"/>
        <v>0</v>
      </c>
      <c r="W342" s="238">
        <f t="shared" si="85"/>
        <v>0.16439999999999999</v>
      </c>
      <c r="X342" s="238">
        <f t="shared" si="86"/>
        <v>0</v>
      </c>
      <c r="Y342" s="238">
        <f t="shared" si="87"/>
        <v>0</v>
      </c>
      <c r="Z342" s="82">
        <v>0.16439999999999999</v>
      </c>
      <c r="AA342" s="82"/>
      <c r="AB342" s="82">
        <v>0.16439999999999999</v>
      </c>
      <c r="AC342" s="82"/>
      <c r="AD342" s="83"/>
      <c r="AE342" s="233"/>
      <c r="AF342" s="72"/>
      <c r="AG342" s="73">
        <v>7.13</v>
      </c>
      <c r="AH342" s="73">
        <v>1.172172</v>
      </c>
      <c r="AI342" s="73">
        <v>0</v>
      </c>
      <c r="AJ342" s="73">
        <v>1.172172</v>
      </c>
      <c r="AK342" s="73">
        <v>0</v>
      </c>
      <c r="AL342" s="129">
        <v>0</v>
      </c>
      <c r="AM342" s="202">
        <f t="shared" si="88"/>
        <v>7.0915657839809801E-5</v>
      </c>
      <c r="AN342" s="202">
        <f t="shared" si="89"/>
        <v>0</v>
      </c>
      <c r="AO342" s="202">
        <f t="shared" si="90"/>
        <v>7.0915657839809801E-5</v>
      </c>
      <c r="AP342" s="202">
        <f t="shared" si="91"/>
        <v>0</v>
      </c>
      <c r="AQ342" s="202">
        <f t="shared" si="92"/>
        <v>0</v>
      </c>
      <c r="AR342" s="209" t="s">
        <v>896</v>
      </c>
      <c r="AS342" s="223" t="s">
        <v>1658</v>
      </c>
      <c r="AT342" s="234">
        <v>325211</v>
      </c>
      <c r="AU342" s="244">
        <f t="shared" si="93"/>
        <v>1.172172</v>
      </c>
      <c r="AV342" s="244">
        <f t="shared" si="94"/>
        <v>0</v>
      </c>
      <c r="AW342" s="244">
        <f t="shared" si="95"/>
        <v>1.172172</v>
      </c>
      <c r="AX342" s="244">
        <f t="shared" si="96"/>
        <v>0</v>
      </c>
      <c r="AY342" s="244">
        <f t="shared" si="97"/>
        <v>0</v>
      </c>
      <c r="AZ342">
        <v>2.8077321069272781E-4</v>
      </c>
    </row>
    <row r="343" spans="1:52" ht="15.75" customHeight="1" x14ac:dyDescent="0.35">
      <c r="A343" s="67" t="s">
        <v>896</v>
      </c>
      <c r="B343" s="67" t="s">
        <v>930</v>
      </c>
      <c r="C343" s="67" t="s">
        <v>48</v>
      </c>
      <c r="D343" s="67" t="s">
        <v>935</v>
      </c>
      <c r="E343" s="67" t="s">
        <v>935</v>
      </c>
      <c r="F343" s="139" t="s">
        <v>936</v>
      </c>
      <c r="G343" s="67" t="s">
        <v>190</v>
      </c>
      <c r="H343" s="67" t="s">
        <v>578</v>
      </c>
      <c r="I343" s="139" t="s">
        <v>937</v>
      </c>
      <c r="J343" s="159" t="s">
        <v>938</v>
      </c>
      <c r="K343" s="228">
        <v>70</v>
      </c>
      <c r="L343" s="269" t="s">
        <v>939</v>
      </c>
      <c r="M343" s="269"/>
      <c r="N343" s="269"/>
      <c r="O343" s="269" t="s">
        <v>940</v>
      </c>
      <c r="P343" s="269"/>
      <c r="Q343" s="269"/>
      <c r="R343" s="269"/>
      <c r="S343" s="67" t="s">
        <v>934</v>
      </c>
      <c r="T343" s="70"/>
      <c r="U343" s="238">
        <f t="shared" si="83"/>
        <v>0.84230487804878051</v>
      </c>
      <c r="V343" s="238">
        <f t="shared" si="84"/>
        <v>0</v>
      </c>
      <c r="W343" s="238">
        <f t="shared" si="85"/>
        <v>9.9500000000000005E-2</v>
      </c>
      <c r="X343" s="238">
        <f t="shared" si="86"/>
        <v>0</v>
      </c>
      <c r="Y343" s="238">
        <f t="shared" si="87"/>
        <v>0.74280487804878048</v>
      </c>
      <c r="Z343" s="70">
        <v>0.84230487804878051</v>
      </c>
      <c r="AA343" s="70"/>
      <c r="AB343" s="70">
        <v>9.9500000000000005E-2</v>
      </c>
      <c r="AC343" s="70"/>
      <c r="AD343" s="71">
        <v>0.74280487804878048</v>
      </c>
      <c r="AE343" s="233">
        <v>120</v>
      </c>
      <c r="AF343" s="72"/>
      <c r="AG343" s="73">
        <v>7.13</v>
      </c>
      <c r="AH343" s="73">
        <v>6.0056337804878046</v>
      </c>
      <c r="AI343" s="73">
        <v>0</v>
      </c>
      <c r="AJ343" s="73">
        <v>0.70943500000000004</v>
      </c>
      <c r="AK343" s="73">
        <v>0</v>
      </c>
      <c r="AL343" s="129">
        <v>5.2961987804878046</v>
      </c>
      <c r="AM343" s="202">
        <f t="shared" si="88"/>
        <v>3.6333701051405131E-4</v>
      </c>
      <c r="AN343" s="202">
        <f t="shared" si="89"/>
        <v>0</v>
      </c>
      <c r="AO343" s="202">
        <f t="shared" si="90"/>
        <v>4.2920364690152523E-5</v>
      </c>
      <c r="AP343" s="202">
        <f t="shared" si="91"/>
        <v>0</v>
      </c>
      <c r="AQ343" s="202">
        <f t="shared" si="92"/>
        <v>3.2041664582389877E-4</v>
      </c>
      <c r="AR343" s="209" t="s">
        <v>896</v>
      </c>
      <c r="AS343" s="223" t="s">
        <v>1658</v>
      </c>
      <c r="AT343" s="234">
        <v>325211</v>
      </c>
      <c r="AU343" s="244">
        <f t="shared" si="93"/>
        <v>6.0056337804878046</v>
      </c>
      <c r="AV343" s="244">
        <f t="shared" si="94"/>
        <v>0</v>
      </c>
      <c r="AW343" s="244">
        <f t="shared" si="95"/>
        <v>0.70943500000000004</v>
      </c>
      <c r="AX343" s="244">
        <f t="shared" si="96"/>
        <v>0</v>
      </c>
      <c r="AY343" s="244">
        <f t="shared" si="97"/>
        <v>5.2961987804878046</v>
      </c>
      <c r="AZ343">
        <v>1.4385440692938115E-3</v>
      </c>
    </row>
    <row r="344" spans="1:52" ht="15.75" customHeight="1" x14ac:dyDescent="0.35">
      <c r="A344" s="67" t="s">
        <v>896</v>
      </c>
      <c r="B344" s="67" t="s">
        <v>930</v>
      </c>
      <c r="C344" s="67" t="s">
        <v>88</v>
      </c>
      <c r="D344" s="67" t="s">
        <v>941</v>
      </c>
      <c r="E344" s="67" t="s">
        <v>941</v>
      </c>
      <c r="F344" s="139" t="s">
        <v>942</v>
      </c>
      <c r="G344" s="67" t="s">
        <v>190</v>
      </c>
      <c r="H344" s="67" t="s">
        <v>741</v>
      </c>
      <c r="I344" s="139" t="s">
        <v>943</v>
      </c>
      <c r="J344" s="95"/>
      <c r="K344" s="228">
        <f t="shared" si="98"/>
        <v>70</v>
      </c>
      <c r="L344" s="269">
        <v>70</v>
      </c>
      <c r="M344" s="269"/>
      <c r="N344" s="269"/>
      <c r="O344" s="269">
        <v>1</v>
      </c>
      <c r="P344" s="269"/>
      <c r="Q344" s="269"/>
      <c r="R344" s="269"/>
      <c r="S344" s="67" t="s">
        <v>934</v>
      </c>
      <c r="T344" s="70"/>
      <c r="U344" s="238">
        <f t="shared" si="83"/>
        <v>0.1651219512195122</v>
      </c>
      <c r="V344" s="238">
        <f t="shared" si="84"/>
        <v>0</v>
      </c>
      <c r="W344" s="238">
        <f t="shared" si="85"/>
        <v>0</v>
      </c>
      <c r="X344" s="238">
        <f t="shared" si="86"/>
        <v>0</v>
      </c>
      <c r="Y344" s="238">
        <f t="shared" si="87"/>
        <v>0.1651219512195122</v>
      </c>
      <c r="Z344" s="70">
        <v>0.1651219512195122</v>
      </c>
      <c r="AA344" s="70"/>
      <c r="AB344" s="70"/>
      <c r="AC344" s="70"/>
      <c r="AD344" s="71">
        <v>0.1651219512195122</v>
      </c>
      <c r="AE344" s="233">
        <v>120</v>
      </c>
      <c r="AF344" s="72"/>
      <c r="AG344" s="73">
        <v>7.13</v>
      </c>
      <c r="AH344" s="73">
        <v>1.1773195121951221</v>
      </c>
      <c r="AI344" s="73">
        <v>0</v>
      </c>
      <c r="AJ344" s="73">
        <v>0</v>
      </c>
      <c r="AK344" s="73">
        <v>0</v>
      </c>
      <c r="AL344" s="129">
        <v>1.1773195121951221</v>
      </c>
      <c r="AM344" s="202">
        <f t="shared" si="88"/>
        <v>7.1227079042120994E-5</v>
      </c>
      <c r="AN344" s="202">
        <f t="shared" si="89"/>
        <v>0</v>
      </c>
      <c r="AO344" s="202">
        <f t="shared" si="90"/>
        <v>0</v>
      </c>
      <c r="AP344" s="202">
        <f t="shared" si="91"/>
        <v>0</v>
      </c>
      <c r="AQ344" s="202">
        <f t="shared" si="92"/>
        <v>7.1227079042120994E-5</v>
      </c>
      <c r="AR344" s="209" t="s">
        <v>896</v>
      </c>
      <c r="AS344" s="223" t="s">
        <v>1658</v>
      </c>
      <c r="AT344" s="234">
        <v>325211</v>
      </c>
      <c r="AU344" s="244">
        <f t="shared" si="93"/>
        <v>1.1773195121951221</v>
      </c>
      <c r="AV344" s="244">
        <f t="shared" si="94"/>
        <v>0</v>
      </c>
      <c r="AW344" s="244">
        <f t="shared" si="95"/>
        <v>0</v>
      </c>
      <c r="AX344" s="244">
        <f t="shared" si="96"/>
        <v>0</v>
      </c>
      <c r="AY344" s="244">
        <f t="shared" si="97"/>
        <v>1.1773195121951221</v>
      </c>
      <c r="AZ344">
        <v>2.8200620681113398E-4</v>
      </c>
    </row>
    <row r="345" spans="1:52" ht="15.75" customHeight="1" x14ac:dyDescent="0.35">
      <c r="A345" s="67" t="s">
        <v>896</v>
      </c>
      <c r="B345" s="67" t="s">
        <v>930</v>
      </c>
      <c r="C345" s="67" t="s">
        <v>71</v>
      </c>
      <c r="D345" s="67" t="s">
        <v>71</v>
      </c>
      <c r="E345" s="67" t="s">
        <v>944</v>
      </c>
      <c r="F345" s="139" t="s">
        <v>945</v>
      </c>
      <c r="G345" s="67" t="s">
        <v>52</v>
      </c>
      <c r="H345" s="67" t="s">
        <v>300</v>
      </c>
      <c r="I345" s="139" t="s">
        <v>919</v>
      </c>
      <c r="J345" s="105">
        <v>0.8</v>
      </c>
      <c r="K345" s="228">
        <f t="shared" si="98"/>
        <v>50</v>
      </c>
      <c r="L345" s="269">
        <v>50</v>
      </c>
      <c r="M345" s="269"/>
      <c r="N345" s="269"/>
      <c r="O345" s="269">
        <v>3.4</v>
      </c>
      <c r="P345" s="269"/>
      <c r="Q345" s="269"/>
      <c r="R345" s="269"/>
      <c r="S345" s="67" t="s">
        <v>934</v>
      </c>
      <c r="T345" s="70"/>
      <c r="U345" s="238">
        <f t="shared" si="83"/>
        <v>0.2838</v>
      </c>
      <c r="V345" s="238">
        <f t="shared" si="84"/>
        <v>0</v>
      </c>
      <c r="W345" s="238">
        <f t="shared" si="85"/>
        <v>0.2838</v>
      </c>
      <c r="X345" s="238">
        <f t="shared" si="86"/>
        <v>0</v>
      </c>
      <c r="Y345" s="238">
        <f t="shared" si="87"/>
        <v>0</v>
      </c>
      <c r="Z345" s="70">
        <v>0.2838</v>
      </c>
      <c r="AA345" s="70"/>
      <c r="AB345" s="70">
        <v>0.2838</v>
      </c>
      <c r="AC345" s="70"/>
      <c r="AD345" s="71"/>
      <c r="AE345" s="233">
        <v>225</v>
      </c>
      <c r="AF345" s="72">
        <v>13.7</v>
      </c>
      <c r="AG345" s="73">
        <v>7.13</v>
      </c>
      <c r="AH345" s="73">
        <v>2.0234939999999999</v>
      </c>
      <c r="AI345" s="73">
        <v>0</v>
      </c>
      <c r="AJ345" s="73">
        <v>2.0234939999999999</v>
      </c>
      <c r="AK345" s="73">
        <v>0</v>
      </c>
      <c r="AL345" s="129">
        <v>0</v>
      </c>
      <c r="AM345" s="202">
        <f t="shared" si="88"/>
        <v>1.2242009546799282E-4</v>
      </c>
      <c r="AN345" s="202">
        <f t="shared" si="89"/>
        <v>0</v>
      </c>
      <c r="AO345" s="202">
        <f t="shared" si="90"/>
        <v>1.2242009546799282E-4</v>
      </c>
      <c r="AP345" s="202">
        <f t="shared" si="91"/>
        <v>0</v>
      </c>
      <c r="AQ345" s="202">
        <f t="shared" si="92"/>
        <v>0</v>
      </c>
      <c r="AR345" s="209" t="s">
        <v>896</v>
      </c>
      <c r="AS345" s="223" t="s">
        <v>1658</v>
      </c>
      <c r="AT345" s="234">
        <v>325211</v>
      </c>
      <c r="AU345" s="244">
        <f t="shared" si="93"/>
        <v>2.0234939999999999</v>
      </c>
      <c r="AV345" s="244">
        <f t="shared" si="94"/>
        <v>0</v>
      </c>
      <c r="AW345" s="244">
        <f t="shared" si="95"/>
        <v>2.0234939999999999</v>
      </c>
      <c r="AX345" s="244">
        <f t="shared" si="96"/>
        <v>0</v>
      </c>
      <c r="AY345" s="244">
        <f t="shared" si="97"/>
        <v>0</v>
      </c>
      <c r="AZ345">
        <v>4.8469244035642423E-4</v>
      </c>
    </row>
    <row r="346" spans="1:52" ht="15.75" customHeight="1" x14ac:dyDescent="0.35">
      <c r="A346" s="67" t="s">
        <v>896</v>
      </c>
      <c r="B346" s="67" t="s">
        <v>930</v>
      </c>
      <c r="C346" s="67" t="s">
        <v>74</v>
      </c>
      <c r="D346" s="67" t="s">
        <v>83</v>
      </c>
      <c r="E346" s="67" t="s">
        <v>83</v>
      </c>
      <c r="F346" s="139" t="s">
        <v>927</v>
      </c>
      <c r="G346" s="67" t="s">
        <v>52</v>
      </c>
      <c r="H346" s="67" t="s">
        <v>915</v>
      </c>
      <c r="I346" s="67" t="s">
        <v>946</v>
      </c>
      <c r="J346" s="105">
        <v>0.75</v>
      </c>
      <c r="K346" s="228">
        <v>92</v>
      </c>
      <c r="L346" s="269" t="s">
        <v>928</v>
      </c>
      <c r="M346" s="269"/>
      <c r="N346" s="269"/>
      <c r="O346" s="269" t="s">
        <v>929</v>
      </c>
      <c r="P346" s="269"/>
      <c r="Q346" s="269"/>
      <c r="R346" s="269"/>
      <c r="S346" s="67" t="s">
        <v>934</v>
      </c>
      <c r="T346" s="70"/>
      <c r="U346" s="238">
        <f t="shared" si="83"/>
        <v>1.1585365853658536E-2</v>
      </c>
      <c r="V346" s="238">
        <f t="shared" si="84"/>
        <v>0</v>
      </c>
      <c r="W346" s="238">
        <f t="shared" si="85"/>
        <v>0</v>
      </c>
      <c r="X346" s="238">
        <f t="shared" si="86"/>
        <v>0</v>
      </c>
      <c r="Y346" s="238">
        <f t="shared" si="87"/>
        <v>1.1585365853658536E-2</v>
      </c>
      <c r="Z346" s="70">
        <v>1.1585365853658536E-2</v>
      </c>
      <c r="AA346" s="70"/>
      <c r="AB346" s="70"/>
      <c r="AC346" s="70"/>
      <c r="AD346" s="71">
        <v>1.1585365853658536E-2</v>
      </c>
      <c r="AE346" s="233">
        <v>120</v>
      </c>
      <c r="AF346" s="72"/>
      <c r="AG346" s="73">
        <v>7.13</v>
      </c>
      <c r="AH346" s="73">
        <v>8.260365853658537E-2</v>
      </c>
      <c r="AI346" s="73">
        <v>0</v>
      </c>
      <c r="AJ346" s="73">
        <v>0</v>
      </c>
      <c r="AK346" s="73">
        <v>0</v>
      </c>
      <c r="AL346" s="129">
        <v>8.260365853658537E-2</v>
      </c>
      <c r="AM346" s="202">
        <f t="shared" si="88"/>
        <v>4.9974686181694933E-6</v>
      </c>
      <c r="AN346" s="202">
        <f t="shared" si="89"/>
        <v>0</v>
      </c>
      <c r="AO346" s="202">
        <f t="shared" si="90"/>
        <v>0</v>
      </c>
      <c r="AP346" s="202">
        <f t="shared" si="91"/>
        <v>0</v>
      </c>
      <c r="AQ346" s="202">
        <f t="shared" si="92"/>
        <v>4.9974686181694933E-6</v>
      </c>
      <c r="AR346" s="209" t="s">
        <v>896</v>
      </c>
      <c r="AS346" s="223" t="s">
        <v>1658</v>
      </c>
      <c r="AT346" s="234">
        <v>325211</v>
      </c>
      <c r="AU346" s="244">
        <f t="shared" si="93"/>
        <v>8.260365853658537E-2</v>
      </c>
      <c r="AV346" s="244">
        <f t="shared" si="94"/>
        <v>0</v>
      </c>
      <c r="AW346" s="244">
        <f t="shared" si="95"/>
        <v>0</v>
      </c>
      <c r="AX346" s="244">
        <f t="shared" si="96"/>
        <v>0</v>
      </c>
      <c r="AY346" s="244">
        <f t="shared" si="97"/>
        <v>8.260365853658537E-2</v>
      </c>
      <c r="AZ346">
        <v>1.9786255278476902E-5</v>
      </c>
    </row>
    <row r="347" spans="1:52" ht="15.75" customHeight="1" x14ac:dyDescent="0.35">
      <c r="A347" s="67" t="s">
        <v>896</v>
      </c>
      <c r="B347" s="67" t="s">
        <v>930</v>
      </c>
      <c r="C347" s="67" t="s">
        <v>108</v>
      </c>
      <c r="D347" s="67" t="s">
        <v>947</v>
      </c>
      <c r="E347" s="67" t="s">
        <v>948</v>
      </c>
      <c r="F347" s="139" t="s">
        <v>949</v>
      </c>
      <c r="G347" s="67" t="s">
        <v>52</v>
      </c>
      <c r="H347" s="67" t="s">
        <v>514</v>
      </c>
      <c r="I347" s="139" t="s">
        <v>950</v>
      </c>
      <c r="J347" s="95"/>
      <c r="K347" s="228">
        <f>AVERAGE(25,35)</f>
        <v>30</v>
      </c>
      <c r="L347" s="269" t="s">
        <v>951</v>
      </c>
      <c r="M347" s="269"/>
      <c r="N347" s="269"/>
      <c r="O347" s="269">
        <v>1</v>
      </c>
      <c r="P347" s="269"/>
      <c r="Q347" s="269"/>
      <c r="R347" s="269"/>
      <c r="S347" s="67" t="s">
        <v>934</v>
      </c>
      <c r="T347" s="70"/>
      <c r="U347" s="238">
        <f t="shared" si="83"/>
        <v>4.65E-2</v>
      </c>
      <c r="V347" s="238">
        <f t="shared" si="84"/>
        <v>0</v>
      </c>
      <c r="W347" s="238">
        <f t="shared" si="85"/>
        <v>4.65E-2</v>
      </c>
      <c r="X347" s="238">
        <f t="shared" si="86"/>
        <v>0</v>
      </c>
      <c r="Y347" s="238">
        <f t="shared" si="87"/>
        <v>0</v>
      </c>
      <c r="Z347" s="70">
        <v>4.65E-2</v>
      </c>
      <c r="AA347" s="70"/>
      <c r="AB347" s="70">
        <v>4.65E-2</v>
      </c>
      <c r="AC347" s="70"/>
      <c r="AD347" s="71"/>
      <c r="AE347" s="233"/>
      <c r="AF347" s="72"/>
      <c r="AG347" s="73">
        <v>7.13</v>
      </c>
      <c r="AH347" s="73">
        <v>0.33154499999999998</v>
      </c>
      <c r="AI347" s="73">
        <v>0</v>
      </c>
      <c r="AJ347" s="73">
        <v>0.33154499999999998</v>
      </c>
      <c r="AK347" s="73">
        <v>0</v>
      </c>
      <c r="AL347" s="129">
        <v>0</v>
      </c>
      <c r="AM347" s="202">
        <f t="shared" si="88"/>
        <v>2.0058260885347661E-5</v>
      </c>
      <c r="AN347" s="202">
        <f t="shared" si="89"/>
        <v>0</v>
      </c>
      <c r="AO347" s="202">
        <f t="shared" si="90"/>
        <v>2.0058260885347661E-5</v>
      </c>
      <c r="AP347" s="202">
        <f t="shared" si="91"/>
        <v>0</v>
      </c>
      <c r="AQ347" s="202">
        <f t="shared" si="92"/>
        <v>0</v>
      </c>
      <c r="AR347" s="209" t="s">
        <v>896</v>
      </c>
      <c r="AS347" s="223" t="s">
        <v>1658</v>
      </c>
      <c r="AT347" s="234">
        <v>325211</v>
      </c>
      <c r="AU347" s="244">
        <f t="shared" si="93"/>
        <v>0.33154499999999998</v>
      </c>
      <c r="AV347" s="244">
        <f t="shared" si="94"/>
        <v>0</v>
      </c>
      <c r="AW347" s="244">
        <f t="shared" si="95"/>
        <v>0.33154499999999998</v>
      </c>
      <c r="AX347" s="244">
        <f t="shared" si="96"/>
        <v>0</v>
      </c>
      <c r="AY347" s="244">
        <f t="shared" si="97"/>
        <v>0</v>
      </c>
      <c r="AZ347">
        <v>7.9415780396665703E-5</v>
      </c>
    </row>
    <row r="348" spans="1:52" ht="15.75" customHeight="1" x14ac:dyDescent="0.35">
      <c r="A348" s="67" t="s">
        <v>896</v>
      </c>
      <c r="B348" s="67" t="s">
        <v>930</v>
      </c>
      <c r="C348" s="67" t="s">
        <v>154</v>
      </c>
      <c r="D348" s="67" t="s">
        <v>422</v>
      </c>
      <c r="E348" s="67" t="s">
        <v>422</v>
      </c>
      <c r="F348" s="139" t="s">
        <v>952</v>
      </c>
      <c r="G348" s="67" t="s">
        <v>52</v>
      </c>
      <c r="H348" s="67" t="s">
        <v>177</v>
      </c>
      <c r="I348" s="67" t="s">
        <v>953</v>
      </c>
      <c r="J348" s="95"/>
      <c r="K348" s="228">
        <v>30</v>
      </c>
      <c r="L348" s="269" t="s">
        <v>951</v>
      </c>
      <c r="M348" s="269"/>
      <c r="N348" s="269"/>
      <c r="O348" s="269">
        <v>1</v>
      </c>
      <c r="P348" s="269"/>
      <c r="Q348" s="269"/>
      <c r="R348" s="269"/>
      <c r="S348" s="67" t="s">
        <v>934</v>
      </c>
      <c r="T348" s="70"/>
      <c r="U348" s="238">
        <f t="shared" si="83"/>
        <v>6.6299999999999998E-2</v>
      </c>
      <c r="V348" s="238">
        <f t="shared" si="84"/>
        <v>0</v>
      </c>
      <c r="W348" s="238">
        <f t="shared" si="85"/>
        <v>6.6299999999999998E-2</v>
      </c>
      <c r="X348" s="238">
        <f t="shared" si="86"/>
        <v>0</v>
      </c>
      <c r="Y348" s="238">
        <f t="shared" si="87"/>
        <v>0</v>
      </c>
      <c r="Z348" s="70">
        <v>6.6299999999999998E-2</v>
      </c>
      <c r="AA348" s="70"/>
      <c r="AB348" s="70">
        <v>6.6299999999999998E-2</v>
      </c>
      <c r="AC348" s="70"/>
      <c r="AD348" s="71"/>
      <c r="AE348" s="233"/>
      <c r="AF348" s="72"/>
      <c r="AG348" s="73">
        <v>7.13</v>
      </c>
      <c r="AH348" s="73">
        <v>0.472719</v>
      </c>
      <c r="AI348" s="73">
        <v>0</v>
      </c>
      <c r="AJ348" s="73">
        <v>0.472719</v>
      </c>
      <c r="AK348" s="73">
        <v>0</v>
      </c>
      <c r="AL348" s="129">
        <v>0</v>
      </c>
      <c r="AM348" s="202">
        <f t="shared" si="88"/>
        <v>2.8599197778463439E-5</v>
      </c>
      <c r="AN348" s="202">
        <f t="shared" si="89"/>
        <v>0</v>
      </c>
      <c r="AO348" s="202">
        <f t="shared" si="90"/>
        <v>2.8599197778463439E-5</v>
      </c>
      <c r="AP348" s="202">
        <f t="shared" si="91"/>
        <v>0</v>
      </c>
      <c r="AQ348" s="202">
        <f t="shared" si="92"/>
        <v>0</v>
      </c>
      <c r="AR348" s="209" t="s">
        <v>896</v>
      </c>
      <c r="AS348" s="223" t="s">
        <v>1658</v>
      </c>
      <c r="AT348" s="234">
        <v>325211</v>
      </c>
      <c r="AU348" s="244">
        <f t="shared" si="93"/>
        <v>0.472719</v>
      </c>
      <c r="AV348" s="244">
        <f t="shared" si="94"/>
        <v>0</v>
      </c>
      <c r="AW348" s="244">
        <f t="shared" si="95"/>
        <v>0.472719</v>
      </c>
      <c r="AX348" s="244">
        <f t="shared" si="96"/>
        <v>0</v>
      </c>
      <c r="AY348" s="244">
        <f t="shared" si="97"/>
        <v>0</v>
      </c>
      <c r="AZ348">
        <v>1.1323153204943949E-4</v>
      </c>
    </row>
    <row r="349" spans="1:52" ht="15.75" customHeight="1" x14ac:dyDescent="0.35">
      <c r="A349" s="67" t="s">
        <v>896</v>
      </c>
      <c r="B349" s="67" t="s">
        <v>930</v>
      </c>
      <c r="C349" s="67" t="s">
        <v>74</v>
      </c>
      <c r="D349" s="67" t="s">
        <v>75</v>
      </c>
      <c r="E349" s="67" t="s">
        <v>75</v>
      </c>
      <c r="F349" s="139" t="s">
        <v>954</v>
      </c>
      <c r="G349" s="67" t="s">
        <v>52</v>
      </c>
      <c r="H349" s="67" t="s">
        <v>76</v>
      </c>
      <c r="I349" s="139" t="s">
        <v>955</v>
      </c>
      <c r="J349" s="76" t="s">
        <v>78</v>
      </c>
      <c r="K349" s="228">
        <v>60</v>
      </c>
      <c r="L349" s="269" t="s">
        <v>956</v>
      </c>
      <c r="M349" s="269"/>
      <c r="N349" s="269"/>
      <c r="O349" s="269">
        <v>1</v>
      </c>
      <c r="P349" s="269"/>
      <c r="Q349" s="269"/>
      <c r="R349" s="269"/>
      <c r="S349" s="67" t="s">
        <v>934</v>
      </c>
      <c r="T349" s="70"/>
      <c r="U349" s="238">
        <f t="shared" si="83"/>
        <v>0.84804878048780497</v>
      </c>
      <c r="V349" s="238">
        <f t="shared" si="84"/>
        <v>0</v>
      </c>
      <c r="W349" s="238">
        <f t="shared" si="85"/>
        <v>0</v>
      </c>
      <c r="X349" s="238">
        <f t="shared" si="86"/>
        <v>0</v>
      </c>
      <c r="Y349" s="238">
        <f t="shared" si="87"/>
        <v>0.84804878048780497</v>
      </c>
      <c r="Z349" s="70">
        <v>0.84804878048780497</v>
      </c>
      <c r="AA349" s="70"/>
      <c r="AB349" s="70"/>
      <c r="AC349" s="70"/>
      <c r="AD349" s="71">
        <v>0.84804878048780497</v>
      </c>
      <c r="AE349" s="233">
        <v>190</v>
      </c>
      <c r="AF349" s="72"/>
      <c r="AG349" s="73">
        <v>7.13</v>
      </c>
      <c r="AH349" s="73">
        <v>6.0465878048780493</v>
      </c>
      <c r="AI349" s="73">
        <v>0</v>
      </c>
      <c r="AJ349" s="73">
        <v>0</v>
      </c>
      <c r="AK349" s="73">
        <v>0</v>
      </c>
      <c r="AL349" s="129">
        <v>6.0465878048780493</v>
      </c>
      <c r="AM349" s="202">
        <f t="shared" si="88"/>
        <v>3.6581470285000693E-4</v>
      </c>
      <c r="AN349" s="202">
        <f t="shared" si="89"/>
        <v>0</v>
      </c>
      <c r="AO349" s="202">
        <f t="shared" si="90"/>
        <v>0</v>
      </c>
      <c r="AP349" s="202">
        <f t="shared" si="91"/>
        <v>0</v>
      </c>
      <c r="AQ349" s="202">
        <f t="shared" si="92"/>
        <v>3.6581470285000693E-4</v>
      </c>
      <c r="AR349" s="209" t="s">
        <v>896</v>
      </c>
      <c r="AS349" s="223" t="s">
        <v>1658</v>
      </c>
      <c r="AT349" s="234">
        <v>325211</v>
      </c>
      <c r="AU349" s="244">
        <f t="shared" si="93"/>
        <v>6.0465878048780493</v>
      </c>
      <c r="AV349" s="244">
        <f t="shared" si="94"/>
        <v>0</v>
      </c>
      <c r="AW349" s="244">
        <f t="shared" si="95"/>
        <v>0</v>
      </c>
      <c r="AX349" s="244">
        <f t="shared" si="96"/>
        <v>0</v>
      </c>
      <c r="AY349" s="244">
        <f t="shared" si="97"/>
        <v>6.0465878048780493</v>
      </c>
      <c r="AZ349">
        <v>1.4483538863845093E-3</v>
      </c>
    </row>
    <row r="350" spans="1:52" ht="15.75" customHeight="1" x14ac:dyDescent="0.35">
      <c r="A350" s="67" t="s">
        <v>896</v>
      </c>
      <c r="B350" s="67" t="s">
        <v>930</v>
      </c>
      <c r="C350" s="67" t="s">
        <v>154</v>
      </c>
      <c r="D350" s="67" t="s">
        <v>162</v>
      </c>
      <c r="E350" s="67" t="s">
        <v>957</v>
      </c>
      <c r="F350" s="139" t="s">
        <v>958</v>
      </c>
      <c r="G350" s="67" t="s">
        <v>52</v>
      </c>
      <c r="H350" s="67" t="s">
        <v>214</v>
      </c>
      <c r="I350" s="139" t="s">
        <v>959</v>
      </c>
      <c r="J350" s="95"/>
      <c r="K350" s="228">
        <f>AVERAGE(25,35)</f>
        <v>30</v>
      </c>
      <c r="L350" s="269" t="s">
        <v>951</v>
      </c>
      <c r="M350" s="269"/>
      <c r="N350" s="269"/>
      <c r="O350" s="269">
        <v>1</v>
      </c>
      <c r="P350" s="269"/>
      <c r="Q350" s="269"/>
      <c r="R350" s="269"/>
      <c r="S350" s="67" t="s">
        <v>934</v>
      </c>
      <c r="T350" s="70"/>
      <c r="U350" s="238">
        <f t="shared" si="83"/>
        <v>5.2999999999999999E-2</v>
      </c>
      <c r="V350" s="238">
        <f t="shared" si="84"/>
        <v>0</v>
      </c>
      <c r="W350" s="238">
        <f t="shared" si="85"/>
        <v>5.2999999999999999E-2</v>
      </c>
      <c r="X350" s="238">
        <f t="shared" si="86"/>
        <v>0</v>
      </c>
      <c r="Y350" s="238">
        <f t="shared" si="87"/>
        <v>0</v>
      </c>
      <c r="Z350" s="70">
        <v>5.2999999999999999E-2</v>
      </c>
      <c r="AA350" s="70"/>
      <c r="AB350" s="70">
        <v>5.2999999999999999E-2</v>
      </c>
      <c r="AC350" s="70"/>
      <c r="AD350" s="71"/>
      <c r="AE350" s="233"/>
      <c r="AF350" s="72"/>
      <c r="AG350" s="73">
        <v>7.13</v>
      </c>
      <c r="AH350" s="73">
        <v>0.37789</v>
      </c>
      <c r="AI350" s="73">
        <v>0</v>
      </c>
      <c r="AJ350" s="73">
        <v>0.37789</v>
      </c>
      <c r="AK350" s="73">
        <v>0</v>
      </c>
      <c r="AL350" s="129">
        <v>0</v>
      </c>
      <c r="AM350" s="202">
        <f t="shared" si="88"/>
        <v>2.2862103804804862E-5</v>
      </c>
      <c r="AN350" s="202">
        <f t="shared" si="89"/>
        <v>0</v>
      </c>
      <c r="AO350" s="202">
        <f t="shared" si="90"/>
        <v>2.2862103804804862E-5</v>
      </c>
      <c r="AP350" s="202">
        <f t="shared" si="91"/>
        <v>0</v>
      </c>
      <c r="AQ350" s="202">
        <f t="shared" si="92"/>
        <v>0</v>
      </c>
      <c r="AR350" s="209" t="s">
        <v>896</v>
      </c>
      <c r="AS350" s="223" t="s">
        <v>1658</v>
      </c>
      <c r="AT350" s="234">
        <v>325211</v>
      </c>
      <c r="AU350" s="244">
        <f t="shared" si="93"/>
        <v>0.37789</v>
      </c>
      <c r="AV350" s="244">
        <f t="shared" si="94"/>
        <v>0</v>
      </c>
      <c r="AW350" s="244">
        <f t="shared" si="95"/>
        <v>0.37789</v>
      </c>
      <c r="AX350" s="244">
        <f t="shared" si="96"/>
        <v>0</v>
      </c>
      <c r="AY350" s="244">
        <f t="shared" si="97"/>
        <v>0</v>
      </c>
      <c r="AZ350">
        <v>9.0516910989748005E-5</v>
      </c>
    </row>
    <row r="351" spans="1:52" ht="15.75" customHeight="1" x14ac:dyDescent="0.35">
      <c r="A351" s="67" t="s">
        <v>896</v>
      </c>
      <c r="B351" s="67" t="s">
        <v>930</v>
      </c>
      <c r="C351" s="67" t="s">
        <v>108</v>
      </c>
      <c r="D351" s="67" t="s">
        <v>947</v>
      </c>
      <c r="E351" s="67" t="s">
        <v>960</v>
      </c>
      <c r="F351" s="139" t="s">
        <v>961</v>
      </c>
      <c r="G351" s="67" t="s">
        <v>52</v>
      </c>
      <c r="H351" s="67" t="s">
        <v>514</v>
      </c>
      <c r="I351" s="139" t="s">
        <v>950</v>
      </c>
      <c r="J351" s="95"/>
      <c r="K351" s="228">
        <f>AVERAGE(25,35)</f>
        <v>30</v>
      </c>
      <c r="L351" s="269" t="s">
        <v>951</v>
      </c>
      <c r="M351" s="269"/>
      <c r="N351" s="269"/>
      <c r="O351" s="269">
        <v>1</v>
      </c>
      <c r="P351" s="269"/>
      <c r="Q351" s="269"/>
      <c r="R351" s="269"/>
      <c r="S351" s="67" t="s">
        <v>934</v>
      </c>
      <c r="T351" s="70"/>
      <c r="U351" s="238">
        <f t="shared" si="83"/>
        <v>0.1916219512195122</v>
      </c>
      <c r="V351" s="238">
        <f t="shared" si="84"/>
        <v>0</v>
      </c>
      <c r="W351" s="238">
        <f t="shared" si="85"/>
        <v>2.6499999999999999E-2</v>
      </c>
      <c r="X351" s="238">
        <f t="shared" si="86"/>
        <v>0</v>
      </c>
      <c r="Y351" s="238">
        <f t="shared" si="87"/>
        <v>0.1651219512195122</v>
      </c>
      <c r="Z351" s="70">
        <v>0.1916219512195122</v>
      </c>
      <c r="AA351" s="70"/>
      <c r="AB351" s="70">
        <v>2.6499999999999999E-2</v>
      </c>
      <c r="AC351" s="70"/>
      <c r="AD351" s="71">
        <v>0.1651219512195122</v>
      </c>
      <c r="AE351" s="233">
        <v>120</v>
      </c>
      <c r="AF351" s="72"/>
      <c r="AG351" s="73">
        <v>7.13</v>
      </c>
      <c r="AH351" s="73">
        <v>1.366264512195122</v>
      </c>
      <c r="AI351" s="73">
        <v>0</v>
      </c>
      <c r="AJ351" s="73">
        <v>0.188945</v>
      </c>
      <c r="AK351" s="73">
        <v>0</v>
      </c>
      <c r="AL351" s="129">
        <v>1.1773195121951221</v>
      </c>
      <c r="AM351" s="202">
        <f t="shared" si="88"/>
        <v>8.265813094452342E-5</v>
      </c>
      <c r="AN351" s="202">
        <f t="shared" si="89"/>
        <v>0</v>
      </c>
      <c r="AO351" s="202">
        <f t="shared" si="90"/>
        <v>1.1431051902402431E-5</v>
      </c>
      <c r="AP351" s="202">
        <f t="shared" si="91"/>
        <v>0</v>
      </c>
      <c r="AQ351" s="202">
        <f t="shared" si="92"/>
        <v>7.1227079042120994E-5</v>
      </c>
      <c r="AR351" s="209" t="s">
        <v>896</v>
      </c>
      <c r="AS351" s="223" t="s">
        <v>1658</v>
      </c>
      <c r="AT351" s="234">
        <v>325211</v>
      </c>
      <c r="AU351" s="244">
        <f t="shared" si="93"/>
        <v>1.366264512195122</v>
      </c>
      <c r="AV351" s="244">
        <f t="shared" si="94"/>
        <v>0</v>
      </c>
      <c r="AW351" s="244">
        <f t="shared" si="95"/>
        <v>0.188945</v>
      </c>
      <c r="AX351" s="244">
        <f t="shared" si="96"/>
        <v>0</v>
      </c>
      <c r="AY351" s="244">
        <f t="shared" si="97"/>
        <v>1.1773195121951221</v>
      </c>
      <c r="AZ351">
        <v>3.2726466230600796E-4</v>
      </c>
    </row>
    <row r="352" spans="1:52" ht="15.75" customHeight="1" x14ac:dyDescent="0.35">
      <c r="A352" s="67" t="s">
        <v>896</v>
      </c>
      <c r="B352" s="67" t="s">
        <v>930</v>
      </c>
      <c r="C352" s="67" t="s">
        <v>108</v>
      </c>
      <c r="D352" s="67" t="s">
        <v>962</v>
      </c>
      <c r="E352" s="67" t="s">
        <v>962</v>
      </c>
      <c r="F352" s="139" t="s">
        <v>963</v>
      </c>
      <c r="G352" s="67" t="s">
        <v>52</v>
      </c>
      <c r="H352" s="67" t="s">
        <v>514</v>
      </c>
      <c r="I352" s="139" t="s">
        <v>964</v>
      </c>
      <c r="J352" s="105">
        <v>0.78</v>
      </c>
      <c r="K352" s="228">
        <f>AVERAGE(155,165)</f>
        <v>160</v>
      </c>
      <c r="L352" s="269" t="s">
        <v>965</v>
      </c>
      <c r="M352" s="269"/>
      <c r="N352" s="269"/>
      <c r="O352" s="269">
        <v>1</v>
      </c>
      <c r="P352" s="269"/>
      <c r="Q352" s="269"/>
      <c r="R352" s="269"/>
      <c r="S352" s="67" t="s">
        <v>934</v>
      </c>
      <c r="T352" s="70"/>
      <c r="U352" s="238">
        <f t="shared" si="83"/>
        <v>0.49159512195121957</v>
      </c>
      <c r="V352" s="238">
        <f t="shared" si="84"/>
        <v>0</v>
      </c>
      <c r="W352" s="238">
        <f t="shared" si="85"/>
        <v>7.4399999999999994E-2</v>
      </c>
      <c r="X352" s="238">
        <f t="shared" si="86"/>
        <v>0</v>
      </c>
      <c r="Y352" s="238">
        <f t="shared" si="87"/>
        <v>0.41719512195121955</v>
      </c>
      <c r="Z352" s="70">
        <v>0.49159512195121957</v>
      </c>
      <c r="AA352" s="70"/>
      <c r="AB352" s="70">
        <v>7.4399999999999994E-2</v>
      </c>
      <c r="AC352" s="70"/>
      <c r="AD352" s="71">
        <v>0.41719512195121955</v>
      </c>
      <c r="AE352" s="233">
        <v>145</v>
      </c>
      <c r="AF352" s="72"/>
      <c r="AG352" s="73">
        <v>7.13</v>
      </c>
      <c r="AH352" s="73">
        <v>3.5050732195121954</v>
      </c>
      <c r="AI352" s="73">
        <v>0</v>
      </c>
      <c r="AJ352" s="73">
        <v>0.53047199999999994</v>
      </c>
      <c r="AK352" s="73">
        <v>0</v>
      </c>
      <c r="AL352" s="129">
        <v>2.9746012195121954</v>
      </c>
      <c r="AM352" s="202">
        <f t="shared" si="88"/>
        <v>2.1205469260348087E-4</v>
      </c>
      <c r="AN352" s="202">
        <f t="shared" si="89"/>
        <v>0</v>
      </c>
      <c r="AO352" s="202">
        <f t="shared" si="90"/>
        <v>3.2093217416556254E-5</v>
      </c>
      <c r="AP352" s="202">
        <f t="shared" si="91"/>
        <v>0</v>
      </c>
      <c r="AQ352" s="202">
        <f t="shared" si="92"/>
        <v>1.7996147518692461E-4</v>
      </c>
      <c r="AR352" s="209" t="s">
        <v>896</v>
      </c>
      <c r="AS352" s="223" t="s">
        <v>1658</v>
      </c>
      <c r="AT352" s="234">
        <v>325211</v>
      </c>
      <c r="AU352" s="244">
        <f t="shared" si="93"/>
        <v>3.5050732195121954</v>
      </c>
      <c r="AV352" s="244">
        <f t="shared" si="94"/>
        <v>0</v>
      </c>
      <c r="AW352" s="244">
        <f t="shared" si="95"/>
        <v>0.53047199999999994</v>
      </c>
      <c r="AX352" s="244">
        <f t="shared" si="96"/>
        <v>0</v>
      </c>
      <c r="AY352" s="244">
        <f t="shared" si="97"/>
        <v>2.9746012195121954</v>
      </c>
      <c r="AZ352">
        <v>8.3957871503118596E-4</v>
      </c>
    </row>
    <row r="353" spans="1:52" ht="15.75" customHeight="1" x14ac:dyDescent="0.35">
      <c r="A353" s="67" t="s">
        <v>896</v>
      </c>
      <c r="B353" s="67" t="s">
        <v>930</v>
      </c>
      <c r="C353" s="67" t="s">
        <v>108</v>
      </c>
      <c r="D353" s="67" t="s">
        <v>966</v>
      </c>
      <c r="E353" s="67" t="s">
        <v>966</v>
      </c>
      <c r="F353" s="139" t="s">
        <v>967</v>
      </c>
      <c r="G353" s="67" t="s">
        <v>52</v>
      </c>
      <c r="H353" s="67" t="s">
        <v>968</v>
      </c>
      <c r="I353" s="139" t="s">
        <v>969</v>
      </c>
      <c r="J353" s="95"/>
      <c r="K353" s="228">
        <f>75/2</f>
        <v>37.5</v>
      </c>
      <c r="L353" s="269" t="s">
        <v>965</v>
      </c>
      <c r="M353" s="269"/>
      <c r="N353" s="269" t="s">
        <v>970</v>
      </c>
      <c r="O353" s="269">
        <v>1</v>
      </c>
      <c r="P353" s="269"/>
      <c r="Q353" s="269"/>
      <c r="R353" s="269"/>
      <c r="S353" s="67" t="s">
        <v>934</v>
      </c>
      <c r="T353" s="70"/>
      <c r="U353" s="238">
        <f t="shared" si="83"/>
        <v>3.49E-2</v>
      </c>
      <c r="V353" s="238">
        <f t="shared" si="84"/>
        <v>0</v>
      </c>
      <c r="W353" s="238">
        <f t="shared" si="85"/>
        <v>3.49E-2</v>
      </c>
      <c r="X353" s="238">
        <f t="shared" si="86"/>
        <v>0</v>
      </c>
      <c r="Y353" s="238">
        <f t="shared" si="87"/>
        <v>0</v>
      </c>
      <c r="Z353" s="70">
        <v>3.49E-2</v>
      </c>
      <c r="AA353" s="70"/>
      <c r="AB353" s="70">
        <v>3.49E-2</v>
      </c>
      <c r="AC353" s="70"/>
      <c r="AD353" s="71"/>
      <c r="AE353" s="233"/>
      <c r="AF353" s="72"/>
      <c r="AG353" s="73">
        <v>7.13</v>
      </c>
      <c r="AH353" s="73">
        <v>0.248837</v>
      </c>
      <c r="AI353" s="73">
        <v>0</v>
      </c>
      <c r="AJ353" s="73">
        <v>0.248837</v>
      </c>
      <c r="AK353" s="73">
        <v>0</v>
      </c>
      <c r="AL353" s="129">
        <v>0</v>
      </c>
      <c r="AM353" s="202">
        <f t="shared" si="88"/>
        <v>1.5054479675239428E-5</v>
      </c>
      <c r="AN353" s="202">
        <f t="shared" si="89"/>
        <v>0</v>
      </c>
      <c r="AO353" s="202">
        <f t="shared" si="90"/>
        <v>1.5054479675239428E-5</v>
      </c>
      <c r="AP353" s="202">
        <f t="shared" si="91"/>
        <v>0</v>
      </c>
      <c r="AQ353" s="202">
        <f t="shared" si="92"/>
        <v>0</v>
      </c>
      <c r="AR353" s="209" t="s">
        <v>896</v>
      </c>
      <c r="AS353" s="223" t="s">
        <v>1658</v>
      </c>
      <c r="AT353" s="234">
        <v>325211</v>
      </c>
      <c r="AU353" s="244">
        <f t="shared" si="93"/>
        <v>0.248837</v>
      </c>
      <c r="AV353" s="244">
        <f t="shared" si="94"/>
        <v>0</v>
      </c>
      <c r="AW353" s="244">
        <f t="shared" si="95"/>
        <v>0.248837</v>
      </c>
      <c r="AX353" s="244">
        <f t="shared" si="96"/>
        <v>0</v>
      </c>
      <c r="AY353" s="244">
        <f t="shared" si="97"/>
        <v>0</v>
      </c>
      <c r="AZ353">
        <v>5.9604531953626521E-5</v>
      </c>
    </row>
    <row r="354" spans="1:52" ht="15.75" customHeight="1" x14ac:dyDescent="0.35">
      <c r="A354" s="67" t="s">
        <v>896</v>
      </c>
      <c r="B354" s="67" t="s">
        <v>930</v>
      </c>
      <c r="C354" s="67" t="s">
        <v>74</v>
      </c>
      <c r="D354" s="67" t="s">
        <v>971</v>
      </c>
      <c r="E354" s="67" t="s">
        <v>971</v>
      </c>
      <c r="F354" s="139" t="s">
        <v>972</v>
      </c>
      <c r="G354" s="67" t="s">
        <v>52</v>
      </c>
      <c r="H354" s="67" t="s">
        <v>514</v>
      </c>
      <c r="I354" s="139" t="s">
        <v>950</v>
      </c>
      <c r="J354" s="95"/>
      <c r="K354" s="228">
        <f>AVERAGE(160,180)</f>
        <v>170</v>
      </c>
      <c r="L354" s="269" t="s">
        <v>973</v>
      </c>
      <c r="M354" s="269"/>
      <c r="N354" s="269"/>
      <c r="O354" s="269">
        <v>1</v>
      </c>
      <c r="P354" s="269"/>
      <c r="Q354" s="269"/>
      <c r="R354" s="269"/>
      <c r="S354" s="67" t="s">
        <v>934</v>
      </c>
      <c r="T354" s="70"/>
      <c r="U354" s="238">
        <f t="shared" si="83"/>
        <v>0.16963414634146343</v>
      </c>
      <c r="V354" s="238">
        <f t="shared" si="84"/>
        <v>0</v>
      </c>
      <c r="W354" s="238">
        <f t="shared" si="85"/>
        <v>0</v>
      </c>
      <c r="X354" s="238">
        <f t="shared" si="86"/>
        <v>0</v>
      </c>
      <c r="Y354" s="238">
        <f t="shared" si="87"/>
        <v>0.16963414634146343</v>
      </c>
      <c r="Z354" s="70">
        <v>0.16963414634146343</v>
      </c>
      <c r="AA354" s="70"/>
      <c r="AB354" s="70"/>
      <c r="AC354" s="70"/>
      <c r="AD354" s="71">
        <v>0.16963414634146343</v>
      </c>
      <c r="AE354" s="233">
        <v>190</v>
      </c>
      <c r="AF354" s="72"/>
      <c r="AG354" s="73">
        <v>7.13</v>
      </c>
      <c r="AH354" s="73">
        <v>1.2094914634146343</v>
      </c>
      <c r="AI354" s="73">
        <v>0</v>
      </c>
      <c r="AJ354" s="73">
        <v>0</v>
      </c>
      <c r="AK354" s="73">
        <v>0</v>
      </c>
      <c r="AL354" s="129">
        <v>1.2094914634146343</v>
      </c>
      <c r="AM354" s="202">
        <f t="shared" si="88"/>
        <v>7.3173461556565956E-5</v>
      </c>
      <c r="AN354" s="202">
        <f t="shared" si="89"/>
        <v>0</v>
      </c>
      <c r="AO354" s="202">
        <f t="shared" si="90"/>
        <v>0</v>
      </c>
      <c r="AP354" s="202">
        <f t="shared" si="91"/>
        <v>0</v>
      </c>
      <c r="AQ354" s="202">
        <f t="shared" si="92"/>
        <v>7.3173461556565956E-5</v>
      </c>
      <c r="AR354" s="209" t="s">
        <v>896</v>
      </c>
      <c r="AS354" s="223" t="s">
        <v>1658</v>
      </c>
      <c r="AT354" s="234">
        <v>325211</v>
      </c>
      <c r="AU354" s="244">
        <f t="shared" si="93"/>
        <v>1.2094914634146343</v>
      </c>
      <c r="AV354" s="244">
        <f t="shared" si="94"/>
        <v>0</v>
      </c>
      <c r="AW354" s="244">
        <f t="shared" si="95"/>
        <v>0</v>
      </c>
      <c r="AX354" s="244">
        <f t="shared" si="96"/>
        <v>0</v>
      </c>
      <c r="AY354" s="244">
        <f t="shared" si="97"/>
        <v>1.2094914634146343</v>
      </c>
      <c r="AZ354">
        <v>2.8971243255117231E-4</v>
      </c>
    </row>
    <row r="355" spans="1:52" ht="15.75" customHeight="1" x14ac:dyDescent="0.35">
      <c r="A355" s="67" t="s">
        <v>896</v>
      </c>
      <c r="B355" s="67" t="s">
        <v>930</v>
      </c>
      <c r="C355" s="67" t="s">
        <v>124</v>
      </c>
      <c r="D355" s="67" t="s">
        <v>124</v>
      </c>
      <c r="E355" s="67" t="s">
        <v>124</v>
      </c>
      <c r="F355" s="139" t="s">
        <v>974</v>
      </c>
      <c r="G355" s="67" t="s">
        <v>52</v>
      </c>
      <c r="H355" s="139" t="s">
        <v>975</v>
      </c>
      <c r="I355" s="139" t="s">
        <v>739</v>
      </c>
      <c r="J355" s="98"/>
      <c r="K355" s="228">
        <v>25</v>
      </c>
      <c r="L355" s="269" t="s">
        <v>1683</v>
      </c>
      <c r="M355" s="269"/>
      <c r="N355" s="269"/>
      <c r="O355" s="269">
        <v>1</v>
      </c>
      <c r="P355" s="269"/>
      <c r="Q355" s="269"/>
      <c r="R355" s="269"/>
      <c r="S355" s="67" t="s">
        <v>934</v>
      </c>
      <c r="T355" s="70"/>
      <c r="U355" s="238">
        <f t="shared" si="83"/>
        <v>2.6499999999999999E-2</v>
      </c>
      <c r="V355" s="238">
        <f t="shared" si="84"/>
        <v>0</v>
      </c>
      <c r="W355" s="238">
        <f t="shared" si="85"/>
        <v>2.6499999999999999E-2</v>
      </c>
      <c r="X355" s="238">
        <f t="shared" si="86"/>
        <v>0</v>
      </c>
      <c r="Y355" s="238">
        <f t="shared" si="87"/>
        <v>0</v>
      </c>
      <c r="Z355" s="70">
        <v>2.6499999999999999E-2</v>
      </c>
      <c r="AA355" s="70"/>
      <c r="AB355" s="70">
        <v>2.6499999999999999E-2</v>
      </c>
      <c r="AC355" s="70"/>
      <c r="AD355" s="71"/>
      <c r="AE355" s="233"/>
      <c r="AF355" s="72"/>
      <c r="AG355" s="73">
        <v>7.13</v>
      </c>
      <c r="AH355" s="73">
        <v>0.188945</v>
      </c>
      <c r="AI355" s="73">
        <v>0</v>
      </c>
      <c r="AJ355" s="73">
        <v>0.188945</v>
      </c>
      <c r="AK355" s="73">
        <v>0</v>
      </c>
      <c r="AL355" s="129">
        <v>0</v>
      </c>
      <c r="AM355" s="202">
        <f t="shared" si="88"/>
        <v>1.1431051902402431E-5</v>
      </c>
      <c r="AN355" s="202">
        <f t="shared" si="89"/>
        <v>0</v>
      </c>
      <c r="AO355" s="202">
        <f t="shared" si="90"/>
        <v>1.1431051902402431E-5</v>
      </c>
      <c r="AP355" s="202">
        <f t="shared" si="91"/>
        <v>0</v>
      </c>
      <c r="AQ355" s="202">
        <f t="shared" si="92"/>
        <v>0</v>
      </c>
      <c r="AR355" s="209" t="s">
        <v>896</v>
      </c>
      <c r="AS355" s="223" t="s">
        <v>1658</v>
      </c>
      <c r="AT355" s="234">
        <v>325211</v>
      </c>
      <c r="AU355" s="244">
        <f t="shared" si="93"/>
        <v>0.188945</v>
      </c>
      <c r="AV355" s="244">
        <f t="shared" si="94"/>
        <v>0</v>
      </c>
      <c r="AW355" s="244">
        <f t="shared" si="95"/>
        <v>0.188945</v>
      </c>
      <c r="AX355" s="244">
        <f t="shared" si="96"/>
        <v>0</v>
      </c>
      <c r="AY355" s="244">
        <f t="shared" si="97"/>
        <v>0</v>
      </c>
      <c r="AZ355">
        <v>4.5258455494874003E-5</v>
      </c>
    </row>
    <row r="356" spans="1:52" ht="15.75" customHeight="1" x14ac:dyDescent="0.35">
      <c r="A356" s="57" t="s">
        <v>277</v>
      </c>
      <c r="B356" s="57" t="s">
        <v>976</v>
      </c>
      <c r="C356" s="57" t="s">
        <v>977</v>
      </c>
      <c r="D356" s="57" t="s">
        <v>978</v>
      </c>
      <c r="E356" s="57" t="s">
        <v>979</v>
      </c>
      <c r="F356" s="157" t="s">
        <v>980</v>
      </c>
      <c r="G356" s="57" t="s">
        <v>52</v>
      </c>
      <c r="H356" s="57" t="s">
        <v>741</v>
      </c>
      <c r="I356" s="157" t="s">
        <v>136</v>
      </c>
      <c r="J356" s="90"/>
      <c r="K356" s="228">
        <v>90</v>
      </c>
      <c r="L356" s="269"/>
      <c r="M356" s="269">
        <v>15</v>
      </c>
      <c r="N356" s="269">
        <v>90</v>
      </c>
      <c r="O356" s="269">
        <v>1</v>
      </c>
      <c r="P356" s="269">
        <v>1</v>
      </c>
      <c r="Q356" s="269"/>
      <c r="R356" s="269"/>
      <c r="S356" s="56" t="s">
        <v>981</v>
      </c>
      <c r="T356" s="60"/>
      <c r="U356" s="238">
        <f t="shared" si="83"/>
        <v>1.0307337382637913</v>
      </c>
      <c r="V356" s="238">
        <f t="shared" si="84"/>
        <v>0</v>
      </c>
      <c r="W356" s="238">
        <f t="shared" si="85"/>
        <v>0.81752814657461492</v>
      </c>
      <c r="X356" s="238">
        <f t="shared" si="86"/>
        <v>0</v>
      </c>
      <c r="Y356" s="238">
        <f t="shared" si="87"/>
        <v>0.21320559168917649</v>
      </c>
      <c r="Z356" s="70">
        <v>1.0307337382637913</v>
      </c>
      <c r="AA356" s="70"/>
      <c r="AB356" s="70">
        <v>0.81752814657461492</v>
      </c>
      <c r="AC356" s="70"/>
      <c r="AD356" s="71">
        <v>0.21320559168917649</v>
      </c>
      <c r="AE356" s="141">
        <v>540</v>
      </c>
      <c r="AF356" s="160">
        <v>85</v>
      </c>
      <c r="AG356" s="63">
        <v>3.3210000000000002</v>
      </c>
      <c r="AH356" s="63">
        <v>3.4230667447740513</v>
      </c>
      <c r="AI356" s="63">
        <v>0</v>
      </c>
      <c r="AJ356" s="63">
        <v>2.7150109747742963</v>
      </c>
      <c r="AK356" s="63">
        <v>0</v>
      </c>
      <c r="AL356" s="125">
        <v>0.70805576999975517</v>
      </c>
      <c r="AM356" s="202">
        <f t="shared" si="88"/>
        <v>2.070933532239536E-4</v>
      </c>
      <c r="AN356" s="202">
        <f t="shared" si="89"/>
        <v>0</v>
      </c>
      <c r="AO356" s="202">
        <f t="shared" si="90"/>
        <v>1.6425643106849716E-4</v>
      </c>
      <c r="AP356" s="202">
        <f t="shared" si="91"/>
        <v>0</v>
      </c>
      <c r="AQ356" s="202">
        <f t="shared" si="92"/>
        <v>4.2836922155456448E-5</v>
      </c>
      <c r="AR356" s="206" t="s">
        <v>277</v>
      </c>
      <c r="AS356" s="223" t="s">
        <v>1658</v>
      </c>
      <c r="AT356" s="234">
        <v>325180</v>
      </c>
      <c r="AU356" s="244">
        <f t="shared" si="93"/>
        <v>3.4230667447740513</v>
      </c>
      <c r="AV356" s="244">
        <f t="shared" si="94"/>
        <v>0</v>
      </c>
      <c r="AW356" s="244">
        <f t="shared" si="95"/>
        <v>2.7150109747742963</v>
      </c>
      <c r="AX356" s="244">
        <f t="shared" si="96"/>
        <v>0</v>
      </c>
      <c r="AY356" s="244">
        <f t="shared" si="97"/>
        <v>0.70805576999975517</v>
      </c>
      <c r="AZ356">
        <v>8.1993550464071359E-4</v>
      </c>
    </row>
    <row r="357" spans="1:52" ht="15.75" customHeight="1" x14ac:dyDescent="0.35">
      <c r="A357" s="67" t="s">
        <v>277</v>
      </c>
      <c r="B357" s="67" t="str">
        <f t="shared" ref="B357:B358" si="100">B358</f>
        <v>Carbon black</v>
      </c>
      <c r="C357" s="67" t="s">
        <v>48</v>
      </c>
      <c r="D357" s="67" t="s">
        <v>982</v>
      </c>
      <c r="E357" s="67" t="s">
        <v>983</v>
      </c>
      <c r="F357" s="139" t="s">
        <v>984</v>
      </c>
      <c r="G357" s="67" t="s">
        <v>52</v>
      </c>
      <c r="H357" s="67" t="s">
        <v>53</v>
      </c>
      <c r="I357" s="139" t="s">
        <v>985</v>
      </c>
      <c r="J357" s="161" t="s">
        <v>664</v>
      </c>
      <c r="K357" s="228">
        <f>N357</f>
        <v>789.5</v>
      </c>
      <c r="L357" s="269" t="s">
        <v>986</v>
      </c>
      <c r="M357" s="269">
        <v>15</v>
      </c>
      <c r="N357" s="269">
        <v>789.5</v>
      </c>
      <c r="O357" s="269" t="s">
        <v>987</v>
      </c>
      <c r="P357" s="269">
        <v>1</v>
      </c>
      <c r="Q357" s="269">
        <v>1.3</v>
      </c>
      <c r="R357" s="269"/>
      <c r="S357" s="66" t="s">
        <v>981</v>
      </c>
      <c r="T357" s="70"/>
      <c r="U357" s="238">
        <f t="shared" si="83"/>
        <v>25.248230984092778</v>
      </c>
      <c r="V357" s="238">
        <f t="shared" si="84"/>
        <v>0</v>
      </c>
      <c r="W357" s="238">
        <f t="shared" si="85"/>
        <v>1.1611566648964418</v>
      </c>
      <c r="X357" s="238">
        <f t="shared" si="86"/>
        <v>24.087074319196336</v>
      </c>
      <c r="Y357" s="238">
        <f t="shared" si="87"/>
        <v>0</v>
      </c>
      <c r="Z357" s="60">
        <v>25.248230984092778</v>
      </c>
      <c r="AA357" s="60"/>
      <c r="AB357" s="60">
        <v>1.1611566648964418</v>
      </c>
      <c r="AC357" s="60">
        <v>24.087074319196336</v>
      </c>
      <c r="AD357" s="61"/>
      <c r="AE357" s="66"/>
      <c r="AF357" s="138"/>
      <c r="AG357" s="73">
        <v>3.3210000000000002</v>
      </c>
      <c r="AH357" s="73">
        <v>83.849375098172118</v>
      </c>
      <c r="AI357" s="73">
        <v>0</v>
      </c>
      <c r="AJ357" s="73">
        <v>3.8562012841210831</v>
      </c>
      <c r="AK357" s="73">
        <v>79.993173814051033</v>
      </c>
      <c r="AL357" s="129">
        <v>0</v>
      </c>
      <c r="AM357" s="202">
        <f t="shared" si="88"/>
        <v>5.0728336750441418E-3</v>
      </c>
      <c r="AN357" s="202">
        <f t="shared" si="89"/>
        <v>0</v>
      </c>
      <c r="AO357" s="202">
        <f t="shared" si="90"/>
        <v>2.3329771639841754E-4</v>
      </c>
      <c r="AP357" s="202">
        <f t="shared" si="91"/>
        <v>4.8395359586457243E-3</v>
      </c>
      <c r="AQ357" s="202">
        <f t="shared" si="92"/>
        <v>0</v>
      </c>
      <c r="AR357" s="209" t="s">
        <v>277</v>
      </c>
      <c r="AS357" s="223" t="s">
        <v>1658</v>
      </c>
      <c r="AT357" s="234">
        <v>325180</v>
      </c>
      <c r="AU357" s="244">
        <f t="shared" si="93"/>
        <v>83.849375098172118</v>
      </c>
      <c r="AV357" s="244">
        <f t="shared" si="94"/>
        <v>0</v>
      </c>
      <c r="AW357" s="244">
        <f t="shared" si="95"/>
        <v>3.8562012841210831</v>
      </c>
      <c r="AX357" s="244">
        <f t="shared" si="96"/>
        <v>79.993173814051033</v>
      </c>
      <c r="AY357" s="244">
        <f t="shared" si="97"/>
        <v>0</v>
      </c>
      <c r="AZ357">
        <v>2.0084644796917725E-2</v>
      </c>
    </row>
    <row r="358" spans="1:52" ht="15.75" customHeight="1" x14ac:dyDescent="0.35">
      <c r="A358" s="67" t="s">
        <v>277</v>
      </c>
      <c r="B358" s="67" t="str">
        <f t="shared" si="100"/>
        <v>Carbon black</v>
      </c>
      <c r="C358" s="67" t="s">
        <v>67</v>
      </c>
      <c r="D358" s="67" t="s">
        <v>68</v>
      </c>
      <c r="E358" s="67" t="s">
        <v>68</v>
      </c>
      <c r="F358" s="139" t="s">
        <v>988</v>
      </c>
      <c r="G358" s="67" t="s">
        <v>52</v>
      </c>
      <c r="H358" s="67" t="s">
        <v>989</v>
      </c>
      <c r="I358" s="139" t="s">
        <v>990</v>
      </c>
      <c r="J358" s="105"/>
      <c r="K358" s="228">
        <f t="shared" si="98"/>
        <v>25</v>
      </c>
      <c r="L358" s="269">
        <v>25</v>
      </c>
      <c r="M358" s="269"/>
      <c r="N358" s="269"/>
      <c r="O358" s="269">
        <v>1</v>
      </c>
      <c r="P358" s="269"/>
      <c r="Q358" s="269"/>
      <c r="R358" s="269"/>
      <c r="S358" s="66" t="s">
        <v>981</v>
      </c>
      <c r="T358" s="70"/>
      <c r="U358" s="238">
        <f t="shared" si="83"/>
        <v>0</v>
      </c>
      <c r="V358" s="238">
        <f t="shared" si="84"/>
        <v>0</v>
      </c>
      <c r="W358" s="238">
        <f t="shared" si="85"/>
        <v>0</v>
      </c>
      <c r="X358" s="238">
        <f t="shared" si="86"/>
        <v>0</v>
      </c>
      <c r="Y358" s="238">
        <f t="shared" si="87"/>
        <v>0</v>
      </c>
      <c r="Z358" s="70">
        <v>0</v>
      </c>
      <c r="AA358" s="70"/>
      <c r="AB358" s="70"/>
      <c r="AC358" s="70"/>
      <c r="AD358" s="71"/>
      <c r="AE358" s="66"/>
      <c r="AF358" s="138"/>
      <c r="AG358" s="73">
        <v>3.3210000000000002</v>
      </c>
      <c r="AH358" s="73">
        <v>0</v>
      </c>
      <c r="AI358" s="73">
        <v>0</v>
      </c>
      <c r="AJ358" s="73">
        <v>0</v>
      </c>
      <c r="AK358" s="73">
        <v>0</v>
      </c>
      <c r="AL358" s="129">
        <v>0</v>
      </c>
      <c r="AM358" s="202">
        <f t="shared" si="88"/>
        <v>0</v>
      </c>
      <c r="AN358" s="202">
        <f t="shared" si="89"/>
        <v>0</v>
      </c>
      <c r="AO358" s="202">
        <f t="shared" si="90"/>
        <v>0</v>
      </c>
      <c r="AP358" s="202">
        <f t="shared" si="91"/>
        <v>0</v>
      </c>
      <c r="AQ358" s="202">
        <f t="shared" si="92"/>
        <v>0</v>
      </c>
      <c r="AR358" s="209" t="s">
        <v>277</v>
      </c>
      <c r="AS358" s="223" t="s">
        <v>1658</v>
      </c>
      <c r="AT358" s="234">
        <v>325180</v>
      </c>
      <c r="AU358" s="244">
        <f t="shared" si="93"/>
        <v>0</v>
      </c>
      <c r="AV358" s="244">
        <f t="shared" si="94"/>
        <v>0</v>
      </c>
      <c r="AW358" s="244">
        <f t="shared" si="95"/>
        <v>0</v>
      </c>
      <c r="AX358" s="244">
        <f t="shared" si="96"/>
        <v>0</v>
      </c>
      <c r="AY358" s="244">
        <f t="shared" si="97"/>
        <v>0</v>
      </c>
      <c r="AZ358">
        <v>0</v>
      </c>
    </row>
    <row r="359" spans="1:52" ht="15.75" customHeight="1" x14ac:dyDescent="0.35">
      <c r="A359" s="67" t="s">
        <v>277</v>
      </c>
      <c r="B359" s="67" t="s">
        <v>976</v>
      </c>
      <c r="C359" s="67" t="s">
        <v>154</v>
      </c>
      <c r="D359" s="67" t="s">
        <v>431</v>
      </c>
      <c r="E359" s="67" t="s">
        <v>991</v>
      </c>
      <c r="F359" s="139" t="s">
        <v>992</v>
      </c>
      <c r="G359" s="67" t="s">
        <v>52</v>
      </c>
      <c r="H359" s="67" t="s">
        <v>993</v>
      </c>
      <c r="I359" s="139" t="s">
        <v>994</v>
      </c>
      <c r="J359" s="113" t="s">
        <v>681</v>
      </c>
      <c r="K359" s="228">
        <f>N359</f>
        <v>231.9</v>
      </c>
      <c r="L359" s="269"/>
      <c r="M359" s="269">
        <v>231</v>
      </c>
      <c r="N359" s="269">
        <v>231.9</v>
      </c>
      <c r="O359" s="269"/>
      <c r="P359" s="269">
        <v>1.1000000000000001</v>
      </c>
      <c r="Q359" s="269">
        <v>1</v>
      </c>
      <c r="R359" s="269"/>
      <c r="S359" s="66" t="s">
        <v>981</v>
      </c>
      <c r="T359" s="70"/>
      <c r="U359" s="238">
        <f t="shared" si="83"/>
        <v>6.1032527881040889E-2</v>
      </c>
      <c r="V359" s="238">
        <f t="shared" si="84"/>
        <v>0</v>
      </c>
      <c r="W359" s="238">
        <f t="shared" si="85"/>
        <v>6.1032527881040889E-2</v>
      </c>
      <c r="X359" s="238">
        <f t="shared" si="86"/>
        <v>0</v>
      </c>
      <c r="Y359" s="238">
        <f t="shared" si="87"/>
        <v>0</v>
      </c>
      <c r="Z359" s="70">
        <v>6.1032527881040889E-2</v>
      </c>
      <c r="AA359" s="70"/>
      <c r="AB359" s="70">
        <v>6.1032527881040889E-2</v>
      </c>
      <c r="AC359" s="70"/>
      <c r="AD359" s="71"/>
      <c r="AE359" s="66"/>
      <c r="AF359" s="138"/>
      <c r="AG359" s="73">
        <v>3.3210000000000002</v>
      </c>
      <c r="AH359" s="73">
        <v>0.20268902509293679</v>
      </c>
      <c r="AI359" s="73">
        <v>0</v>
      </c>
      <c r="AJ359" s="73">
        <v>0.20268902509293679</v>
      </c>
      <c r="AK359" s="73">
        <v>0</v>
      </c>
      <c r="AL359" s="129">
        <v>0</v>
      </c>
      <c r="AM359" s="202">
        <f t="shared" si="88"/>
        <v>1.226255664815004E-5</v>
      </c>
      <c r="AN359" s="202">
        <f t="shared" si="89"/>
        <v>0</v>
      </c>
      <c r="AO359" s="202">
        <f t="shared" si="90"/>
        <v>1.226255664815004E-5</v>
      </c>
      <c r="AP359" s="202">
        <f t="shared" si="91"/>
        <v>0</v>
      </c>
      <c r="AQ359" s="202">
        <f t="shared" si="92"/>
        <v>0</v>
      </c>
      <c r="AR359" s="209" t="s">
        <v>277</v>
      </c>
      <c r="AS359" s="223" t="s">
        <v>1658</v>
      </c>
      <c r="AT359" s="234">
        <v>325180</v>
      </c>
      <c r="AU359" s="244">
        <f t="shared" si="93"/>
        <v>0.20268902509293679</v>
      </c>
      <c r="AV359" s="244">
        <f t="shared" si="94"/>
        <v>0</v>
      </c>
      <c r="AW359" s="244">
        <f t="shared" si="95"/>
        <v>0.20268902509293679</v>
      </c>
      <c r="AX359" s="244">
        <f t="shared" si="96"/>
        <v>0</v>
      </c>
      <c r="AY359" s="244">
        <f t="shared" si="97"/>
        <v>0</v>
      </c>
      <c r="AZ359">
        <v>4.8550595260356612E-5</v>
      </c>
    </row>
    <row r="360" spans="1:52" ht="15.75" customHeight="1" x14ac:dyDescent="0.35">
      <c r="A360" s="67" t="s">
        <v>277</v>
      </c>
      <c r="B360" s="67" t="s">
        <v>976</v>
      </c>
      <c r="C360" s="67" t="s">
        <v>88</v>
      </c>
      <c r="D360" s="67" t="s">
        <v>995</v>
      </c>
      <c r="E360" s="67" t="s">
        <v>996</v>
      </c>
      <c r="F360" s="139" t="s">
        <v>997</v>
      </c>
      <c r="G360" s="67" t="s">
        <v>52</v>
      </c>
      <c r="H360" s="67" t="s">
        <v>975</v>
      </c>
      <c r="I360" s="139" t="s">
        <v>998</v>
      </c>
      <c r="J360" s="95"/>
      <c r="K360" s="228">
        <f t="shared" si="98"/>
        <v>231.9</v>
      </c>
      <c r="L360" s="269">
        <v>231.9</v>
      </c>
      <c r="M360" s="269"/>
      <c r="N360" s="269"/>
      <c r="O360" s="269">
        <v>1</v>
      </c>
      <c r="P360" s="269"/>
      <c r="Q360" s="269"/>
      <c r="R360" s="269"/>
      <c r="S360" s="66" t="s">
        <v>981</v>
      </c>
      <c r="T360" s="70"/>
      <c r="U360" s="238">
        <f t="shared" si="83"/>
        <v>0.11437187997875731</v>
      </c>
      <c r="V360" s="238">
        <f t="shared" si="84"/>
        <v>0</v>
      </c>
      <c r="W360" s="238">
        <f t="shared" si="85"/>
        <v>0.11437187997875731</v>
      </c>
      <c r="X360" s="238">
        <f t="shared" si="86"/>
        <v>0</v>
      </c>
      <c r="Y360" s="238">
        <f t="shared" si="87"/>
        <v>0</v>
      </c>
      <c r="Z360" s="70">
        <v>0.11437187997875731</v>
      </c>
      <c r="AA360" s="70"/>
      <c r="AB360" s="70">
        <v>0.11437187997875731</v>
      </c>
      <c r="AC360" s="70"/>
      <c r="AD360" s="71"/>
      <c r="AE360" s="66"/>
      <c r="AF360" s="138"/>
      <c r="AG360" s="73">
        <v>3.3210000000000002</v>
      </c>
      <c r="AH360" s="73">
        <v>0.37982901340945302</v>
      </c>
      <c r="AI360" s="73">
        <v>0</v>
      </c>
      <c r="AJ360" s="73">
        <v>0.37982901340945302</v>
      </c>
      <c r="AK360" s="73">
        <v>0</v>
      </c>
      <c r="AL360" s="129">
        <v>0</v>
      </c>
      <c r="AM360" s="202">
        <f t="shared" si="88"/>
        <v>2.2979412878466044E-5</v>
      </c>
      <c r="AN360" s="202">
        <f t="shared" si="89"/>
        <v>0</v>
      </c>
      <c r="AO360" s="202">
        <f t="shared" si="90"/>
        <v>2.2979412878466044E-5</v>
      </c>
      <c r="AP360" s="202">
        <f t="shared" si="91"/>
        <v>0</v>
      </c>
      <c r="AQ360" s="202">
        <f t="shared" si="92"/>
        <v>0</v>
      </c>
      <c r="AR360" s="209" t="s">
        <v>277</v>
      </c>
      <c r="AS360" s="223" t="s">
        <v>1658</v>
      </c>
      <c r="AT360" s="234">
        <v>325180</v>
      </c>
      <c r="AU360" s="244">
        <f t="shared" si="93"/>
        <v>0.37982901340945302</v>
      </c>
      <c r="AV360" s="244">
        <f t="shared" si="94"/>
        <v>0</v>
      </c>
      <c r="AW360" s="244">
        <f t="shared" si="95"/>
        <v>0.37982901340945302</v>
      </c>
      <c r="AX360" s="244">
        <f t="shared" si="96"/>
        <v>0</v>
      </c>
      <c r="AY360" s="244">
        <f t="shared" si="97"/>
        <v>0</v>
      </c>
      <c r="AZ360">
        <v>9.0981367588735507E-5</v>
      </c>
    </row>
    <row r="361" spans="1:52" ht="15.75" customHeight="1" x14ac:dyDescent="0.35">
      <c r="A361" s="67" t="s">
        <v>277</v>
      </c>
      <c r="B361" s="67" t="s">
        <v>976</v>
      </c>
      <c r="C361" s="67" t="s">
        <v>108</v>
      </c>
      <c r="D361" s="67" t="s">
        <v>999</v>
      </c>
      <c r="E361" s="67" t="s">
        <v>999</v>
      </c>
      <c r="F361" s="139" t="s">
        <v>1000</v>
      </c>
      <c r="G361" s="67" t="s">
        <v>52</v>
      </c>
      <c r="H361" s="67" t="s">
        <v>890</v>
      </c>
      <c r="I361" s="139" t="s">
        <v>1001</v>
      </c>
      <c r="J361" s="95"/>
      <c r="K361" s="228">
        <v>100</v>
      </c>
      <c r="L361" s="269" t="s">
        <v>1002</v>
      </c>
      <c r="M361" s="269"/>
      <c r="N361" s="269"/>
      <c r="O361" s="269">
        <v>1</v>
      </c>
      <c r="P361" s="269"/>
      <c r="Q361" s="269"/>
      <c r="R361" s="269"/>
      <c r="S361" s="66" t="s">
        <v>981</v>
      </c>
      <c r="T361" s="70"/>
      <c r="U361" s="238">
        <f t="shared" si="83"/>
        <v>0.386197424322889</v>
      </c>
      <c r="V361" s="238">
        <f t="shared" si="84"/>
        <v>0</v>
      </c>
      <c r="W361" s="238">
        <f t="shared" si="85"/>
        <v>0.386197424322889</v>
      </c>
      <c r="X361" s="238">
        <f t="shared" si="86"/>
        <v>0</v>
      </c>
      <c r="Y361" s="238">
        <f t="shared" si="87"/>
        <v>0</v>
      </c>
      <c r="Z361" s="70">
        <v>0.386197424322889</v>
      </c>
      <c r="AA361" s="70"/>
      <c r="AB361" s="70">
        <v>0.386197424322889</v>
      </c>
      <c r="AC361" s="70"/>
      <c r="AD361" s="71"/>
      <c r="AE361" s="66"/>
      <c r="AF361" s="138"/>
      <c r="AG361" s="73">
        <v>3.3210000000000002</v>
      </c>
      <c r="AH361" s="73">
        <v>1.2825616461763145</v>
      </c>
      <c r="AI361" s="73">
        <v>0</v>
      </c>
      <c r="AJ361" s="73">
        <v>1.2825616461763145</v>
      </c>
      <c r="AK361" s="73">
        <v>0</v>
      </c>
      <c r="AL361" s="129">
        <v>0</v>
      </c>
      <c r="AM361" s="202">
        <f t="shared" si="88"/>
        <v>7.7594160975268749E-5</v>
      </c>
      <c r="AN361" s="202">
        <f t="shared" si="89"/>
        <v>0</v>
      </c>
      <c r="AO361" s="202">
        <f t="shared" si="90"/>
        <v>7.7594160975268749E-5</v>
      </c>
      <c r="AP361" s="202">
        <f t="shared" si="91"/>
        <v>0</v>
      </c>
      <c r="AQ361" s="202">
        <f t="shared" si="92"/>
        <v>0</v>
      </c>
      <c r="AR361" s="209" t="s">
        <v>277</v>
      </c>
      <c r="AS361" s="223" t="s">
        <v>1658</v>
      </c>
      <c r="AT361" s="234">
        <v>325180</v>
      </c>
      <c r="AU361" s="244">
        <f t="shared" si="93"/>
        <v>1.2825616461763145</v>
      </c>
      <c r="AV361" s="244">
        <f t="shared" si="94"/>
        <v>0</v>
      </c>
      <c r="AW361" s="244">
        <f t="shared" si="95"/>
        <v>1.2825616461763145</v>
      </c>
      <c r="AX361" s="244">
        <f t="shared" si="96"/>
        <v>0</v>
      </c>
      <c r="AY361" s="244">
        <f t="shared" si="97"/>
        <v>0</v>
      </c>
      <c r="AZ361">
        <v>3.072151111852818E-4</v>
      </c>
    </row>
    <row r="362" spans="1:52" ht="15.75" customHeight="1" x14ac:dyDescent="0.35">
      <c r="A362" s="67" t="s">
        <v>277</v>
      </c>
      <c r="B362" s="67" t="s">
        <v>976</v>
      </c>
      <c r="C362" s="67" t="s">
        <v>74</v>
      </c>
      <c r="D362" s="67" t="s">
        <v>75</v>
      </c>
      <c r="E362" s="67" t="s">
        <v>1003</v>
      </c>
      <c r="F362" s="139" t="s">
        <v>1004</v>
      </c>
      <c r="G362" s="67" t="s">
        <v>52</v>
      </c>
      <c r="H362" s="67" t="s">
        <v>76</v>
      </c>
      <c r="I362" s="67" t="s">
        <v>409</v>
      </c>
      <c r="J362" s="76" t="s">
        <v>78</v>
      </c>
      <c r="K362" s="228">
        <f>(110+180)/2</f>
        <v>145</v>
      </c>
      <c r="L362" s="269"/>
      <c r="M362" s="269">
        <v>90</v>
      </c>
      <c r="N362" s="269" t="s">
        <v>1005</v>
      </c>
      <c r="O362" s="269">
        <v>1</v>
      </c>
      <c r="P362" s="269"/>
      <c r="Q362" s="269"/>
      <c r="R362" s="269"/>
      <c r="S362" s="66" t="s">
        <v>981</v>
      </c>
      <c r="T362" s="70"/>
      <c r="U362" s="238">
        <f t="shared" si="83"/>
        <v>5.0777235216534207</v>
      </c>
      <c r="V362" s="238">
        <f t="shared" si="84"/>
        <v>0</v>
      </c>
      <c r="W362" s="238">
        <f t="shared" si="85"/>
        <v>2.5131040892193309E-2</v>
      </c>
      <c r="X362" s="238">
        <f t="shared" si="86"/>
        <v>5.052592480761227</v>
      </c>
      <c r="Y362" s="238">
        <f t="shared" si="87"/>
        <v>0</v>
      </c>
      <c r="Z362" s="70">
        <v>5.0777235216534207</v>
      </c>
      <c r="AA362" s="70"/>
      <c r="AB362" s="70">
        <v>2.5131040892193309E-2</v>
      </c>
      <c r="AC362" s="70">
        <v>5.052592480761227</v>
      </c>
      <c r="AD362" s="71"/>
      <c r="AE362" s="66"/>
      <c r="AF362" s="138"/>
      <c r="AG362" s="73">
        <v>3.3210000000000002</v>
      </c>
      <c r="AH362" s="73">
        <v>16.863119815411011</v>
      </c>
      <c r="AI362" s="73">
        <v>0</v>
      </c>
      <c r="AJ362" s="73">
        <v>8.3460186802973985E-2</v>
      </c>
      <c r="AK362" s="73">
        <v>16.779659628608037</v>
      </c>
      <c r="AL362" s="129">
        <v>0</v>
      </c>
      <c r="AM362" s="202">
        <f t="shared" si="88"/>
        <v>1.0202079856381178E-3</v>
      </c>
      <c r="AN362" s="202">
        <f t="shared" si="89"/>
        <v>0</v>
      </c>
      <c r="AO362" s="202">
        <f t="shared" si="90"/>
        <v>5.049288031591193E-6</v>
      </c>
      <c r="AP362" s="202">
        <f t="shared" si="91"/>
        <v>1.0151586976065265E-3</v>
      </c>
      <c r="AQ362" s="202">
        <f t="shared" si="92"/>
        <v>0</v>
      </c>
      <c r="AR362" s="209" t="s">
        <v>277</v>
      </c>
      <c r="AS362" s="223" t="s">
        <v>1658</v>
      </c>
      <c r="AT362" s="234">
        <v>325180</v>
      </c>
      <c r="AU362" s="244">
        <f t="shared" si="93"/>
        <v>16.863119815411011</v>
      </c>
      <c r="AV362" s="244">
        <f t="shared" si="94"/>
        <v>0</v>
      </c>
      <c r="AW362" s="244">
        <f t="shared" si="95"/>
        <v>8.3460186802973985E-2</v>
      </c>
      <c r="AX362" s="244">
        <f t="shared" si="96"/>
        <v>16.779659628608037</v>
      </c>
      <c r="AY362" s="244">
        <f t="shared" si="97"/>
        <v>0</v>
      </c>
      <c r="AZ362">
        <v>4.0392641121517227E-3</v>
      </c>
    </row>
    <row r="363" spans="1:52" ht="15.75" customHeight="1" x14ac:dyDescent="0.35">
      <c r="A363" s="67" t="s">
        <v>277</v>
      </c>
      <c r="B363" s="67" t="s">
        <v>976</v>
      </c>
      <c r="C363" s="67" t="s">
        <v>92</v>
      </c>
      <c r="D363" s="67" t="s">
        <v>1006</v>
      </c>
      <c r="E363" s="67" t="s">
        <v>1006</v>
      </c>
      <c r="F363" s="139" t="s">
        <v>1007</v>
      </c>
      <c r="G363" s="67" t="s">
        <v>52</v>
      </c>
      <c r="H363" s="67" t="s">
        <v>1008</v>
      </c>
      <c r="I363" s="67" t="s">
        <v>1009</v>
      </c>
      <c r="J363" s="105"/>
      <c r="K363" s="228">
        <v>2326.8000000000002</v>
      </c>
      <c r="L363" s="269" t="s">
        <v>1010</v>
      </c>
      <c r="M363" s="269"/>
      <c r="N363" s="269"/>
      <c r="O363" s="269">
        <v>1</v>
      </c>
      <c r="P363" s="269"/>
      <c r="Q363" s="269"/>
      <c r="R363" s="269"/>
      <c r="S363" s="66" t="s">
        <v>981</v>
      </c>
      <c r="T363" s="70"/>
      <c r="U363" s="238">
        <f t="shared" si="83"/>
        <v>11.612270033753264</v>
      </c>
      <c r="V363" s="238">
        <f t="shared" si="84"/>
        <v>0</v>
      </c>
      <c r="W363" s="238">
        <f t="shared" si="85"/>
        <v>9.8985528412108351E-2</v>
      </c>
      <c r="X363" s="238">
        <f t="shared" si="86"/>
        <v>11.513284505341156</v>
      </c>
      <c r="Y363" s="238">
        <f t="shared" si="87"/>
        <v>0</v>
      </c>
      <c r="Z363" s="70">
        <v>11.612270033753264</v>
      </c>
      <c r="AA363" s="70"/>
      <c r="AB363" s="70">
        <v>9.8985528412108351E-2</v>
      </c>
      <c r="AC363" s="70">
        <v>11.513284505341156</v>
      </c>
      <c r="AD363" s="71"/>
      <c r="AE363" s="66"/>
      <c r="AF363" s="138"/>
      <c r="AG363" s="73">
        <v>3.3210000000000002</v>
      </c>
      <c r="AH363" s="73">
        <v>38.564348782094591</v>
      </c>
      <c r="AI363" s="73">
        <v>0</v>
      </c>
      <c r="AJ363" s="73">
        <v>0.32873093985661184</v>
      </c>
      <c r="AK363" s="73">
        <v>38.235617842237978</v>
      </c>
      <c r="AL363" s="129">
        <v>0</v>
      </c>
      <c r="AM363" s="202">
        <f t="shared" si="88"/>
        <v>2.3331184869166861E-3</v>
      </c>
      <c r="AN363" s="202">
        <f t="shared" si="89"/>
        <v>0</v>
      </c>
      <c r="AO363" s="202">
        <f t="shared" si="90"/>
        <v>1.9888012042797965E-5</v>
      </c>
      <c r="AP363" s="202">
        <f t="shared" si="91"/>
        <v>2.3132304748738879E-3</v>
      </c>
      <c r="AQ363" s="202">
        <f t="shared" si="92"/>
        <v>0</v>
      </c>
      <c r="AR363" s="209" t="s">
        <v>277</v>
      </c>
      <c r="AS363" s="223" t="s">
        <v>1658</v>
      </c>
      <c r="AT363" s="234">
        <v>325180</v>
      </c>
      <c r="AU363" s="244">
        <f t="shared" si="93"/>
        <v>38.564348782094591</v>
      </c>
      <c r="AV363" s="244">
        <f t="shared" si="94"/>
        <v>0</v>
      </c>
      <c r="AW363" s="244">
        <f t="shared" si="95"/>
        <v>0.32873093985661184</v>
      </c>
      <c r="AX363" s="244">
        <f t="shared" si="96"/>
        <v>38.235617842237978</v>
      </c>
      <c r="AY363" s="244">
        <f t="shared" si="97"/>
        <v>0</v>
      </c>
      <c r="AZ363">
        <v>9.2374122789342216E-3</v>
      </c>
    </row>
    <row r="364" spans="1:52" ht="15.75" customHeight="1" x14ac:dyDescent="0.35">
      <c r="A364" s="67" t="s">
        <v>277</v>
      </c>
      <c r="B364" s="67" t="s">
        <v>976</v>
      </c>
      <c r="C364" s="67" t="s">
        <v>57</v>
      </c>
      <c r="D364" s="67" t="s">
        <v>58</v>
      </c>
      <c r="E364" s="67" t="s">
        <v>58</v>
      </c>
      <c r="F364" s="139" t="s">
        <v>94</v>
      </c>
      <c r="G364" s="67" t="s">
        <v>52</v>
      </c>
      <c r="H364" s="67" t="s">
        <v>95</v>
      </c>
      <c r="I364" s="67" t="s">
        <v>1011</v>
      </c>
      <c r="J364" s="105" t="s">
        <v>667</v>
      </c>
      <c r="K364" s="228">
        <v>250</v>
      </c>
      <c r="L364" s="269" t="s">
        <v>1012</v>
      </c>
      <c r="M364" s="269"/>
      <c r="N364" s="269"/>
      <c r="O364" s="269">
        <v>1</v>
      </c>
      <c r="P364" s="269"/>
      <c r="Q364" s="269"/>
      <c r="R364" s="269"/>
      <c r="S364" s="66" t="s">
        <v>981</v>
      </c>
      <c r="T364" s="70"/>
      <c r="U364" s="238">
        <f t="shared" si="83"/>
        <v>10.979203155167694</v>
      </c>
      <c r="V364" s="238">
        <f t="shared" si="84"/>
        <v>0</v>
      </c>
      <c r="W364" s="238">
        <f t="shared" si="85"/>
        <v>0.47646402018056294</v>
      </c>
      <c r="X364" s="238">
        <f t="shared" si="86"/>
        <v>0</v>
      </c>
      <c r="Y364" s="238">
        <f t="shared" si="87"/>
        <v>11.455667175348257</v>
      </c>
      <c r="Z364" s="70">
        <v>-10.979203155167694</v>
      </c>
      <c r="AA364" s="70"/>
      <c r="AB364" s="70">
        <v>0.47646402018056294</v>
      </c>
      <c r="AC364" s="70"/>
      <c r="AD364" s="71">
        <v>-11.455667175348257</v>
      </c>
      <c r="AE364" s="143">
        <v>540</v>
      </c>
      <c r="AF364" s="162">
        <v>85</v>
      </c>
      <c r="AG364" s="73">
        <v>3.3210000000000002</v>
      </c>
      <c r="AH364" s="73">
        <v>-36.461933678311915</v>
      </c>
      <c r="AI364" s="73">
        <v>0</v>
      </c>
      <c r="AJ364" s="73">
        <v>1.5823370110196495</v>
      </c>
      <c r="AK364" s="73">
        <v>0</v>
      </c>
      <c r="AL364" s="129">
        <v>-38.044270689331562</v>
      </c>
      <c r="AM364" s="202">
        <f t="shared" si="88"/>
        <v>-2.2059237150426772E-3</v>
      </c>
      <c r="AN364" s="202">
        <f t="shared" si="89"/>
        <v>0</v>
      </c>
      <c r="AO364" s="202">
        <f t="shared" si="90"/>
        <v>9.5730379211188133E-5</v>
      </c>
      <c r="AP364" s="202">
        <f t="shared" si="91"/>
        <v>0</v>
      </c>
      <c r="AQ364" s="202">
        <f t="shared" si="92"/>
        <v>-2.3016540942538653E-3</v>
      </c>
      <c r="AR364" s="209" t="s">
        <v>277</v>
      </c>
      <c r="AS364" s="223" t="s">
        <v>1658</v>
      </c>
      <c r="AT364" s="234">
        <v>325180</v>
      </c>
      <c r="AU364" s="244">
        <f t="shared" si="93"/>
        <v>36.461933678311915</v>
      </c>
      <c r="AV364" s="244">
        <f t="shared" si="94"/>
        <v>0</v>
      </c>
      <c r="AW364" s="244">
        <f t="shared" si="95"/>
        <v>1.5823370110196495</v>
      </c>
      <c r="AX364" s="244">
        <f t="shared" si="96"/>
        <v>0</v>
      </c>
      <c r="AY364" s="244">
        <f t="shared" si="97"/>
        <v>38.044270689331562</v>
      </c>
      <c r="AZ364">
        <v>-8.733815674598043E-3</v>
      </c>
    </row>
    <row r="365" spans="1:52" s="246" customFormat="1" ht="15.75" customHeight="1" x14ac:dyDescent="0.35">
      <c r="A365" s="67" t="s">
        <v>277</v>
      </c>
      <c r="B365" s="67" t="s">
        <v>976</v>
      </c>
      <c r="C365" s="67" t="s">
        <v>62</v>
      </c>
      <c r="D365" s="67" t="s">
        <v>63</v>
      </c>
      <c r="E365" s="67" t="s">
        <v>63</v>
      </c>
      <c r="F365" s="139" t="s">
        <v>64</v>
      </c>
      <c r="G365" s="67" t="s">
        <v>52</v>
      </c>
      <c r="H365" s="139" t="s">
        <v>1013</v>
      </c>
      <c r="I365" s="139" t="s">
        <v>65</v>
      </c>
      <c r="J365" s="105" t="s">
        <v>1014</v>
      </c>
      <c r="K365" s="228">
        <v>360</v>
      </c>
      <c r="L365" s="269"/>
      <c r="M365" s="269"/>
      <c r="N365" s="269"/>
      <c r="O365" s="269"/>
      <c r="P365" s="269"/>
      <c r="Q365" s="269"/>
      <c r="R365" s="269"/>
      <c r="S365" s="66" t="s">
        <v>981</v>
      </c>
      <c r="T365" s="70"/>
      <c r="U365" s="238">
        <f t="shared" si="83"/>
        <v>3.2349700911546528</v>
      </c>
      <c r="V365" s="238">
        <f t="shared" si="84"/>
        <v>0</v>
      </c>
      <c r="W365" s="238">
        <f t="shared" si="85"/>
        <v>3.2349700911546528</v>
      </c>
      <c r="X365" s="238">
        <f t="shared" si="86"/>
        <v>0</v>
      </c>
      <c r="Y365" s="238">
        <f t="shared" si="87"/>
        <v>0</v>
      </c>
      <c r="Z365" s="70">
        <v>-3.2349700911546528</v>
      </c>
      <c r="AA365" s="70"/>
      <c r="AB365" s="70">
        <v>-3.2349700911546528</v>
      </c>
      <c r="AC365" s="70"/>
      <c r="AD365" s="71"/>
      <c r="AE365" s="66"/>
      <c r="AF365" s="138"/>
      <c r="AG365" s="73">
        <v>3.3210000000000002</v>
      </c>
      <c r="AH365" s="73">
        <v>-10.743335672724603</v>
      </c>
      <c r="AI365" s="73">
        <v>0</v>
      </c>
      <c r="AJ365" s="73">
        <v>-10.743335672724603</v>
      </c>
      <c r="AK365" s="73">
        <v>0</v>
      </c>
      <c r="AL365" s="129">
        <v>0</v>
      </c>
      <c r="AM365" s="202">
        <f t="shared" si="88"/>
        <v>-6.4996495106960474E-4</v>
      </c>
      <c r="AN365" s="202">
        <f t="shared" si="89"/>
        <v>0</v>
      </c>
      <c r="AO365" s="202">
        <f t="shared" si="90"/>
        <v>-6.4996495106960474E-4</v>
      </c>
      <c r="AP365" s="202">
        <f t="shared" si="91"/>
        <v>0</v>
      </c>
      <c r="AQ365" s="202">
        <f t="shared" si="92"/>
        <v>0</v>
      </c>
      <c r="AR365" s="209" t="s">
        <v>277</v>
      </c>
      <c r="AS365" s="223" t="s">
        <v>1658</v>
      </c>
      <c r="AT365" s="246">
        <v>325180</v>
      </c>
      <c r="AU365" s="246">
        <f t="shared" si="93"/>
        <v>10.743335672724603</v>
      </c>
      <c r="AV365" s="246">
        <f t="shared" si="94"/>
        <v>0</v>
      </c>
      <c r="AW365" s="246">
        <f t="shared" si="95"/>
        <v>10.743335672724603</v>
      </c>
      <c r="AX365" s="246">
        <f t="shared" si="96"/>
        <v>0</v>
      </c>
      <c r="AY365" s="246">
        <f t="shared" si="97"/>
        <v>0</v>
      </c>
      <c r="AZ365" s="246">
        <v>-2.5733773289078766E-3</v>
      </c>
    </row>
    <row r="366" spans="1:52" ht="15.75" customHeight="1" x14ac:dyDescent="0.35">
      <c r="A366" s="67" t="s">
        <v>277</v>
      </c>
      <c r="B366" s="67" t="s">
        <v>976</v>
      </c>
      <c r="C366" s="67" t="s">
        <v>124</v>
      </c>
      <c r="D366" s="67" t="s">
        <v>124</v>
      </c>
      <c r="E366" s="163" t="s">
        <v>124</v>
      </c>
      <c r="F366" s="139" t="s">
        <v>976</v>
      </c>
      <c r="G366" s="67" t="s">
        <v>52</v>
      </c>
      <c r="H366" s="139" t="s">
        <v>975</v>
      </c>
      <c r="I366" s="139" t="s">
        <v>739</v>
      </c>
      <c r="J366" s="95"/>
      <c r="K366" s="228">
        <f t="shared" si="98"/>
        <v>25</v>
      </c>
      <c r="L366" s="269">
        <v>25</v>
      </c>
      <c r="M366" s="269"/>
      <c r="N366" s="269"/>
      <c r="O366" s="269">
        <v>1</v>
      </c>
      <c r="P366" s="269"/>
      <c r="Q366" s="269"/>
      <c r="R366" s="269"/>
      <c r="S366" s="66" t="s">
        <v>981</v>
      </c>
      <c r="T366" s="70"/>
      <c r="U366" s="238">
        <f t="shared" si="83"/>
        <v>0.25592631439192776</v>
      </c>
      <c r="V366" s="238">
        <f t="shared" si="84"/>
        <v>0</v>
      </c>
      <c r="W366" s="238">
        <f t="shared" si="85"/>
        <v>0.25592631439192776</v>
      </c>
      <c r="X366" s="238">
        <f t="shared" si="86"/>
        <v>0</v>
      </c>
      <c r="Y366" s="238">
        <f t="shared" si="87"/>
        <v>0</v>
      </c>
      <c r="Z366" s="70">
        <v>0.25592631439192776</v>
      </c>
      <c r="AA366" s="70"/>
      <c r="AB366" s="70">
        <v>0.25592631439192776</v>
      </c>
      <c r="AC366" s="70"/>
      <c r="AD366" s="129"/>
      <c r="AE366" s="66"/>
      <c r="AF366" s="138"/>
      <c r="AG366" s="73">
        <v>3.3210000000000002</v>
      </c>
      <c r="AH366" s="73">
        <v>0.8499312900955921</v>
      </c>
      <c r="AI366" s="73">
        <v>0</v>
      </c>
      <c r="AJ366" s="73">
        <v>0.8499312900955921</v>
      </c>
      <c r="AK366" s="73">
        <v>0</v>
      </c>
      <c r="AL366" s="129">
        <v>0</v>
      </c>
      <c r="AM366" s="202">
        <f t="shared" si="88"/>
        <v>5.1420300566612349E-5</v>
      </c>
      <c r="AN366" s="202">
        <f t="shared" si="89"/>
        <v>0</v>
      </c>
      <c r="AO366" s="202">
        <f t="shared" si="90"/>
        <v>5.1420300566612349E-5</v>
      </c>
      <c r="AP366" s="202">
        <f t="shared" si="91"/>
        <v>0</v>
      </c>
      <c r="AQ366" s="202">
        <f t="shared" si="92"/>
        <v>0</v>
      </c>
      <c r="AR366" s="209" t="s">
        <v>277</v>
      </c>
      <c r="AS366" s="223" t="s">
        <v>1658</v>
      </c>
      <c r="AT366" s="234">
        <v>325180</v>
      </c>
      <c r="AU366" s="244">
        <f t="shared" si="93"/>
        <v>0.8499312900955921</v>
      </c>
      <c r="AV366" s="244">
        <f t="shared" si="94"/>
        <v>0</v>
      </c>
      <c r="AW366" s="244">
        <f t="shared" si="95"/>
        <v>0.8499312900955921</v>
      </c>
      <c r="AX366" s="244">
        <f t="shared" si="96"/>
        <v>0</v>
      </c>
      <c r="AY366" s="244">
        <f t="shared" si="97"/>
        <v>0</v>
      </c>
      <c r="AZ366">
        <v>2.0358610953712561E-4</v>
      </c>
    </row>
    <row r="367" spans="1:52" ht="15.75" customHeight="1" x14ac:dyDescent="0.35">
      <c r="A367" s="78" t="s">
        <v>277</v>
      </c>
      <c r="B367" s="78" t="s">
        <v>976</v>
      </c>
      <c r="C367" s="78" t="s">
        <v>88</v>
      </c>
      <c r="D367" s="78" t="s">
        <v>89</v>
      </c>
      <c r="E367" s="164" t="s">
        <v>89</v>
      </c>
      <c r="F367" s="145" t="s">
        <v>980</v>
      </c>
      <c r="G367" s="78" t="s">
        <v>52</v>
      </c>
      <c r="H367" s="78" t="s">
        <v>90</v>
      </c>
      <c r="I367" s="145" t="s">
        <v>1015</v>
      </c>
      <c r="J367" s="111" t="s">
        <v>676</v>
      </c>
      <c r="K367" s="228">
        <v>50</v>
      </c>
      <c r="L367" s="269"/>
      <c r="M367" s="269"/>
      <c r="N367" s="269"/>
      <c r="O367" s="269" t="s">
        <v>987</v>
      </c>
      <c r="P367" s="269"/>
      <c r="Q367" s="269"/>
      <c r="R367" s="269"/>
      <c r="S367" s="77" t="s">
        <v>981</v>
      </c>
      <c r="T367" s="82"/>
      <c r="U367" s="238">
        <f t="shared" si="83"/>
        <v>0.46620645246946363</v>
      </c>
      <c r="V367" s="238">
        <f t="shared" si="84"/>
        <v>0</v>
      </c>
      <c r="W367" s="238">
        <f t="shared" si="85"/>
        <v>0.46620645246946363</v>
      </c>
      <c r="X367" s="238">
        <f t="shared" si="86"/>
        <v>0</v>
      </c>
      <c r="Y367" s="238">
        <f t="shared" si="87"/>
        <v>0</v>
      </c>
      <c r="Z367" s="70">
        <v>0.46620645246946363</v>
      </c>
      <c r="AA367" s="70"/>
      <c r="AB367" s="70">
        <v>0.46620645246946363</v>
      </c>
      <c r="AC367" s="70"/>
      <c r="AD367" s="71"/>
      <c r="AE367" s="77"/>
      <c r="AF367" s="137"/>
      <c r="AG367" s="85">
        <v>3.3210000000000002</v>
      </c>
      <c r="AH367" s="85">
        <v>1.5482716286510887</v>
      </c>
      <c r="AI367" s="85">
        <v>0</v>
      </c>
      <c r="AJ367" s="85">
        <v>1.5482716286510887</v>
      </c>
      <c r="AK367" s="85">
        <v>0</v>
      </c>
      <c r="AL367" s="133">
        <v>0</v>
      </c>
      <c r="AM367" s="202">
        <f t="shared" si="88"/>
        <v>9.3669445320742738E-5</v>
      </c>
      <c r="AN367" s="202">
        <f t="shared" si="89"/>
        <v>0</v>
      </c>
      <c r="AO367" s="202">
        <f t="shared" si="90"/>
        <v>9.3669445320742738E-5</v>
      </c>
      <c r="AP367" s="202">
        <f t="shared" si="91"/>
        <v>0</v>
      </c>
      <c r="AQ367" s="202">
        <f t="shared" si="92"/>
        <v>0</v>
      </c>
      <c r="AR367" s="213" t="s">
        <v>277</v>
      </c>
      <c r="AS367" s="223" t="s">
        <v>1658</v>
      </c>
      <c r="AT367" s="234">
        <v>325180</v>
      </c>
      <c r="AU367" s="244">
        <f t="shared" si="93"/>
        <v>1.5482716286510887</v>
      </c>
      <c r="AV367" s="244">
        <f t="shared" si="94"/>
        <v>0</v>
      </c>
      <c r="AW367" s="244">
        <f t="shared" si="95"/>
        <v>1.5482716286510887</v>
      </c>
      <c r="AX367" s="244">
        <f t="shared" si="96"/>
        <v>0</v>
      </c>
      <c r="AY367" s="244">
        <f t="shared" si="97"/>
        <v>0</v>
      </c>
      <c r="AZ367">
        <v>3.7086126967785009E-4</v>
      </c>
    </row>
    <row r="368" spans="1:52" ht="14.25" customHeight="1" x14ac:dyDescent="0.35">
      <c r="A368" s="139" t="s">
        <v>1016</v>
      </c>
      <c r="B368" s="67" t="s">
        <v>1017</v>
      </c>
      <c r="C368" s="67" t="s">
        <v>149</v>
      </c>
      <c r="D368" s="67" t="s">
        <v>1018</v>
      </c>
      <c r="E368" s="67" t="s">
        <v>1018</v>
      </c>
      <c r="F368" s="139" t="s">
        <v>1019</v>
      </c>
      <c r="G368" s="67" t="s">
        <v>1020</v>
      </c>
      <c r="H368" s="139" t="s">
        <v>975</v>
      </c>
      <c r="I368" s="139" t="s">
        <v>739</v>
      </c>
      <c r="J368" s="90"/>
      <c r="K368" s="228">
        <v>2</v>
      </c>
      <c r="L368" s="269" t="s">
        <v>1021</v>
      </c>
      <c r="M368" s="269"/>
      <c r="N368" s="269"/>
      <c r="O368" s="269">
        <v>1</v>
      </c>
      <c r="P368" s="269"/>
      <c r="Q368" s="269"/>
      <c r="R368" s="269"/>
      <c r="S368" s="165" t="s">
        <v>1022</v>
      </c>
      <c r="T368" s="70"/>
      <c r="U368" s="238">
        <f t="shared" si="83"/>
        <v>5.7318713729117322E-2</v>
      </c>
      <c r="V368" s="238">
        <f t="shared" si="84"/>
        <v>0</v>
      </c>
      <c r="W368" s="238">
        <f t="shared" si="85"/>
        <v>5.7318713729117322E-2</v>
      </c>
      <c r="X368" s="238">
        <f t="shared" si="86"/>
        <v>0</v>
      </c>
      <c r="Y368" s="238">
        <f t="shared" si="87"/>
        <v>0</v>
      </c>
      <c r="Z368" s="82">
        <v>5.7318713729117322E-2</v>
      </c>
      <c r="AA368" s="82"/>
      <c r="AB368" s="82">
        <v>5.7318713729117322E-2</v>
      </c>
      <c r="AC368" s="82"/>
      <c r="AD368" s="83"/>
      <c r="AE368" s="233"/>
      <c r="AF368" s="72"/>
      <c r="AG368" s="73">
        <v>3.8</v>
      </c>
      <c r="AH368" s="73">
        <v>0.2178111121706458</v>
      </c>
      <c r="AI368" s="73">
        <v>0</v>
      </c>
      <c r="AJ368" s="73">
        <v>0.2178111121706458</v>
      </c>
      <c r="AK368" s="73">
        <v>0</v>
      </c>
      <c r="AL368" s="125">
        <v>0</v>
      </c>
      <c r="AM368" s="202">
        <f t="shared" si="88"/>
        <v>1.3177433264403132E-5</v>
      </c>
      <c r="AN368" s="202">
        <f t="shared" si="89"/>
        <v>0</v>
      </c>
      <c r="AO368" s="202">
        <f t="shared" si="90"/>
        <v>1.3177433264403132E-5</v>
      </c>
      <c r="AP368" s="202">
        <f t="shared" si="91"/>
        <v>0</v>
      </c>
      <c r="AQ368" s="202">
        <f t="shared" si="92"/>
        <v>0</v>
      </c>
      <c r="AR368" s="217" t="s">
        <v>1016</v>
      </c>
      <c r="AS368" s="226" t="s">
        <v>1660</v>
      </c>
      <c r="AT368" s="234">
        <v>311710</v>
      </c>
      <c r="AU368" s="244">
        <f t="shared" si="93"/>
        <v>0.2178111121706458</v>
      </c>
      <c r="AV368" s="244">
        <f t="shared" si="94"/>
        <v>0</v>
      </c>
      <c r="AW368" s="244">
        <f t="shared" si="95"/>
        <v>0.2178111121706458</v>
      </c>
      <c r="AX368" s="244">
        <f t="shared" si="96"/>
        <v>0</v>
      </c>
      <c r="AY368" s="244">
        <f t="shared" si="97"/>
        <v>0</v>
      </c>
      <c r="AZ368">
        <v>1.6796692667873207E-4</v>
      </c>
    </row>
    <row r="369" spans="1:52" ht="15.75" customHeight="1" x14ac:dyDescent="0.35">
      <c r="A369" s="139" t="s">
        <v>1016</v>
      </c>
      <c r="B369" s="67" t="s">
        <v>1017</v>
      </c>
      <c r="C369" s="67" t="s">
        <v>99</v>
      </c>
      <c r="D369" s="67" t="s">
        <v>1023</v>
      </c>
      <c r="E369" s="67" t="s">
        <v>1024</v>
      </c>
      <c r="F369" s="139" t="s">
        <v>1025</v>
      </c>
      <c r="G369" s="67" t="s">
        <v>1020</v>
      </c>
      <c r="H369" s="139" t="s">
        <v>1026</v>
      </c>
      <c r="I369" s="139" t="s">
        <v>1026</v>
      </c>
      <c r="J369" s="143" t="s">
        <v>1027</v>
      </c>
      <c r="K369" s="228">
        <v>2</v>
      </c>
      <c r="L369" s="269" t="s">
        <v>1021</v>
      </c>
      <c r="M369" s="269"/>
      <c r="N369" s="269"/>
      <c r="O369" s="269">
        <v>1</v>
      </c>
      <c r="P369" s="269"/>
      <c r="Q369" s="269"/>
      <c r="R369" s="269"/>
      <c r="S369" s="165" t="s">
        <v>1022</v>
      </c>
      <c r="T369" s="70"/>
      <c r="U369" s="238">
        <f t="shared" si="83"/>
        <v>4.6575915915789473E-3</v>
      </c>
      <c r="V369" s="238">
        <f t="shared" si="84"/>
        <v>0</v>
      </c>
      <c r="W369" s="238">
        <f t="shared" si="85"/>
        <v>4.6575915915789473E-3</v>
      </c>
      <c r="X369" s="238">
        <f t="shared" si="86"/>
        <v>0</v>
      </c>
      <c r="Y369" s="238">
        <f t="shared" si="87"/>
        <v>0</v>
      </c>
      <c r="Z369" s="70">
        <v>4.6575915915789473E-3</v>
      </c>
      <c r="AA369" s="70"/>
      <c r="AB369" s="70">
        <v>4.6575915915789473E-3</v>
      </c>
      <c r="AC369" s="70"/>
      <c r="AD369" s="71"/>
      <c r="AE369" s="233"/>
      <c r="AF369" s="72"/>
      <c r="AG369" s="73">
        <v>3.8</v>
      </c>
      <c r="AH369" s="73">
        <v>1.7698848047999999E-2</v>
      </c>
      <c r="AI369" s="73">
        <v>0</v>
      </c>
      <c r="AJ369" s="73">
        <v>1.7698848047999999E-2</v>
      </c>
      <c r="AK369" s="73">
        <v>0</v>
      </c>
      <c r="AL369" s="129">
        <v>0</v>
      </c>
      <c r="AM369" s="202">
        <f t="shared" si="88"/>
        <v>1.0707690102909414E-6</v>
      </c>
      <c r="AN369" s="202">
        <f t="shared" si="89"/>
        <v>0</v>
      </c>
      <c r="AO369" s="202">
        <f t="shared" si="90"/>
        <v>1.0707690102909414E-6</v>
      </c>
      <c r="AP369" s="202">
        <f t="shared" si="91"/>
        <v>0</v>
      </c>
      <c r="AQ369" s="202">
        <f t="shared" si="92"/>
        <v>0</v>
      </c>
      <c r="AR369" s="217" t="s">
        <v>1016</v>
      </c>
      <c r="AS369" s="226" t="s">
        <v>1660</v>
      </c>
      <c r="AT369" s="234">
        <v>311710</v>
      </c>
      <c r="AU369" s="244">
        <f t="shared" si="93"/>
        <v>1.7698848047999999E-2</v>
      </c>
      <c r="AV369" s="244">
        <f t="shared" si="94"/>
        <v>0</v>
      </c>
      <c r="AW369" s="244">
        <f t="shared" si="95"/>
        <v>1.7698848047999999E-2</v>
      </c>
      <c r="AX369" s="244">
        <f t="shared" si="96"/>
        <v>0</v>
      </c>
      <c r="AY369" s="244">
        <f t="shared" si="97"/>
        <v>0</v>
      </c>
      <c r="AZ369">
        <v>1.3648620048582996E-5</v>
      </c>
    </row>
    <row r="370" spans="1:52" ht="15.75" customHeight="1" x14ac:dyDescent="0.35">
      <c r="A370" s="139" t="s">
        <v>1016</v>
      </c>
      <c r="B370" s="67" t="s">
        <v>1017</v>
      </c>
      <c r="C370" s="67" t="s">
        <v>67</v>
      </c>
      <c r="D370" s="67" t="s">
        <v>79</v>
      </c>
      <c r="E370" s="139" t="s">
        <v>1028</v>
      </c>
      <c r="F370" s="139" t="s">
        <v>1029</v>
      </c>
      <c r="G370" s="67" t="s">
        <v>1020</v>
      </c>
      <c r="H370" s="139" t="s">
        <v>1030</v>
      </c>
      <c r="I370" s="139" t="s">
        <v>1031</v>
      </c>
      <c r="J370" s="95"/>
      <c r="K370" s="228">
        <v>-10</v>
      </c>
      <c r="L370" s="269" t="s">
        <v>1032</v>
      </c>
      <c r="M370" s="269">
        <v>20</v>
      </c>
      <c r="N370" s="269"/>
      <c r="O370" s="269">
        <v>1</v>
      </c>
      <c r="P370" s="269"/>
      <c r="Q370" s="269"/>
      <c r="R370" s="269"/>
      <c r="S370" s="165" t="s">
        <v>1022</v>
      </c>
      <c r="T370" s="70"/>
      <c r="U370" s="238">
        <f t="shared" si="83"/>
        <v>0.48564000000000002</v>
      </c>
      <c r="V370" s="238">
        <f t="shared" si="84"/>
        <v>0</v>
      </c>
      <c r="W370" s="238">
        <f t="shared" si="85"/>
        <v>0.48564000000000002</v>
      </c>
      <c r="X370" s="238">
        <f t="shared" si="86"/>
        <v>0</v>
      </c>
      <c r="Y370" s="238">
        <f t="shared" si="87"/>
        <v>0</v>
      </c>
      <c r="Z370" s="70">
        <v>0.48564000000000002</v>
      </c>
      <c r="AA370" s="70"/>
      <c r="AB370" s="70">
        <v>0.48564000000000002</v>
      </c>
      <c r="AC370" s="70"/>
      <c r="AD370" s="71"/>
      <c r="AE370" s="233"/>
      <c r="AF370" s="72"/>
      <c r="AG370" s="73">
        <v>3.8</v>
      </c>
      <c r="AH370" s="73">
        <v>1.845432</v>
      </c>
      <c r="AI370" s="73">
        <v>0</v>
      </c>
      <c r="AJ370" s="73">
        <v>1.845432</v>
      </c>
      <c r="AK370" s="73">
        <v>0</v>
      </c>
      <c r="AL370" s="129">
        <v>0</v>
      </c>
      <c r="AM370" s="202">
        <f t="shared" si="88"/>
        <v>1.1164745811931685E-4</v>
      </c>
      <c r="AN370" s="202">
        <f t="shared" si="89"/>
        <v>0</v>
      </c>
      <c r="AO370" s="202">
        <f t="shared" si="90"/>
        <v>1.1164745811931685E-4</v>
      </c>
      <c r="AP370" s="202">
        <f t="shared" si="91"/>
        <v>0</v>
      </c>
      <c r="AQ370" s="202">
        <f t="shared" si="92"/>
        <v>0</v>
      </c>
      <c r="AR370" s="217" t="s">
        <v>1016</v>
      </c>
      <c r="AS370" s="226" t="s">
        <v>1660</v>
      </c>
      <c r="AT370" s="234">
        <v>311710</v>
      </c>
      <c r="AU370" s="244">
        <f t="shared" si="93"/>
        <v>1.845432</v>
      </c>
      <c r="AV370" s="244">
        <f t="shared" si="94"/>
        <v>0</v>
      </c>
      <c r="AW370" s="244">
        <f t="shared" si="95"/>
        <v>1.845432</v>
      </c>
      <c r="AX370" s="244">
        <f t="shared" si="96"/>
        <v>0</v>
      </c>
      <c r="AY370" s="244">
        <f t="shared" si="97"/>
        <v>0</v>
      </c>
      <c r="AZ370">
        <v>1.4231208791208791E-3</v>
      </c>
    </row>
    <row r="371" spans="1:52" ht="15.75" customHeight="1" x14ac:dyDescent="0.35">
      <c r="A371" s="139" t="s">
        <v>1016</v>
      </c>
      <c r="B371" s="67" t="s">
        <v>1017</v>
      </c>
      <c r="C371" s="67" t="s">
        <v>74</v>
      </c>
      <c r="D371" s="67" t="s">
        <v>75</v>
      </c>
      <c r="E371" s="67" t="s">
        <v>1033</v>
      </c>
      <c r="F371" s="139" t="s">
        <v>1034</v>
      </c>
      <c r="G371" s="67" t="s">
        <v>1020</v>
      </c>
      <c r="H371" s="139" t="s">
        <v>76</v>
      </c>
      <c r="I371" s="139" t="s">
        <v>1035</v>
      </c>
      <c r="J371" s="76" t="s">
        <v>78</v>
      </c>
      <c r="K371" s="228">
        <f t="shared" si="98"/>
        <v>21</v>
      </c>
      <c r="L371" s="269">
        <v>21</v>
      </c>
      <c r="M371" s="269"/>
      <c r="N371" s="269"/>
      <c r="O371" s="269">
        <v>1</v>
      </c>
      <c r="P371" s="269"/>
      <c r="Q371" s="269"/>
      <c r="R371" s="269"/>
      <c r="S371" s="165" t="s">
        <v>1022</v>
      </c>
      <c r="T371" s="70"/>
      <c r="U371" s="238">
        <f t="shared" si="83"/>
        <v>5.723473170731707E-2</v>
      </c>
      <c r="V371" s="238">
        <f t="shared" si="84"/>
        <v>0</v>
      </c>
      <c r="W371" s="238">
        <f t="shared" si="85"/>
        <v>5.723473170731707E-2</v>
      </c>
      <c r="X371" s="238">
        <f t="shared" si="86"/>
        <v>0</v>
      </c>
      <c r="Y371" s="238">
        <f t="shared" si="87"/>
        <v>0</v>
      </c>
      <c r="Z371" s="70">
        <v>5.723473170731707E-2</v>
      </c>
      <c r="AA371" s="70"/>
      <c r="AB371" s="70">
        <v>5.723473170731707E-2</v>
      </c>
      <c r="AC371" s="70"/>
      <c r="AD371" s="71"/>
      <c r="AE371" s="233"/>
      <c r="AF371" s="72"/>
      <c r="AG371" s="73">
        <v>3.8</v>
      </c>
      <c r="AH371" s="73">
        <v>0.21749198048780485</v>
      </c>
      <c r="AI371" s="73">
        <v>0</v>
      </c>
      <c r="AJ371" s="73">
        <v>0.21749198048780485</v>
      </c>
      <c r="AK371" s="73">
        <v>0</v>
      </c>
      <c r="AL371" s="129">
        <v>0</v>
      </c>
      <c r="AM371" s="202">
        <f t="shared" si="88"/>
        <v>1.3158126001282882E-5</v>
      </c>
      <c r="AN371" s="202">
        <f t="shared" si="89"/>
        <v>0</v>
      </c>
      <c r="AO371" s="202">
        <f t="shared" si="90"/>
        <v>1.3158126001282882E-5</v>
      </c>
      <c r="AP371" s="202">
        <f t="shared" si="91"/>
        <v>0</v>
      </c>
      <c r="AQ371" s="202">
        <f t="shared" si="92"/>
        <v>0</v>
      </c>
      <c r="AR371" s="217" t="s">
        <v>1016</v>
      </c>
      <c r="AS371" s="226" t="s">
        <v>1660</v>
      </c>
      <c r="AT371" s="234">
        <v>311710</v>
      </c>
      <c r="AU371" s="244">
        <f t="shared" si="93"/>
        <v>0.21749198048780485</v>
      </c>
      <c r="AV371" s="244">
        <f t="shared" si="94"/>
        <v>0</v>
      </c>
      <c r="AW371" s="244">
        <f t="shared" si="95"/>
        <v>0.21749198048780485</v>
      </c>
      <c r="AX371" s="244">
        <f t="shared" si="96"/>
        <v>0</v>
      </c>
      <c r="AY371" s="244">
        <f t="shared" si="97"/>
        <v>0</v>
      </c>
      <c r="AZ371">
        <v>1.6772082551594746E-4</v>
      </c>
    </row>
    <row r="372" spans="1:52" ht="15.75" customHeight="1" x14ac:dyDescent="0.35">
      <c r="A372" s="139" t="s">
        <v>1016</v>
      </c>
      <c r="B372" s="67" t="s">
        <v>1017</v>
      </c>
      <c r="C372" s="67" t="s">
        <v>108</v>
      </c>
      <c r="D372" s="67" t="s">
        <v>1036</v>
      </c>
      <c r="E372" s="139" t="s">
        <v>1037</v>
      </c>
      <c r="F372" s="139" t="s">
        <v>1038</v>
      </c>
      <c r="G372" s="67" t="s">
        <v>1020</v>
      </c>
      <c r="H372" s="139" t="s">
        <v>1039</v>
      </c>
      <c r="I372" s="139" t="s">
        <v>1040</v>
      </c>
      <c r="J372" s="105">
        <v>0.78</v>
      </c>
      <c r="K372" s="228">
        <v>6</v>
      </c>
      <c r="L372" s="269" t="s">
        <v>1041</v>
      </c>
      <c r="M372" s="269"/>
      <c r="N372" s="269"/>
      <c r="O372" s="269">
        <v>1</v>
      </c>
      <c r="P372" s="269"/>
      <c r="Q372" s="269"/>
      <c r="R372" s="269"/>
      <c r="S372" s="165" t="s">
        <v>1022</v>
      </c>
      <c r="T372" s="70"/>
      <c r="U372" s="238">
        <f t="shared" si="83"/>
        <v>1.6502399999999999E-3</v>
      </c>
      <c r="V372" s="238">
        <f t="shared" si="84"/>
        <v>0</v>
      </c>
      <c r="W372" s="238">
        <f t="shared" si="85"/>
        <v>1.6502399999999999E-3</v>
      </c>
      <c r="X372" s="238">
        <f t="shared" si="86"/>
        <v>0</v>
      </c>
      <c r="Y372" s="238">
        <f t="shared" si="87"/>
        <v>0</v>
      </c>
      <c r="Z372" s="70">
        <v>1.6502399999999999E-3</v>
      </c>
      <c r="AA372" s="70"/>
      <c r="AB372" s="70">
        <v>1.6502399999999999E-3</v>
      </c>
      <c r="AC372" s="70"/>
      <c r="AD372" s="71"/>
      <c r="AE372" s="233"/>
      <c r="AF372" s="72"/>
      <c r="AG372" s="73">
        <v>3.8</v>
      </c>
      <c r="AH372" s="73">
        <v>6.2709119999999991E-3</v>
      </c>
      <c r="AI372" s="73">
        <v>0</v>
      </c>
      <c r="AJ372" s="73">
        <v>6.2709119999999991E-3</v>
      </c>
      <c r="AK372" s="73">
        <v>0</v>
      </c>
      <c r="AL372" s="129">
        <v>0</v>
      </c>
      <c r="AM372" s="202">
        <f t="shared" si="88"/>
        <v>3.7938617347586983E-7</v>
      </c>
      <c r="AN372" s="202">
        <f t="shared" si="89"/>
        <v>0</v>
      </c>
      <c r="AO372" s="202">
        <f t="shared" si="90"/>
        <v>3.7938617347586983E-7</v>
      </c>
      <c r="AP372" s="202">
        <f t="shared" si="91"/>
        <v>0</v>
      </c>
      <c r="AQ372" s="202">
        <f t="shared" si="92"/>
        <v>0</v>
      </c>
      <c r="AR372" s="217" t="s">
        <v>1016</v>
      </c>
      <c r="AS372" s="226" t="s">
        <v>1660</v>
      </c>
      <c r="AT372" s="234">
        <v>311710</v>
      </c>
      <c r="AU372" s="244">
        <f t="shared" si="93"/>
        <v>6.2709119999999991E-3</v>
      </c>
      <c r="AV372" s="244">
        <f t="shared" si="94"/>
        <v>0</v>
      </c>
      <c r="AW372" s="244">
        <f t="shared" si="95"/>
        <v>6.2709119999999991E-3</v>
      </c>
      <c r="AX372" s="244">
        <f t="shared" si="96"/>
        <v>0</v>
      </c>
      <c r="AY372" s="244">
        <f t="shared" si="97"/>
        <v>0</v>
      </c>
      <c r="AZ372">
        <v>4.8358681318681311E-6</v>
      </c>
    </row>
    <row r="373" spans="1:52" ht="15.75" customHeight="1" x14ac:dyDescent="0.35">
      <c r="A373" s="139" t="s">
        <v>1016</v>
      </c>
      <c r="B373" s="67" t="s">
        <v>1017</v>
      </c>
      <c r="C373" s="67" t="s">
        <v>92</v>
      </c>
      <c r="D373" s="67" t="s">
        <v>1042</v>
      </c>
      <c r="E373" s="139" t="s">
        <v>1043</v>
      </c>
      <c r="F373" s="139" t="s">
        <v>1044</v>
      </c>
      <c r="G373" s="67" t="s">
        <v>1020</v>
      </c>
      <c r="H373" s="139" t="s">
        <v>95</v>
      </c>
      <c r="I373" s="139" t="s">
        <v>1045</v>
      </c>
      <c r="J373" s="105">
        <v>0.85</v>
      </c>
      <c r="K373" s="228">
        <f>AVERAGE(115,130)</f>
        <v>122.5</v>
      </c>
      <c r="L373" s="269" t="s">
        <v>1046</v>
      </c>
      <c r="M373" s="269"/>
      <c r="N373" s="269"/>
      <c r="O373" s="269" t="s">
        <v>1047</v>
      </c>
      <c r="P373" s="269"/>
      <c r="Q373" s="269"/>
      <c r="R373" s="269"/>
      <c r="S373" s="165" t="s">
        <v>1022</v>
      </c>
      <c r="T373" s="70"/>
      <c r="U373" s="238">
        <f t="shared" si="83"/>
        <v>8.6260263157894743E-2</v>
      </c>
      <c r="V373" s="238">
        <f t="shared" si="84"/>
        <v>0</v>
      </c>
      <c r="W373" s="238">
        <f t="shared" si="85"/>
        <v>8.6260263157894743E-2</v>
      </c>
      <c r="X373" s="238">
        <f t="shared" si="86"/>
        <v>0</v>
      </c>
      <c r="Y373" s="238">
        <f t="shared" si="87"/>
        <v>0</v>
      </c>
      <c r="Z373" s="70">
        <v>8.6260263157894743E-2</v>
      </c>
      <c r="AA373" s="70"/>
      <c r="AB373" s="70">
        <v>8.6260263157894743E-2</v>
      </c>
      <c r="AC373" s="70"/>
      <c r="AD373" s="71"/>
      <c r="AE373" s="233"/>
      <c r="AF373" s="72"/>
      <c r="AG373" s="73">
        <v>3.8</v>
      </c>
      <c r="AH373" s="73">
        <v>0.327789</v>
      </c>
      <c r="AI373" s="73">
        <v>0</v>
      </c>
      <c r="AJ373" s="73">
        <v>0.327789</v>
      </c>
      <c r="AK373" s="73">
        <v>0</v>
      </c>
      <c r="AL373" s="129">
        <v>0</v>
      </c>
      <c r="AM373" s="202">
        <f t="shared" si="88"/>
        <v>1.9831025282683269E-5</v>
      </c>
      <c r="AN373" s="202">
        <f t="shared" si="89"/>
        <v>0</v>
      </c>
      <c r="AO373" s="202">
        <f t="shared" si="90"/>
        <v>1.9831025282683269E-5</v>
      </c>
      <c r="AP373" s="202">
        <f t="shared" si="91"/>
        <v>0</v>
      </c>
      <c r="AQ373" s="202">
        <f t="shared" si="92"/>
        <v>0</v>
      </c>
      <c r="AR373" s="217" t="s">
        <v>1016</v>
      </c>
      <c r="AS373" s="226" t="s">
        <v>1660</v>
      </c>
      <c r="AT373" s="234">
        <v>311710</v>
      </c>
      <c r="AU373" s="244">
        <f t="shared" si="93"/>
        <v>0.327789</v>
      </c>
      <c r="AV373" s="244">
        <f t="shared" si="94"/>
        <v>0</v>
      </c>
      <c r="AW373" s="244">
        <f t="shared" si="95"/>
        <v>0.327789</v>
      </c>
      <c r="AX373" s="244">
        <f t="shared" si="96"/>
        <v>0</v>
      </c>
      <c r="AY373" s="244">
        <f t="shared" si="97"/>
        <v>0</v>
      </c>
      <c r="AZ373">
        <v>2.5277732793522269E-4</v>
      </c>
    </row>
    <row r="374" spans="1:52" ht="15.75" customHeight="1" x14ac:dyDescent="0.35">
      <c r="A374" s="139" t="s">
        <v>1016</v>
      </c>
      <c r="B374" s="67" t="s">
        <v>1017</v>
      </c>
      <c r="C374" s="67" t="s">
        <v>74</v>
      </c>
      <c r="D374" s="67" t="s">
        <v>1048</v>
      </c>
      <c r="E374" s="139" t="s">
        <v>1049</v>
      </c>
      <c r="F374" s="139" t="s">
        <v>1048</v>
      </c>
      <c r="G374" s="67" t="s">
        <v>1020</v>
      </c>
      <c r="H374" s="139" t="s">
        <v>160</v>
      </c>
      <c r="I374" s="139" t="s">
        <v>1050</v>
      </c>
      <c r="J374" s="105">
        <v>0.4</v>
      </c>
      <c r="K374" s="228">
        <f t="shared" si="98"/>
        <v>95</v>
      </c>
      <c r="L374" s="269">
        <v>95</v>
      </c>
      <c r="M374" s="269"/>
      <c r="N374" s="269"/>
      <c r="O374" s="269">
        <v>1</v>
      </c>
      <c r="P374" s="269"/>
      <c r="Q374" s="269"/>
      <c r="R374" s="269"/>
      <c r="S374" s="165" t="s">
        <v>1022</v>
      </c>
      <c r="T374" s="70"/>
      <c r="U374" s="238">
        <f t="shared" si="83"/>
        <v>8.6197263157894735E-2</v>
      </c>
      <c r="V374" s="238">
        <f t="shared" si="84"/>
        <v>0</v>
      </c>
      <c r="W374" s="238">
        <f t="shared" si="85"/>
        <v>8.6197263157894735E-2</v>
      </c>
      <c r="X374" s="238">
        <f t="shared" si="86"/>
        <v>0</v>
      </c>
      <c r="Y374" s="238">
        <f t="shared" si="87"/>
        <v>0</v>
      </c>
      <c r="Z374" s="70">
        <v>8.6197263157894735E-2</v>
      </c>
      <c r="AA374" s="70"/>
      <c r="AB374" s="70">
        <v>8.6197263157894735E-2</v>
      </c>
      <c r="AC374" s="70"/>
      <c r="AD374" s="71"/>
      <c r="AE374" s="233"/>
      <c r="AF374" s="72"/>
      <c r="AG374" s="73">
        <v>3.8</v>
      </c>
      <c r="AH374" s="73">
        <v>0.3275496</v>
      </c>
      <c r="AI374" s="73">
        <v>0</v>
      </c>
      <c r="AJ374" s="73">
        <v>0.3275496</v>
      </c>
      <c r="AK374" s="73">
        <v>0</v>
      </c>
      <c r="AL374" s="129">
        <v>0</v>
      </c>
      <c r="AM374" s="202">
        <f t="shared" si="88"/>
        <v>1.9816541735484693E-5</v>
      </c>
      <c r="AN374" s="202">
        <f t="shared" si="89"/>
        <v>0</v>
      </c>
      <c r="AO374" s="202">
        <f t="shared" si="90"/>
        <v>1.9816541735484693E-5</v>
      </c>
      <c r="AP374" s="202">
        <f t="shared" si="91"/>
        <v>0</v>
      </c>
      <c r="AQ374" s="202">
        <f t="shared" si="92"/>
        <v>0</v>
      </c>
      <c r="AR374" s="217" t="s">
        <v>1016</v>
      </c>
      <c r="AS374" s="226" t="s">
        <v>1660</v>
      </c>
      <c r="AT374" s="234">
        <v>311710</v>
      </c>
      <c r="AU374" s="244">
        <f t="shared" si="93"/>
        <v>0.3275496</v>
      </c>
      <c r="AV374" s="244">
        <f t="shared" si="94"/>
        <v>0</v>
      </c>
      <c r="AW374" s="244">
        <f t="shared" si="95"/>
        <v>0.3275496</v>
      </c>
      <c r="AX374" s="244">
        <f t="shared" si="96"/>
        <v>0</v>
      </c>
      <c r="AY374" s="244">
        <f t="shared" si="97"/>
        <v>0</v>
      </c>
      <c r="AZ374">
        <v>2.5259271255060727E-4</v>
      </c>
    </row>
    <row r="375" spans="1:52" ht="15.75" customHeight="1" x14ac:dyDescent="0.35">
      <c r="A375" s="139" t="s">
        <v>1016</v>
      </c>
      <c r="B375" s="67" t="s">
        <v>1017</v>
      </c>
      <c r="C375" s="67" t="s">
        <v>88</v>
      </c>
      <c r="D375" s="67" t="s">
        <v>995</v>
      </c>
      <c r="E375" s="139" t="s">
        <v>1051</v>
      </c>
      <c r="F375" s="139" t="s">
        <v>1052</v>
      </c>
      <c r="G375" s="67" t="s">
        <v>1020</v>
      </c>
      <c r="H375" s="139" t="s">
        <v>975</v>
      </c>
      <c r="I375" s="139" t="s">
        <v>1053</v>
      </c>
      <c r="J375" s="95"/>
      <c r="K375" s="228">
        <f t="shared" si="98"/>
        <v>20</v>
      </c>
      <c r="L375" s="269">
        <v>20</v>
      </c>
      <c r="M375" s="269"/>
      <c r="N375" s="269"/>
      <c r="O375" s="269">
        <v>1</v>
      </c>
      <c r="P375" s="269"/>
      <c r="Q375" s="269"/>
      <c r="R375" s="269"/>
      <c r="S375" s="165" t="s">
        <v>1022</v>
      </c>
      <c r="T375" s="70"/>
      <c r="U375" s="238">
        <f t="shared" si="83"/>
        <v>1.1876909091331964E-2</v>
      </c>
      <c r="V375" s="238">
        <f t="shared" si="84"/>
        <v>0</v>
      </c>
      <c r="W375" s="238">
        <f t="shared" si="85"/>
        <v>0</v>
      </c>
      <c r="X375" s="238">
        <f t="shared" si="86"/>
        <v>1.1876909091331964E-2</v>
      </c>
      <c r="Y375" s="238">
        <f t="shared" si="87"/>
        <v>0</v>
      </c>
      <c r="Z375" s="70">
        <v>1.1876909091331964E-2</v>
      </c>
      <c r="AA375" s="70"/>
      <c r="AB375" s="70"/>
      <c r="AC375" s="70">
        <v>1.1876909091331964E-2</v>
      </c>
      <c r="AD375" s="71"/>
      <c r="AE375" s="233"/>
      <c r="AF375" s="72"/>
      <c r="AG375" s="73">
        <v>3.8</v>
      </c>
      <c r="AH375" s="73">
        <v>4.5132254547061462E-2</v>
      </c>
      <c r="AI375" s="73">
        <v>0</v>
      </c>
      <c r="AJ375" s="73">
        <v>0</v>
      </c>
      <c r="AK375" s="73">
        <v>4.5132254547061462E-2</v>
      </c>
      <c r="AL375" s="129">
        <v>0</v>
      </c>
      <c r="AM375" s="202">
        <f t="shared" si="88"/>
        <v>2.7304725936113561E-6</v>
      </c>
      <c r="AN375" s="202">
        <f t="shared" si="89"/>
        <v>0</v>
      </c>
      <c r="AO375" s="202">
        <f t="shared" si="90"/>
        <v>0</v>
      </c>
      <c r="AP375" s="202">
        <f t="shared" si="91"/>
        <v>2.7304725936113561E-6</v>
      </c>
      <c r="AQ375" s="202">
        <f t="shared" si="92"/>
        <v>0</v>
      </c>
      <c r="AR375" s="217" t="s">
        <v>1016</v>
      </c>
      <c r="AS375" s="226" t="s">
        <v>1660</v>
      </c>
      <c r="AT375" s="234">
        <v>311710</v>
      </c>
      <c r="AU375" s="244">
        <f t="shared" si="93"/>
        <v>4.5132254547061462E-2</v>
      </c>
      <c r="AV375" s="244">
        <f t="shared" si="94"/>
        <v>0</v>
      </c>
      <c r="AW375" s="244">
        <f t="shared" si="95"/>
        <v>0</v>
      </c>
      <c r="AX375" s="244">
        <f t="shared" si="96"/>
        <v>4.5132254547061462E-2</v>
      </c>
      <c r="AY375" s="244">
        <f t="shared" si="97"/>
        <v>0</v>
      </c>
      <c r="AZ375">
        <v>3.480412920536839E-5</v>
      </c>
    </row>
    <row r="376" spans="1:52" ht="15" customHeight="1" x14ac:dyDescent="0.35">
      <c r="A376" s="145" t="s">
        <v>1016</v>
      </c>
      <c r="B376" s="78" t="s">
        <v>1017</v>
      </c>
      <c r="C376" s="78" t="s">
        <v>124</v>
      </c>
      <c r="D376" s="78" t="s">
        <v>124</v>
      </c>
      <c r="E376" s="78" t="s">
        <v>1054</v>
      </c>
      <c r="F376" s="145" t="s">
        <v>1055</v>
      </c>
      <c r="G376" s="78" t="s">
        <v>1020</v>
      </c>
      <c r="H376" s="145" t="s">
        <v>975</v>
      </c>
      <c r="I376" s="145" t="s">
        <v>739</v>
      </c>
      <c r="J376" s="98"/>
      <c r="K376" s="228">
        <f t="shared" si="98"/>
        <v>20</v>
      </c>
      <c r="L376" s="269">
        <v>20</v>
      </c>
      <c r="M376" s="269"/>
      <c r="N376" s="269"/>
      <c r="O376" s="269">
        <v>1</v>
      </c>
      <c r="P376" s="269"/>
      <c r="Q376" s="269"/>
      <c r="R376" s="269"/>
      <c r="S376" s="166" t="s">
        <v>1022</v>
      </c>
      <c r="T376" s="82"/>
      <c r="U376" s="238">
        <f t="shared" si="83"/>
        <v>9.5669525723106538E-3</v>
      </c>
      <c r="V376" s="238">
        <f t="shared" si="84"/>
        <v>0</v>
      </c>
      <c r="W376" s="238">
        <f t="shared" si="85"/>
        <v>9.5669525723106538E-3</v>
      </c>
      <c r="X376" s="238">
        <f t="shared" si="86"/>
        <v>0</v>
      </c>
      <c r="Y376" s="238">
        <f t="shared" si="87"/>
        <v>0</v>
      </c>
      <c r="Z376" s="70">
        <v>9.5669525723106538E-3</v>
      </c>
      <c r="AA376" s="70"/>
      <c r="AB376" s="70">
        <v>9.5669525723106538E-3</v>
      </c>
      <c r="AC376" s="70"/>
      <c r="AD376" s="71"/>
      <c r="AE376" s="81"/>
      <c r="AF376" s="84"/>
      <c r="AG376" s="85">
        <v>3.8</v>
      </c>
      <c r="AH376" s="85">
        <v>3.6354419774780482E-2</v>
      </c>
      <c r="AI376" s="85">
        <v>0</v>
      </c>
      <c r="AJ376" s="85">
        <v>3.6354419774780482E-2</v>
      </c>
      <c r="AK376" s="85">
        <v>0</v>
      </c>
      <c r="AL376" s="133">
        <v>0</v>
      </c>
      <c r="AM376" s="202">
        <f t="shared" si="88"/>
        <v>2.1994191925017385E-6</v>
      </c>
      <c r="AN376" s="202">
        <f t="shared" si="89"/>
        <v>0</v>
      </c>
      <c r="AO376" s="202">
        <f t="shared" si="90"/>
        <v>2.1994191925017385E-6</v>
      </c>
      <c r="AP376" s="202">
        <f t="shared" si="91"/>
        <v>0</v>
      </c>
      <c r="AQ376" s="202">
        <f t="shared" si="92"/>
        <v>0</v>
      </c>
      <c r="AR376" s="213" t="s">
        <v>1016</v>
      </c>
      <c r="AS376" s="226" t="s">
        <v>1660</v>
      </c>
      <c r="AT376" s="234">
        <v>311710</v>
      </c>
      <c r="AU376" s="244">
        <f t="shared" si="93"/>
        <v>3.6354419774780482E-2</v>
      </c>
      <c r="AV376" s="244">
        <f t="shared" si="94"/>
        <v>0</v>
      </c>
      <c r="AW376" s="244">
        <f t="shared" si="95"/>
        <v>3.6354419774780482E-2</v>
      </c>
      <c r="AX376" s="244">
        <f t="shared" si="96"/>
        <v>0</v>
      </c>
      <c r="AY376" s="244">
        <f t="shared" si="97"/>
        <v>0</v>
      </c>
      <c r="AZ376">
        <v>2.803502585292499E-5</v>
      </c>
    </row>
    <row r="377" spans="1:52" ht="14.25" customHeight="1" x14ac:dyDescent="0.35">
      <c r="A377" s="139" t="s">
        <v>1056</v>
      </c>
      <c r="B377" s="67" t="s">
        <v>1057</v>
      </c>
      <c r="C377" s="67" t="s">
        <v>149</v>
      </c>
      <c r="D377" s="67" t="s">
        <v>1058</v>
      </c>
      <c r="E377" s="67" t="s">
        <v>1059</v>
      </c>
      <c r="F377" s="67" t="s">
        <v>1060</v>
      </c>
      <c r="G377" s="67" t="s">
        <v>1020</v>
      </c>
      <c r="H377" s="139" t="s">
        <v>1061</v>
      </c>
      <c r="I377" s="139" t="s">
        <v>1062</v>
      </c>
      <c r="J377" s="95"/>
      <c r="K377" s="228">
        <f t="shared" si="98"/>
        <v>20</v>
      </c>
      <c r="L377" s="269">
        <v>20</v>
      </c>
      <c r="M377" s="269"/>
      <c r="N377" s="269"/>
      <c r="O377" s="269">
        <v>1</v>
      </c>
      <c r="P377" s="269"/>
      <c r="Q377" s="269"/>
      <c r="R377" s="269"/>
      <c r="S377" s="167" t="s">
        <v>1063</v>
      </c>
      <c r="T377" s="70"/>
      <c r="U377" s="238">
        <f t="shared" si="83"/>
        <v>5.5400081226870523E-4</v>
      </c>
      <c r="V377" s="238">
        <f t="shared" si="84"/>
        <v>0</v>
      </c>
      <c r="W377" s="238">
        <f t="shared" si="85"/>
        <v>5.5400081226870523E-4</v>
      </c>
      <c r="X377" s="238">
        <f t="shared" si="86"/>
        <v>0</v>
      </c>
      <c r="Y377" s="238">
        <f t="shared" si="87"/>
        <v>0</v>
      </c>
      <c r="Z377" s="82">
        <v>5.5400081226870523E-4</v>
      </c>
      <c r="AA377" s="82"/>
      <c r="AB377" s="82">
        <v>5.5400081226870523E-4</v>
      </c>
      <c r="AC377" s="82"/>
      <c r="AD377" s="83"/>
      <c r="AE377" s="233"/>
      <c r="AF377" s="72"/>
      <c r="AG377" s="73">
        <v>19.96</v>
      </c>
      <c r="AH377" s="73">
        <v>1.1057856212883356E-2</v>
      </c>
      <c r="AI377" s="73">
        <v>0</v>
      </c>
      <c r="AJ377" s="73">
        <v>1.1057856212883356E-2</v>
      </c>
      <c r="AK377" s="73">
        <v>0</v>
      </c>
      <c r="AL377" s="129">
        <v>0</v>
      </c>
      <c r="AM377" s="202">
        <f t="shared" si="88"/>
        <v>6.6899324300072942E-7</v>
      </c>
      <c r="AN377" s="202">
        <f t="shared" si="89"/>
        <v>0</v>
      </c>
      <c r="AO377" s="202">
        <f t="shared" si="90"/>
        <v>6.6899324300072942E-7</v>
      </c>
      <c r="AP377" s="202">
        <f t="shared" si="91"/>
        <v>0</v>
      </c>
      <c r="AQ377" s="202">
        <f t="shared" si="92"/>
        <v>0</v>
      </c>
      <c r="AR377" s="217" t="s">
        <v>1056</v>
      </c>
      <c r="AS377" s="226" t="s">
        <v>1660</v>
      </c>
      <c r="AT377" s="234">
        <v>311615</v>
      </c>
      <c r="AU377" s="244">
        <f t="shared" si="93"/>
        <v>1.1057856212883356E-2</v>
      </c>
      <c r="AV377" s="244">
        <f t="shared" si="94"/>
        <v>0</v>
      </c>
      <c r="AW377" s="244">
        <f t="shared" si="95"/>
        <v>1.1057856212883356E-2</v>
      </c>
      <c r="AX377" s="244">
        <f t="shared" si="96"/>
        <v>0</v>
      </c>
      <c r="AY377" s="244">
        <f t="shared" si="97"/>
        <v>0</v>
      </c>
      <c r="AZ377">
        <v>8.5273616447914838E-6</v>
      </c>
    </row>
    <row r="378" spans="1:52" ht="15.75" customHeight="1" x14ac:dyDescent="0.35">
      <c r="A378" s="139" t="s">
        <v>1056</v>
      </c>
      <c r="B378" s="67" t="s">
        <v>1057</v>
      </c>
      <c r="C378" s="67" t="s">
        <v>99</v>
      </c>
      <c r="D378" s="67" t="s">
        <v>1064</v>
      </c>
      <c r="E378" s="67" t="s">
        <v>1065</v>
      </c>
      <c r="F378" s="67" t="s">
        <v>1066</v>
      </c>
      <c r="G378" s="67" t="s">
        <v>1020</v>
      </c>
      <c r="H378" s="139" t="s">
        <v>1067</v>
      </c>
      <c r="I378" s="139" t="s">
        <v>1068</v>
      </c>
      <c r="J378" s="143" t="s">
        <v>1027</v>
      </c>
      <c r="K378" s="228">
        <f t="shared" si="98"/>
        <v>20</v>
      </c>
      <c r="L378" s="269">
        <v>20</v>
      </c>
      <c r="M378" s="269"/>
      <c r="N378" s="269"/>
      <c r="O378" s="269">
        <v>1</v>
      </c>
      <c r="P378" s="269"/>
      <c r="Q378" s="269"/>
      <c r="R378" s="269"/>
      <c r="S378" s="165" t="s">
        <v>1063</v>
      </c>
      <c r="T378" s="70"/>
      <c r="U378" s="238">
        <f t="shared" si="83"/>
        <v>7.6944557259542399E-4</v>
      </c>
      <c r="V378" s="238">
        <f t="shared" si="84"/>
        <v>0</v>
      </c>
      <c r="W378" s="238">
        <f t="shared" si="85"/>
        <v>7.6944557259542399E-4</v>
      </c>
      <c r="X378" s="238">
        <f t="shared" si="86"/>
        <v>0</v>
      </c>
      <c r="Y378" s="238">
        <f t="shared" si="87"/>
        <v>0</v>
      </c>
      <c r="Z378" s="70">
        <v>7.6944557259542399E-4</v>
      </c>
      <c r="AA378" s="70"/>
      <c r="AB378" s="70">
        <v>7.6944557259542399E-4</v>
      </c>
      <c r="AC378" s="70"/>
      <c r="AD378" s="71"/>
      <c r="AE378" s="233"/>
      <c r="AF378" s="72"/>
      <c r="AG378" s="73">
        <v>19.96</v>
      </c>
      <c r="AH378" s="73">
        <v>1.5358133629004664E-2</v>
      </c>
      <c r="AI378" s="73">
        <v>0</v>
      </c>
      <c r="AJ378" s="73">
        <v>1.5358133629004664E-2</v>
      </c>
      <c r="AK378" s="73">
        <v>0</v>
      </c>
      <c r="AL378" s="129">
        <v>0</v>
      </c>
      <c r="AM378" s="202">
        <f t="shared" si="88"/>
        <v>9.2915728194545773E-7</v>
      </c>
      <c r="AN378" s="202">
        <f t="shared" si="89"/>
        <v>0</v>
      </c>
      <c r="AO378" s="202">
        <f t="shared" si="90"/>
        <v>9.2915728194545773E-7</v>
      </c>
      <c r="AP378" s="202">
        <f t="shared" si="91"/>
        <v>0</v>
      </c>
      <c r="AQ378" s="202">
        <f t="shared" si="92"/>
        <v>0</v>
      </c>
      <c r="AR378" s="217" t="s">
        <v>1056</v>
      </c>
      <c r="AS378" s="226" t="s">
        <v>1660</v>
      </c>
      <c r="AT378" s="234">
        <v>311615</v>
      </c>
      <c r="AU378" s="244">
        <f t="shared" si="93"/>
        <v>1.5358133629004664E-2</v>
      </c>
      <c r="AV378" s="244">
        <f t="shared" si="94"/>
        <v>0</v>
      </c>
      <c r="AW378" s="244">
        <f t="shared" si="95"/>
        <v>1.5358133629004664E-2</v>
      </c>
      <c r="AX378" s="244">
        <f t="shared" si="96"/>
        <v>0</v>
      </c>
      <c r="AY378" s="244">
        <f t="shared" si="97"/>
        <v>0</v>
      </c>
      <c r="AZ378">
        <v>1.1843557839988173E-5</v>
      </c>
    </row>
    <row r="379" spans="1:52" ht="15.75" customHeight="1" x14ac:dyDescent="0.35">
      <c r="A379" s="139" t="s">
        <v>1056</v>
      </c>
      <c r="B379" s="67" t="s">
        <v>1057</v>
      </c>
      <c r="C379" s="67" t="s">
        <v>92</v>
      </c>
      <c r="D379" s="67" t="s">
        <v>1069</v>
      </c>
      <c r="E379" s="67" t="s">
        <v>1070</v>
      </c>
      <c r="F379" s="67" t="s">
        <v>1071</v>
      </c>
      <c r="G379" s="67" t="s">
        <v>1020</v>
      </c>
      <c r="H379" s="139" t="s">
        <v>741</v>
      </c>
      <c r="I379" s="139" t="s">
        <v>1072</v>
      </c>
      <c r="J379" s="105">
        <v>0.85</v>
      </c>
      <c r="K379" s="228">
        <f t="shared" si="98"/>
        <v>60</v>
      </c>
      <c r="L379" s="269">
        <v>60</v>
      </c>
      <c r="M379" s="269"/>
      <c r="N379" s="269"/>
      <c r="O379" s="269">
        <v>1</v>
      </c>
      <c r="P379" s="269"/>
      <c r="Q379" s="269"/>
      <c r="R379" s="269"/>
      <c r="S379" s="165" t="s">
        <v>1063</v>
      </c>
      <c r="T379" s="70"/>
      <c r="U379" s="238">
        <f t="shared" si="83"/>
        <v>0.58416789804947467</v>
      </c>
      <c r="V379" s="238">
        <f t="shared" si="84"/>
        <v>0</v>
      </c>
      <c r="W379" s="238">
        <f t="shared" si="85"/>
        <v>6.2478980494748426E-3</v>
      </c>
      <c r="X379" s="238">
        <f t="shared" si="86"/>
        <v>0</v>
      </c>
      <c r="Y379" s="238">
        <f t="shared" si="87"/>
        <v>0.57791999999999988</v>
      </c>
      <c r="Z379" s="70">
        <v>0.58416789804947467</v>
      </c>
      <c r="AA379" s="70"/>
      <c r="AB379" s="70">
        <v>6.2478980494748426E-3</v>
      </c>
      <c r="AC379" s="70"/>
      <c r="AD379" s="71">
        <v>0.57791999999999988</v>
      </c>
      <c r="AE379" s="120">
        <v>152</v>
      </c>
      <c r="AF379" s="121">
        <v>5</v>
      </c>
      <c r="AG379" s="73">
        <v>19.96</v>
      </c>
      <c r="AH379" s="73">
        <v>11.659991245067514</v>
      </c>
      <c r="AI379" s="73">
        <v>0</v>
      </c>
      <c r="AJ379" s="73">
        <v>0.12470804506751787</v>
      </c>
      <c r="AK379" s="73">
        <v>0</v>
      </c>
      <c r="AL379" s="129">
        <v>11.535283199999999</v>
      </c>
      <c r="AM379" s="202">
        <f t="shared" si="88"/>
        <v>7.0542202812418802E-4</v>
      </c>
      <c r="AN379" s="202">
        <f t="shared" si="89"/>
        <v>0</v>
      </c>
      <c r="AO379" s="202">
        <f t="shared" si="90"/>
        <v>7.544757129397117E-6</v>
      </c>
      <c r="AP379" s="202">
        <f t="shared" si="91"/>
        <v>0</v>
      </c>
      <c r="AQ379" s="202">
        <f t="shared" si="92"/>
        <v>6.9787727099479102E-4</v>
      </c>
      <c r="AR379" s="217" t="s">
        <v>1056</v>
      </c>
      <c r="AS379" s="226" t="s">
        <v>1660</v>
      </c>
      <c r="AT379" s="234">
        <v>311615</v>
      </c>
      <c r="AU379" s="244">
        <f t="shared" si="93"/>
        <v>11.659991245067514</v>
      </c>
      <c r="AV379" s="244">
        <f t="shared" si="94"/>
        <v>0</v>
      </c>
      <c r="AW379" s="244">
        <f t="shared" si="95"/>
        <v>0.12470804506751787</v>
      </c>
      <c r="AX379" s="244">
        <f t="shared" si="96"/>
        <v>0</v>
      </c>
      <c r="AY379" s="244">
        <f t="shared" si="97"/>
        <v>11.535283199999999</v>
      </c>
      <c r="AZ379">
        <v>8.9917032928995676E-3</v>
      </c>
    </row>
    <row r="380" spans="1:52" ht="15.75" customHeight="1" x14ac:dyDescent="0.35">
      <c r="A380" s="139" t="s">
        <v>1056</v>
      </c>
      <c r="B380" s="67" t="s">
        <v>1057</v>
      </c>
      <c r="C380" s="67" t="s">
        <v>92</v>
      </c>
      <c r="D380" s="67" t="s">
        <v>1073</v>
      </c>
      <c r="E380" s="67" t="s">
        <v>1074</v>
      </c>
      <c r="F380" s="67" t="s">
        <v>1075</v>
      </c>
      <c r="G380" s="67" t="s">
        <v>1020</v>
      </c>
      <c r="H380" s="139" t="s">
        <v>1076</v>
      </c>
      <c r="I380" s="139" t="s">
        <v>1077</v>
      </c>
      <c r="J380" s="95"/>
      <c r="K380" s="228">
        <f t="shared" si="98"/>
        <v>60</v>
      </c>
      <c r="L380" s="269">
        <v>60</v>
      </c>
      <c r="M380" s="269"/>
      <c r="N380" s="269"/>
      <c r="O380" s="269">
        <v>1</v>
      </c>
      <c r="P380" s="269"/>
      <c r="Q380" s="269"/>
      <c r="R380" s="269"/>
      <c r="S380" s="165" t="s">
        <v>1063</v>
      </c>
      <c r="T380" s="70"/>
      <c r="U380" s="238">
        <f t="shared" si="83"/>
        <v>2.7669262790531449E-2</v>
      </c>
      <c r="V380" s="238">
        <f t="shared" si="84"/>
        <v>0</v>
      </c>
      <c r="W380" s="238">
        <f t="shared" si="85"/>
        <v>2.7669262790531449E-2</v>
      </c>
      <c r="X380" s="238">
        <f t="shared" si="86"/>
        <v>0</v>
      </c>
      <c r="Y380" s="238">
        <f t="shared" si="87"/>
        <v>0</v>
      </c>
      <c r="Z380" s="70">
        <v>2.7669262790531449E-2</v>
      </c>
      <c r="AA380" s="70"/>
      <c r="AB380" s="70">
        <v>2.7669262790531449E-2</v>
      </c>
      <c r="AC380" s="70"/>
      <c r="AD380" s="71"/>
      <c r="AE380" s="233"/>
      <c r="AF380" s="72"/>
      <c r="AG380" s="73">
        <v>19.96</v>
      </c>
      <c r="AH380" s="73">
        <v>0.5522784852990078</v>
      </c>
      <c r="AI380" s="73">
        <v>0</v>
      </c>
      <c r="AJ380" s="73">
        <v>0.5522784852990078</v>
      </c>
      <c r="AK380" s="73">
        <v>0</v>
      </c>
      <c r="AL380" s="129">
        <v>0</v>
      </c>
      <c r="AM380" s="202">
        <f t="shared" si="88"/>
        <v>3.3412495858758667E-5</v>
      </c>
      <c r="AN380" s="202">
        <f t="shared" si="89"/>
        <v>0</v>
      </c>
      <c r="AO380" s="202">
        <f t="shared" si="90"/>
        <v>3.3412495858758667E-5</v>
      </c>
      <c r="AP380" s="202">
        <f t="shared" si="91"/>
        <v>0</v>
      </c>
      <c r="AQ380" s="202">
        <f t="shared" si="92"/>
        <v>0</v>
      </c>
      <c r="AR380" s="217" t="s">
        <v>1056</v>
      </c>
      <c r="AS380" s="226" t="s">
        <v>1660</v>
      </c>
      <c r="AT380" s="234">
        <v>311615</v>
      </c>
      <c r="AU380" s="244">
        <f t="shared" si="93"/>
        <v>0.5522784852990078</v>
      </c>
      <c r="AV380" s="244">
        <f t="shared" si="94"/>
        <v>0</v>
      </c>
      <c r="AW380" s="244">
        <f t="shared" si="95"/>
        <v>0.5522784852990078</v>
      </c>
      <c r="AX380" s="244">
        <f t="shared" si="96"/>
        <v>0</v>
      </c>
      <c r="AY380" s="244">
        <f t="shared" si="97"/>
        <v>0</v>
      </c>
      <c r="AZ380">
        <v>4.258943399259748E-4</v>
      </c>
    </row>
    <row r="381" spans="1:52" ht="15.75" customHeight="1" x14ac:dyDescent="0.35">
      <c r="A381" s="139" t="s">
        <v>1056</v>
      </c>
      <c r="B381" s="67" t="s">
        <v>1057</v>
      </c>
      <c r="C381" s="67" t="s">
        <v>154</v>
      </c>
      <c r="D381" s="67" t="s">
        <v>1078</v>
      </c>
      <c r="E381" s="67" t="s">
        <v>1079</v>
      </c>
      <c r="F381" s="67" t="s">
        <v>1080</v>
      </c>
      <c r="G381" s="67" t="s">
        <v>1020</v>
      </c>
      <c r="H381" s="139" t="s">
        <v>975</v>
      </c>
      <c r="I381" s="139" t="s">
        <v>1081</v>
      </c>
      <c r="J381" s="143" t="s">
        <v>1027</v>
      </c>
      <c r="K381" s="228">
        <f t="shared" si="98"/>
        <v>20</v>
      </c>
      <c r="L381" s="269">
        <v>20</v>
      </c>
      <c r="M381" s="269"/>
      <c r="N381" s="269"/>
      <c r="O381" s="269">
        <v>1</v>
      </c>
      <c r="P381" s="269"/>
      <c r="Q381" s="269"/>
      <c r="R381" s="269"/>
      <c r="S381" s="165" t="s">
        <v>1063</v>
      </c>
      <c r="T381" s="70"/>
      <c r="U381" s="238">
        <f t="shared" si="83"/>
        <v>7.0137861249759811E-3</v>
      </c>
      <c r="V381" s="238">
        <f t="shared" si="84"/>
        <v>0</v>
      </c>
      <c r="W381" s="238">
        <f t="shared" si="85"/>
        <v>7.0137861249759811E-3</v>
      </c>
      <c r="X381" s="238">
        <f t="shared" si="86"/>
        <v>0</v>
      </c>
      <c r="Y381" s="238">
        <f t="shared" si="87"/>
        <v>0</v>
      </c>
      <c r="Z381" s="70">
        <v>7.0137861249759811E-3</v>
      </c>
      <c r="AA381" s="70"/>
      <c r="AB381" s="70">
        <v>7.0137861249759811E-3</v>
      </c>
      <c r="AC381" s="70"/>
      <c r="AD381" s="71"/>
      <c r="AE381" s="233"/>
      <c r="AF381" s="72"/>
      <c r="AG381" s="73">
        <v>19.96</v>
      </c>
      <c r="AH381" s="73">
        <v>0.13999517105452058</v>
      </c>
      <c r="AI381" s="73">
        <v>0</v>
      </c>
      <c r="AJ381" s="73">
        <v>0.13999517105452058</v>
      </c>
      <c r="AK381" s="73">
        <v>0</v>
      </c>
      <c r="AL381" s="129">
        <v>0</v>
      </c>
      <c r="AM381" s="202">
        <f t="shared" si="88"/>
        <v>8.4696184943233817E-6</v>
      </c>
      <c r="AN381" s="202">
        <f t="shared" si="89"/>
        <v>0</v>
      </c>
      <c r="AO381" s="202">
        <f t="shared" si="90"/>
        <v>8.4696184943233817E-6</v>
      </c>
      <c r="AP381" s="202">
        <f t="shared" si="91"/>
        <v>0</v>
      </c>
      <c r="AQ381" s="202">
        <f t="shared" si="92"/>
        <v>0</v>
      </c>
      <c r="AR381" s="217" t="s">
        <v>1056</v>
      </c>
      <c r="AS381" s="226" t="s">
        <v>1660</v>
      </c>
      <c r="AT381" s="234">
        <v>311615</v>
      </c>
      <c r="AU381" s="244">
        <f t="shared" si="93"/>
        <v>0.13999517105452058</v>
      </c>
      <c r="AV381" s="244">
        <f t="shared" si="94"/>
        <v>0</v>
      </c>
      <c r="AW381" s="244">
        <f t="shared" si="95"/>
        <v>0.13999517105452058</v>
      </c>
      <c r="AX381" s="244">
        <f t="shared" si="96"/>
        <v>0</v>
      </c>
      <c r="AY381" s="244">
        <f t="shared" si="97"/>
        <v>0</v>
      </c>
      <c r="AZ381">
        <v>1.0795848934221753E-4</v>
      </c>
    </row>
    <row r="382" spans="1:52" ht="15.75" customHeight="1" x14ac:dyDescent="0.35">
      <c r="A382" s="139" t="s">
        <v>1056</v>
      </c>
      <c r="B382" s="67" t="s">
        <v>1057</v>
      </c>
      <c r="C382" s="67" t="s">
        <v>67</v>
      </c>
      <c r="D382" s="67" t="s">
        <v>1082</v>
      </c>
      <c r="E382" s="67" t="s">
        <v>1083</v>
      </c>
      <c r="F382" s="67" t="s">
        <v>1084</v>
      </c>
      <c r="G382" s="67" t="s">
        <v>1020</v>
      </c>
      <c r="H382" s="139" t="s">
        <v>582</v>
      </c>
      <c r="I382" s="139" t="s">
        <v>1085</v>
      </c>
      <c r="J382" s="95"/>
      <c r="K382" s="228">
        <v>4</v>
      </c>
      <c r="L382" s="269" t="s">
        <v>1086</v>
      </c>
      <c r="M382" s="269"/>
      <c r="N382" s="269"/>
      <c r="O382" s="269">
        <v>1</v>
      </c>
      <c r="P382" s="269"/>
      <c r="Q382" s="269"/>
      <c r="R382" s="269"/>
      <c r="S382" s="165" t="s">
        <v>1063</v>
      </c>
      <c r="T382" s="70"/>
      <c r="U382" s="238">
        <f t="shared" si="83"/>
        <v>1.4591899869202906E-2</v>
      </c>
      <c r="V382" s="238">
        <f t="shared" si="84"/>
        <v>0</v>
      </c>
      <c r="W382" s="238">
        <f t="shared" si="85"/>
        <v>1.4591899869202906E-2</v>
      </c>
      <c r="X382" s="238">
        <f t="shared" si="86"/>
        <v>0</v>
      </c>
      <c r="Y382" s="238">
        <f t="shared" si="87"/>
        <v>0</v>
      </c>
      <c r="Z382" s="70">
        <v>1.4591899869202906E-2</v>
      </c>
      <c r="AA382" s="70"/>
      <c r="AB382" s="70">
        <v>1.4591899869202906E-2</v>
      </c>
      <c r="AC382" s="70"/>
      <c r="AD382" s="71"/>
      <c r="AE382" s="233"/>
      <c r="AF382" s="72"/>
      <c r="AG382" s="73">
        <v>19.96</v>
      </c>
      <c r="AH382" s="73">
        <v>0.29125432138929003</v>
      </c>
      <c r="AI382" s="73">
        <v>0</v>
      </c>
      <c r="AJ382" s="73">
        <v>0.29125432138929003</v>
      </c>
      <c r="AK382" s="73">
        <v>0</v>
      </c>
      <c r="AL382" s="129">
        <v>0</v>
      </c>
      <c r="AM382" s="202">
        <f t="shared" si="88"/>
        <v>1.762070054566129E-5</v>
      </c>
      <c r="AN382" s="202">
        <f t="shared" si="89"/>
        <v>0</v>
      </c>
      <c r="AO382" s="202">
        <f t="shared" si="90"/>
        <v>1.762070054566129E-5</v>
      </c>
      <c r="AP382" s="202">
        <f t="shared" si="91"/>
        <v>0</v>
      </c>
      <c r="AQ382" s="202">
        <f t="shared" si="92"/>
        <v>0</v>
      </c>
      <c r="AR382" s="217" t="s">
        <v>1056</v>
      </c>
      <c r="AS382" s="226" t="s">
        <v>1660</v>
      </c>
      <c r="AT382" s="234">
        <v>311615</v>
      </c>
      <c r="AU382" s="244">
        <f t="shared" si="93"/>
        <v>0.29125432138929003</v>
      </c>
      <c r="AV382" s="244">
        <f t="shared" si="94"/>
        <v>0</v>
      </c>
      <c r="AW382" s="244">
        <f t="shared" si="95"/>
        <v>0.29125432138929003</v>
      </c>
      <c r="AX382" s="244">
        <f t="shared" si="96"/>
        <v>0</v>
      </c>
      <c r="AY382" s="244">
        <f t="shared" si="97"/>
        <v>0</v>
      </c>
      <c r="AZ382">
        <v>2.2460329391886641E-4</v>
      </c>
    </row>
    <row r="383" spans="1:52" ht="15.75" customHeight="1" x14ac:dyDescent="0.35">
      <c r="A383" s="139" t="s">
        <v>1056</v>
      </c>
      <c r="B383" s="67" t="s">
        <v>1057</v>
      </c>
      <c r="C383" s="67" t="s">
        <v>124</v>
      </c>
      <c r="D383" s="67" t="s">
        <v>124</v>
      </c>
      <c r="E383" s="67" t="s">
        <v>1054</v>
      </c>
      <c r="F383" s="67" t="s">
        <v>1087</v>
      </c>
      <c r="G383" s="67" t="s">
        <v>1020</v>
      </c>
      <c r="H383" s="139" t="s">
        <v>125</v>
      </c>
      <c r="I383" s="139" t="s">
        <v>125</v>
      </c>
      <c r="J383" s="95"/>
      <c r="K383" s="228">
        <v>-2.5</v>
      </c>
      <c r="L383" s="269" t="s">
        <v>1088</v>
      </c>
      <c r="M383" s="269"/>
      <c r="N383" s="269"/>
      <c r="O383" s="269">
        <v>1</v>
      </c>
      <c r="P383" s="269"/>
      <c r="Q383" s="269"/>
      <c r="R383" s="269"/>
      <c r="S383" s="165" t="s">
        <v>1063</v>
      </c>
      <c r="T383" s="70"/>
      <c r="U383" s="238">
        <f t="shared" si="83"/>
        <v>2.084136608535133E-2</v>
      </c>
      <c r="V383" s="238">
        <f t="shared" si="84"/>
        <v>0</v>
      </c>
      <c r="W383" s="238">
        <f t="shared" si="85"/>
        <v>2.084136608535133E-2</v>
      </c>
      <c r="X383" s="238">
        <f t="shared" si="86"/>
        <v>0</v>
      </c>
      <c r="Y383" s="238">
        <f t="shared" si="87"/>
        <v>0</v>
      </c>
      <c r="Z383" s="70">
        <v>2.084136608535133E-2</v>
      </c>
      <c r="AA383" s="70"/>
      <c r="AB383" s="70">
        <v>2.084136608535133E-2</v>
      </c>
      <c r="AC383" s="70"/>
      <c r="AD383" s="71"/>
      <c r="AE383" s="233"/>
      <c r="AF383" s="72"/>
      <c r="AG383" s="73">
        <v>19.96</v>
      </c>
      <c r="AH383" s="73">
        <v>0.41599366706361257</v>
      </c>
      <c r="AI383" s="73">
        <v>0</v>
      </c>
      <c r="AJ383" s="73">
        <v>0.41599366706361257</v>
      </c>
      <c r="AK383" s="73">
        <v>0</v>
      </c>
      <c r="AL383" s="129">
        <v>0</v>
      </c>
      <c r="AM383" s="202">
        <f t="shared" si="88"/>
        <v>2.5167351341791907E-5</v>
      </c>
      <c r="AN383" s="202">
        <f t="shared" si="89"/>
        <v>0</v>
      </c>
      <c r="AO383" s="202">
        <f t="shared" si="90"/>
        <v>2.5167351341791907E-5</v>
      </c>
      <c r="AP383" s="202">
        <f t="shared" si="91"/>
        <v>0</v>
      </c>
      <c r="AQ383" s="202">
        <f t="shared" si="92"/>
        <v>0</v>
      </c>
      <c r="AR383" s="217" t="s">
        <v>1056</v>
      </c>
      <c r="AS383" s="226" t="s">
        <v>1660</v>
      </c>
      <c r="AT383" s="234">
        <v>311615</v>
      </c>
      <c r="AU383" s="244">
        <f t="shared" si="93"/>
        <v>0.41599366706361257</v>
      </c>
      <c r="AV383" s="244">
        <f t="shared" si="94"/>
        <v>0</v>
      </c>
      <c r="AW383" s="244">
        <f t="shared" si="95"/>
        <v>0.41599366706361257</v>
      </c>
      <c r="AX383" s="244">
        <f t="shared" si="96"/>
        <v>0</v>
      </c>
      <c r="AY383" s="244">
        <f t="shared" si="97"/>
        <v>0</v>
      </c>
      <c r="AZ383">
        <v>3.2079712131375559E-4</v>
      </c>
    </row>
    <row r="384" spans="1:52" ht="15.75" customHeight="1" x14ac:dyDescent="0.35">
      <c r="A384" s="139" t="s">
        <v>1056</v>
      </c>
      <c r="B384" s="67" t="s">
        <v>1057</v>
      </c>
      <c r="C384" s="67" t="s">
        <v>67</v>
      </c>
      <c r="D384" s="67" t="s">
        <v>79</v>
      </c>
      <c r="E384" s="67" t="s">
        <v>1089</v>
      </c>
      <c r="F384" s="67" t="s">
        <v>1090</v>
      </c>
      <c r="G384" s="67" t="s">
        <v>1020</v>
      </c>
      <c r="H384" s="139" t="s">
        <v>1030</v>
      </c>
      <c r="I384" s="139" t="s">
        <v>1091</v>
      </c>
      <c r="J384" s="95"/>
      <c r="K384" s="228">
        <v>2</v>
      </c>
      <c r="L384" s="269" t="s">
        <v>1092</v>
      </c>
      <c r="M384" s="269"/>
      <c r="N384" s="269"/>
      <c r="O384" s="269">
        <v>1</v>
      </c>
      <c r="P384" s="269"/>
      <c r="Q384" s="269"/>
      <c r="R384" s="269"/>
      <c r="S384" s="165" t="s">
        <v>1063</v>
      </c>
      <c r="T384" s="70"/>
      <c r="U384" s="238">
        <f t="shared" si="83"/>
        <v>8.1591150267341359E-2</v>
      </c>
      <c r="V384" s="238">
        <f t="shared" si="84"/>
        <v>0</v>
      </c>
      <c r="W384" s="238">
        <f t="shared" si="85"/>
        <v>8.1591150267341359E-2</v>
      </c>
      <c r="X384" s="238">
        <f t="shared" si="86"/>
        <v>0</v>
      </c>
      <c r="Y384" s="238">
        <f t="shared" si="87"/>
        <v>0</v>
      </c>
      <c r="Z384" s="70">
        <v>8.1591150267341359E-2</v>
      </c>
      <c r="AA384" s="70"/>
      <c r="AB384" s="70">
        <v>8.1591150267341359E-2</v>
      </c>
      <c r="AC384" s="70"/>
      <c r="AD384" s="71"/>
      <c r="AE384" s="233"/>
      <c r="AF384" s="72"/>
      <c r="AG384" s="73">
        <v>19.96</v>
      </c>
      <c r="AH384" s="73">
        <v>1.6285593593361336</v>
      </c>
      <c r="AI384" s="73">
        <v>0</v>
      </c>
      <c r="AJ384" s="73">
        <v>1.6285593593361336</v>
      </c>
      <c r="AK384" s="73">
        <v>0</v>
      </c>
      <c r="AL384" s="129">
        <v>0</v>
      </c>
      <c r="AM384" s="202">
        <f t="shared" si="88"/>
        <v>9.8526801782077293E-5</v>
      </c>
      <c r="AN384" s="202">
        <f t="shared" si="89"/>
        <v>0</v>
      </c>
      <c r="AO384" s="202">
        <f t="shared" si="90"/>
        <v>9.8526801782077293E-5</v>
      </c>
      <c r="AP384" s="202">
        <f t="shared" si="91"/>
        <v>0</v>
      </c>
      <c r="AQ384" s="202">
        <f t="shared" si="92"/>
        <v>0</v>
      </c>
      <c r="AR384" s="217" t="s">
        <v>1056</v>
      </c>
      <c r="AS384" s="226" t="s">
        <v>1660</v>
      </c>
      <c r="AT384" s="234">
        <v>311615</v>
      </c>
      <c r="AU384" s="244">
        <f t="shared" si="93"/>
        <v>1.6285593593361336</v>
      </c>
      <c r="AV384" s="244">
        <f t="shared" si="94"/>
        <v>0</v>
      </c>
      <c r="AW384" s="244">
        <f t="shared" si="95"/>
        <v>1.6285593593361336</v>
      </c>
      <c r="AX384" s="244">
        <f t="shared" si="96"/>
        <v>0</v>
      </c>
      <c r="AY384" s="244">
        <f t="shared" si="97"/>
        <v>0</v>
      </c>
      <c r="AZ384">
        <v>1.2558776628772961E-3</v>
      </c>
    </row>
    <row r="385" spans="1:52" ht="15.75" customHeight="1" x14ac:dyDescent="0.35">
      <c r="A385" s="139" t="s">
        <v>1056</v>
      </c>
      <c r="B385" s="67" t="s">
        <v>1057</v>
      </c>
      <c r="C385" s="67" t="s">
        <v>48</v>
      </c>
      <c r="D385" s="67" t="s">
        <v>1093</v>
      </c>
      <c r="E385" s="139" t="s">
        <v>1094</v>
      </c>
      <c r="F385" s="67" t="s">
        <v>1095</v>
      </c>
      <c r="G385" s="67" t="s">
        <v>1020</v>
      </c>
      <c r="H385" s="139" t="s">
        <v>1096</v>
      </c>
      <c r="I385" s="139" t="s">
        <v>1097</v>
      </c>
      <c r="J385" s="95"/>
      <c r="K385" s="228">
        <f>AVERAGE(60,82)</f>
        <v>71</v>
      </c>
      <c r="L385" s="269" t="s">
        <v>1098</v>
      </c>
      <c r="M385" s="269"/>
      <c r="N385" s="269"/>
      <c r="O385" s="269">
        <v>1</v>
      </c>
      <c r="P385" s="269"/>
      <c r="Q385" s="269"/>
      <c r="R385" s="269"/>
      <c r="S385" s="165" t="s">
        <v>1063</v>
      </c>
      <c r="T385" s="70"/>
      <c r="U385" s="238">
        <f t="shared" si="83"/>
        <v>0.11008</v>
      </c>
      <c r="V385" s="238">
        <f t="shared" si="84"/>
        <v>0</v>
      </c>
      <c r="W385" s="238">
        <f t="shared" si="85"/>
        <v>0</v>
      </c>
      <c r="X385" s="238">
        <f t="shared" si="86"/>
        <v>0</v>
      </c>
      <c r="Y385" s="238">
        <f t="shared" si="87"/>
        <v>0.11008</v>
      </c>
      <c r="Z385" s="70">
        <v>0.11008</v>
      </c>
      <c r="AA385" s="70"/>
      <c r="AB385" s="70"/>
      <c r="AC385" s="70"/>
      <c r="AD385" s="71">
        <v>0.11008</v>
      </c>
      <c r="AE385" s="120" t="s">
        <v>1099</v>
      </c>
      <c r="AF385" s="121">
        <v>1</v>
      </c>
      <c r="AG385" s="73">
        <v>19.96</v>
      </c>
      <c r="AH385" s="73">
        <v>2.1971967999999999</v>
      </c>
      <c r="AI385" s="73">
        <v>0</v>
      </c>
      <c r="AJ385" s="73">
        <v>0</v>
      </c>
      <c r="AK385" s="73">
        <v>0</v>
      </c>
      <c r="AL385" s="129">
        <v>2.1971967999999999</v>
      </c>
      <c r="AM385" s="202">
        <f t="shared" si="88"/>
        <v>1.3292900399900783E-4</v>
      </c>
      <c r="AN385" s="202">
        <f t="shared" si="89"/>
        <v>0</v>
      </c>
      <c r="AO385" s="202">
        <f t="shared" si="90"/>
        <v>0</v>
      </c>
      <c r="AP385" s="202">
        <f t="shared" si="91"/>
        <v>0</v>
      </c>
      <c r="AQ385" s="202">
        <f t="shared" si="92"/>
        <v>1.3292900399900783E-4</v>
      </c>
      <c r="AR385" s="217" t="s">
        <v>1056</v>
      </c>
      <c r="AS385" s="226" t="s">
        <v>1660</v>
      </c>
      <c r="AT385" s="234">
        <v>311615</v>
      </c>
      <c r="AU385" s="244">
        <f t="shared" si="93"/>
        <v>2.1971967999999999</v>
      </c>
      <c r="AV385" s="244">
        <f t="shared" si="94"/>
        <v>0</v>
      </c>
      <c r="AW385" s="244">
        <f t="shared" si="95"/>
        <v>0</v>
      </c>
      <c r="AX385" s="244">
        <f t="shared" si="96"/>
        <v>0</v>
      </c>
      <c r="AY385" s="244">
        <f t="shared" si="97"/>
        <v>2.1971967999999999</v>
      </c>
      <c r="AZ385">
        <v>1.6943873529978793E-3</v>
      </c>
    </row>
    <row r="386" spans="1:52" ht="15.75" customHeight="1" x14ac:dyDescent="0.35">
      <c r="A386" s="139" t="s">
        <v>1056</v>
      </c>
      <c r="B386" s="67" t="s">
        <v>1057</v>
      </c>
      <c r="C386" s="78" t="s">
        <v>88</v>
      </c>
      <c r="D386" s="67" t="s">
        <v>1100</v>
      </c>
      <c r="E386" s="67" t="s">
        <v>1101</v>
      </c>
      <c r="F386" s="67" t="s">
        <v>1102</v>
      </c>
      <c r="G386" s="67" t="s">
        <v>1020</v>
      </c>
      <c r="H386" s="139" t="s">
        <v>1103</v>
      </c>
      <c r="I386" s="139" t="s">
        <v>1104</v>
      </c>
      <c r="J386" s="95"/>
      <c r="K386" s="228">
        <f t="shared" si="98"/>
        <v>65</v>
      </c>
      <c r="L386" s="269">
        <v>65</v>
      </c>
      <c r="M386" s="269"/>
      <c r="N386" s="269"/>
      <c r="O386" s="269">
        <v>1</v>
      </c>
      <c r="P386" s="269"/>
      <c r="Q386" s="269"/>
      <c r="R386" s="269"/>
      <c r="S386" s="165" t="s">
        <v>1063</v>
      </c>
      <c r="T386" s="70"/>
      <c r="U386" s="238">
        <f t="shared" si="83"/>
        <v>5.1646188125061852E-2</v>
      </c>
      <c r="V386" s="238">
        <f t="shared" si="84"/>
        <v>0</v>
      </c>
      <c r="W386" s="238">
        <f t="shared" si="85"/>
        <v>5.1646188125061852E-2</v>
      </c>
      <c r="X386" s="238">
        <f t="shared" si="86"/>
        <v>0</v>
      </c>
      <c r="Y386" s="238">
        <f t="shared" si="87"/>
        <v>0</v>
      </c>
      <c r="Z386" s="70">
        <v>5.1646188125061852E-2</v>
      </c>
      <c r="AA386" s="70"/>
      <c r="AB386" s="70">
        <v>5.1646188125061852E-2</v>
      </c>
      <c r="AC386" s="70"/>
      <c r="AD386" s="71"/>
      <c r="AE386" s="233"/>
      <c r="AF386" s="72"/>
      <c r="AG386" s="73">
        <v>19.96</v>
      </c>
      <c r="AH386" s="73">
        <v>1.0308579149762347</v>
      </c>
      <c r="AI386" s="73">
        <v>0</v>
      </c>
      <c r="AJ386" s="73">
        <v>1.0308579149762347</v>
      </c>
      <c r="AK386" s="73">
        <v>0</v>
      </c>
      <c r="AL386" s="129">
        <v>0</v>
      </c>
      <c r="AM386" s="202">
        <f t="shared" si="88"/>
        <v>6.2366245892168042E-5</v>
      </c>
      <c r="AN386" s="202">
        <f t="shared" si="89"/>
        <v>0</v>
      </c>
      <c r="AO386" s="202">
        <f t="shared" si="90"/>
        <v>6.2366245892168042E-5</v>
      </c>
      <c r="AP386" s="202">
        <f t="shared" si="91"/>
        <v>0</v>
      </c>
      <c r="AQ386" s="202">
        <f t="shared" si="92"/>
        <v>0</v>
      </c>
      <c r="AR386" s="217" t="s">
        <v>1056</v>
      </c>
      <c r="AS386" s="226" t="s">
        <v>1660</v>
      </c>
      <c r="AT386" s="234">
        <v>311615</v>
      </c>
      <c r="AU386" s="244">
        <f t="shared" si="93"/>
        <v>1.0308579149762347</v>
      </c>
      <c r="AV386" s="244">
        <f t="shared" si="94"/>
        <v>0</v>
      </c>
      <c r="AW386" s="244">
        <f t="shared" si="95"/>
        <v>1.0308579149762347</v>
      </c>
      <c r="AX386" s="244">
        <f t="shared" si="96"/>
        <v>0</v>
      </c>
      <c r="AY386" s="244">
        <f t="shared" si="97"/>
        <v>0</v>
      </c>
      <c r="AZ386">
        <v>7.9495501444089821E-4</v>
      </c>
    </row>
    <row r="387" spans="1:52" ht="16.5" customHeight="1" x14ac:dyDescent="0.35">
      <c r="A387" s="157" t="s">
        <v>1105</v>
      </c>
      <c r="B387" s="57" t="s">
        <v>1106</v>
      </c>
      <c r="C387" s="67" t="s">
        <v>99</v>
      </c>
      <c r="D387" s="157" t="s">
        <v>1064</v>
      </c>
      <c r="E387" s="157" t="s">
        <v>1107</v>
      </c>
      <c r="F387" s="157" t="s">
        <v>1108</v>
      </c>
      <c r="G387" s="57" t="s">
        <v>1020</v>
      </c>
      <c r="H387" s="157" t="s">
        <v>1067</v>
      </c>
      <c r="I387" s="157" t="s">
        <v>1068</v>
      </c>
      <c r="J387" s="141"/>
      <c r="K387" s="228">
        <f t="shared" si="98"/>
        <v>24</v>
      </c>
      <c r="L387" s="269">
        <v>24</v>
      </c>
      <c r="M387" s="269"/>
      <c r="N387" s="269"/>
      <c r="O387" s="269">
        <v>1</v>
      </c>
      <c r="P387" s="269"/>
      <c r="Q387" s="269"/>
      <c r="R387" s="269"/>
      <c r="S387" s="167" t="s">
        <v>1109</v>
      </c>
      <c r="T387" s="60"/>
      <c r="U387" s="238">
        <f t="shared" si="83"/>
        <v>6.4999999999999997E-3</v>
      </c>
      <c r="V387" s="238">
        <f t="shared" si="84"/>
        <v>0</v>
      </c>
      <c r="W387" s="238">
        <f t="shared" si="85"/>
        <v>6.4999999999999997E-3</v>
      </c>
      <c r="X387" s="238">
        <f t="shared" si="86"/>
        <v>0</v>
      </c>
      <c r="Y387" s="238">
        <f t="shared" si="87"/>
        <v>0</v>
      </c>
      <c r="Z387" s="70">
        <v>6.4999999999999997E-3</v>
      </c>
      <c r="AA387" s="70"/>
      <c r="AB387" s="70">
        <v>6.4999999999999997E-3</v>
      </c>
      <c r="AC387" s="70">
        <v>0</v>
      </c>
      <c r="AD387" s="71">
        <v>0</v>
      </c>
      <c r="AE387" s="59"/>
      <c r="AF387" s="62"/>
      <c r="AG387" s="63">
        <v>12.3</v>
      </c>
      <c r="AH387" s="63">
        <v>7.9950000000000007E-2</v>
      </c>
      <c r="AI387" s="63">
        <v>0</v>
      </c>
      <c r="AJ387" s="63">
        <v>7.9950000000000007E-2</v>
      </c>
      <c r="AK387" s="63">
        <v>0</v>
      </c>
      <c r="AL387" s="125">
        <v>0</v>
      </c>
      <c r="AM387" s="202">
        <f t="shared" si="88"/>
        <v>4.8369239704521129E-6</v>
      </c>
      <c r="AN387" s="202">
        <f t="shared" si="89"/>
        <v>0</v>
      </c>
      <c r="AO387" s="202">
        <f t="shared" si="90"/>
        <v>4.8369239704521129E-6</v>
      </c>
      <c r="AP387" s="202">
        <f t="shared" si="91"/>
        <v>0</v>
      </c>
      <c r="AQ387" s="202">
        <f t="shared" si="92"/>
        <v>0</v>
      </c>
      <c r="AR387" s="206" t="s">
        <v>1105</v>
      </c>
      <c r="AS387" s="226" t="s">
        <v>1660</v>
      </c>
      <c r="AT387" s="234">
        <v>311611</v>
      </c>
      <c r="AU387" s="244">
        <f t="shared" si="93"/>
        <v>7.9950000000000007E-2</v>
      </c>
      <c r="AV387" s="244">
        <f t="shared" si="94"/>
        <v>0</v>
      </c>
      <c r="AW387" s="244">
        <f t="shared" si="95"/>
        <v>7.9950000000000007E-2</v>
      </c>
      <c r="AX387" s="244">
        <f t="shared" si="96"/>
        <v>0</v>
      </c>
      <c r="AY387" s="244">
        <f t="shared" si="97"/>
        <v>0</v>
      </c>
      <c r="AZ387">
        <v>6.1654135338345866E-5</v>
      </c>
    </row>
    <row r="388" spans="1:52" ht="15.75" customHeight="1" x14ac:dyDescent="0.35">
      <c r="A388" s="139" t="s">
        <v>1105</v>
      </c>
      <c r="B388" s="67" t="s">
        <v>1106</v>
      </c>
      <c r="C388" s="67" t="s">
        <v>88</v>
      </c>
      <c r="D388" s="139" t="s">
        <v>1110</v>
      </c>
      <c r="E388" s="139" t="s">
        <v>1111</v>
      </c>
      <c r="F388" s="139" t="s">
        <v>1112</v>
      </c>
      <c r="G388" s="67" t="s">
        <v>1020</v>
      </c>
      <c r="H388" s="139" t="s">
        <v>1113</v>
      </c>
      <c r="I388" s="139" t="s">
        <v>1114</v>
      </c>
      <c r="J388" s="143"/>
      <c r="K388" s="228">
        <f t="shared" si="98"/>
        <v>24</v>
      </c>
      <c r="L388" s="269">
        <v>24</v>
      </c>
      <c r="M388" s="269"/>
      <c r="N388" s="269"/>
      <c r="O388" s="269">
        <v>1</v>
      </c>
      <c r="P388" s="269"/>
      <c r="Q388" s="269"/>
      <c r="R388" s="269"/>
      <c r="S388" s="165" t="s">
        <v>1109</v>
      </c>
      <c r="T388" s="70"/>
      <c r="U388" s="238">
        <f t="shared" si="83"/>
        <v>5.9999999999999995E-4</v>
      </c>
      <c r="V388" s="238">
        <f t="shared" si="84"/>
        <v>0</v>
      </c>
      <c r="W388" s="238">
        <f t="shared" si="85"/>
        <v>5.9999999999999995E-4</v>
      </c>
      <c r="X388" s="238">
        <f t="shared" si="86"/>
        <v>0</v>
      </c>
      <c r="Y388" s="238">
        <f t="shared" si="87"/>
        <v>0</v>
      </c>
      <c r="Z388" s="60">
        <v>5.9999999999999995E-4</v>
      </c>
      <c r="AA388" s="60"/>
      <c r="AB388" s="60">
        <v>5.9999999999999995E-4</v>
      </c>
      <c r="AC388" s="60">
        <v>0</v>
      </c>
      <c r="AD388" s="61">
        <v>0</v>
      </c>
      <c r="AE388" s="67"/>
      <c r="AF388" s="138"/>
      <c r="AG388" s="73">
        <v>12.3</v>
      </c>
      <c r="AH388" s="73">
        <v>7.3799999999999994E-3</v>
      </c>
      <c r="AI388" s="73">
        <v>0</v>
      </c>
      <c r="AJ388" s="73">
        <v>7.3799999999999994E-3</v>
      </c>
      <c r="AK388" s="73">
        <v>0</v>
      </c>
      <c r="AL388" s="129">
        <v>0</v>
      </c>
      <c r="AM388" s="202">
        <f t="shared" si="88"/>
        <v>4.4648528958019494E-7</v>
      </c>
      <c r="AN388" s="202">
        <f t="shared" si="89"/>
        <v>0</v>
      </c>
      <c r="AO388" s="202">
        <f t="shared" si="90"/>
        <v>4.4648528958019494E-7</v>
      </c>
      <c r="AP388" s="202">
        <f t="shared" si="91"/>
        <v>0</v>
      </c>
      <c r="AQ388" s="202">
        <f t="shared" si="92"/>
        <v>0</v>
      </c>
      <c r="AR388" s="217" t="s">
        <v>1105</v>
      </c>
      <c r="AS388" s="226" t="s">
        <v>1660</v>
      </c>
      <c r="AT388" s="234">
        <v>311611</v>
      </c>
      <c r="AU388" s="244">
        <f t="shared" si="93"/>
        <v>7.3799999999999994E-3</v>
      </c>
      <c r="AV388" s="244">
        <f t="shared" si="94"/>
        <v>0</v>
      </c>
      <c r="AW388" s="244">
        <f t="shared" si="95"/>
        <v>7.3799999999999994E-3</v>
      </c>
      <c r="AX388" s="244">
        <f t="shared" si="96"/>
        <v>0</v>
      </c>
      <c r="AY388" s="244">
        <f t="shared" si="97"/>
        <v>0</v>
      </c>
      <c r="AZ388">
        <v>5.691150954308849E-6</v>
      </c>
    </row>
    <row r="389" spans="1:52" ht="15.75" customHeight="1" x14ac:dyDescent="0.35">
      <c r="A389" s="139" t="s">
        <v>1105</v>
      </c>
      <c r="B389" s="67" t="s">
        <v>1106</v>
      </c>
      <c r="C389" s="139" t="s">
        <v>74</v>
      </c>
      <c r="D389" s="139" t="s">
        <v>75</v>
      </c>
      <c r="E389" s="139" t="s">
        <v>1115</v>
      </c>
      <c r="F389" s="139" t="s">
        <v>1116</v>
      </c>
      <c r="G389" s="67" t="s">
        <v>1020</v>
      </c>
      <c r="H389" s="139" t="s">
        <v>76</v>
      </c>
      <c r="I389" s="139" t="s">
        <v>1117</v>
      </c>
      <c r="J389" s="168" t="s">
        <v>78</v>
      </c>
      <c r="K389" s="228">
        <f t="shared" ref="K389:K452" si="101">L389*1</f>
        <v>93</v>
      </c>
      <c r="L389" s="269">
        <v>93</v>
      </c>
      <c r="M389" s="269"/>
      <c r="N389" s="269"/>
      <c r="O389" s="269">
        <v>1</v>
      </c>
      <c r="P389" s="269"/>
      <c r="Q389" s="269"/>
      <c r="R389" s="269"/>
      <c r="S389" s="165" t="s">
        <v>1109</v>
      </c>
      <c r="T389" s="70"/>
      <c r="U389" s="238">
        <f t="shared" ref="U389:U452" si="102">ABS(Z389)</f>
        <v>0.15159999999999998</v>
      </c>
      <c r="V389" s="238">
        <f t="shared" ref="V389:V452" si="103">ABS(AA389)</f>
        <v>0</v>
      </c>
      <c r="W389" s="238">
        <f t="shared" ref="W389:W452" si="104">ABS(AB389)</f>
        <v>5.9999999999999995E-4</v>
      </c>
      <c r="X389" s="238">
        <f t="shared" ref="X389:X452" si="105">ABS(AC389)</f>
        <v>0</v>
      </c>
      <c r="Y389" s="238">
        <f t="shared" ref="Y389:Y452" si="106">ABS(AD389)</f>
        <v>0.151</v>
      </c>
      <c r="Z389" s="70">
        <v>0.15159999999999998</v>
      </c>
      <c r="AA389" s="70"/>
      <c r="AB389" s="70">
        <v>5.9999999999999995E-4</v>
      </c>
      <c r="AC389" s="70">
        <v>0</v>
      </c>
      <c r="AD389" s="71">
        <v>0.151</v>
      </c>
      <c r="AE389" s="120">
        <v>152</v>
      </c>
      <c r="AF389" s="121">
        <v>5</v>
      </c>
      <c r="AG389" s="73">
        <v>12.3</v>
      </c>
      <c r="AH389" s="73">
        <v>1.8646799999999999</v>
      </c>
      <c r="AI389" s="73">
        <v>0</v>
      </c>
      <c r="AJ389" s="73">
        <v>7.3799999999999994E-3</v>
      </c>
      <c r="AK389" s="73">
        <v>0</v>
      </c>
      <c r="AL389" s="129">
        <v>1.8573</v>
      </c>
      <c r="AM389" s="202">
        <f t="shared" ref="AM389:AM452" si="107">AH389/16529.1</f>
        <v>1.1281194983392926E-4</v>
      </c>
      <c r="AN389" s="202">
        <f t="shared" ref="AN389:AN452" si="108">AI389/16529.1</f>
        <v>0</v>
      </c>
      <c r="AO389" s="202">
        <f t="shared" ref="AO389:AO452" si="109">AJ389/16529.1</f>
        <v>4.4648528958019494E-7</v>
      </c>
      <c r="AP389" s="202">
        <f t="shared" ref="AP389:AP452" si="110">AK389/16529.1</f>
        <v>0</v>
      </c>
      <c r="AQ389" s="202">
        <f t="shared" ref="AQ389:AQ452" si="111">AL389/16529.1</f>
        <v>1.1236546454434906E-4</v>
      </c>
      <c r="AR389" s="217" t="s">
        <v>1105</v>
      </c>
      <c r="AS389" s="226" t="s">
        <v>1660</v>
      </c>
      <c r="AT389" s="234">
        <v>311611</v>
      </c>
      <c r="AU389" s="244">
        <f t="shared" ref="AU389:AU452" si="112">ABS(AH389)</f>
        <v>1.8646799999999999</v>
      </c>
      <c r="AV389" s="244">
        <f t="shared" ref="AV389:AV452" si="113">ABS(AI389)</f>
        <v>0</v>
      </c>
      <c r="AW389" s="244">
        <f t="shared" ref="AW389:AW452" si="114">ABS(AJ389)</f>
        <v>7.3799999999999994E-3</v>
      </c>
      <c r="AX389" s="244">
        <f t="shared" ref="AX389:AX452" si="115">ABS(AK389)</f>
        <v>0</v>
      </c>
      <c r="AY389" s="244">
        <f t="shared" ref="AY389:AY452" si="116">ABS(AL389)</f>
        <v>1.8573</v>
      </c>
      <c r="AZ389">
        <v>1.4379641411220358E-3</v>
      </c>
    </row>
    <row r="390" spans="1:52" ht="15.75" customHeight="1" x14ac:dyDescent="0.35">
      <c r="A390" s="139" t="s">
        <v>1105</v>
      </c>
      <c r="B390" s="67" t="s">
        <v>1106</v>
      </c>
      <c r="C390" s="67" t="s">
        <v>92</v>
      </c>
      <c r="D390" s="139" t="s">
        <v>1118</v>
      </c>
      <c r="E390" s="139" t="s">
        <v>1119</v>
      </c>
      <c r="F390" s="139" t="s">
        <v>1120</v>
      </c>
      <c r="G390" s="67" t="s">
        <v>1020</v>
      </c>
      <c r="H390" s="139" t="s">
        <v>741</v>
      </c>
      <c r="I390" s="139" t="s">
        <v>1121</v>
      </c>
      <c r="J390" s="161">
        <v>0.85</v>
      </c>
      <c r="K390" s="228">
        <f t="shared" si="101"/>
        <v>27</v>
      </c>
      <c r="L390" s="269">
        <v>27</v>
      </c>
      <c r="M390" s="269"/>
      <c r="N390" s="269"/>
      <c r="O390" s="269">
        <v>1</v>
      </c>
      <c r="P390" s="269"/>
      <c r="Q390" s="269"/>
      <c r="R390" s="269"/>
      <c r="S390" s="165" t="s">
        <v>1109</v>
      </c>
      <c r="T390" s="70"/>
      <c r="U390" s="238">
        <f t="shared" si="102"/>
        <v>0.1782</v>
      </c>
      <c r="V390" s="238">
        <f t="shared" si="103"/>
        <v>0</v>
      </c>
      <c r="W390" s="238">
        <f t="shared" si="104"/>
        <v>5.7000000000000002E-3</v>
      </c>
      <c r="X390" s="238">
        <f t="shared" si="105"/>
        <v>0</v>
      </c>
      <c r="Y390" s="238">
        <f t="shared" si="106"/>
        <v>0.17249999999999999</v>
      </c>
      <c r="Z390" s="70">
        <v>0.1782</v>
      </c>
      <c r="AA390" s="70"/>
      <c r="AB390" s="70">
        <v>5.7000000000000002E-3</v>
      </c>
      <c r="AC390" s="70">
        <v>0</v>
      </c>
      <c r="AD390" s="71">
        <v>0.17249999999999999</v>
      </c>
      <c r="AE390" s="120">
        <v>152</v>
      </c>
      <c r="AF390" s="121">
        <v>5</v>
      </c>
      <c r="AG390" s="73">
        <v>12.3</v>
      </c>
      <c r="AH390" s="73">
        <v>2.1918600000000001</v>
      </c>
      <c r="AI390" s="73">
        <v>0</v>
      </c>
      <c r="AJ390" s="73">
        <v>7.0110000000000006E-2</v>
      </c>
      <c r="AK390" s="73">
        <v>0</v>
      </c>
      <c r="AL390" s="129">
        <v>2.12175</v>
      </c>
      <c r="AM390" s="202">
        <f t="shared" si="107"/>
        <v>1.3260613100531791E-4</v>
      </c>
      <c r="AN390" s="202">
        <f t="shared" si="108"/>
        <v>0</v>
      </c>
      <c r="AO390" s="202">
        <f t="shared" si="109"/>
        <v>4.2416102510118527E-6</v>
      </c>
      <c r="AP390" s="202">
        <f t="shared" si="110"/>
        <v>0</v>
      </c>
      <c r="AQ390" s="202">
        <f t="shared" si="111"/>
        <v>1.2836452075430606E-4</v>
      </c>
      <c r="AR390" s="217" t="s">
        <v>1105</v>
      </c>
      <c r="AS390" s="226" t="s">
        <v>1660</v>
      </c>
      <c r="AT390" s="234">
        <v>311611</v>
      </c>
      <c r="AU390" s="244">
        <f t="shared" si="112"/>
        <v>2.1918600000000001</v>
      </c>
      <c r="AV390" s="244">
        <f t="shared" si="113"/>
        <v>0</v>
      </c>
      <c r="AW390" s="244">
        <f t="shared" si="114"/>
        <v>7.0110000000000006E-2</v>
      </c>
      <c r="AX390" s="244">
        <f t="shared" si="115"/>
        <v>0</v>
      </c>
      <c r="AY390" s="244">
        <f t="shared" si="116"/>
        <v>2.12175</v>
      </c>
      <c r="AZ390">
        <v>1.6902718334297284E-3</v>
      </c>
    </row>
    <row r="391" spans="1:52" ht="15.75" customHeight="1" x14ac:dyDescent="0.35">
      <c r="A391" s="139" t="s">
        <v>1105</v>
      </c>
      <c r="B391" s="67" t="str">
        <f>B389</f>
        <v>Pork Processing</v>
      </c>
      <c r="C391" s="67" t="s">
        <v>92</v>
      </c>
      <c r="D391" s="139" t="s">
        <v>1122</v>
      </c>
      <c r="E391" s="139" t="s">
        <v>1123</v>
      </c>
      <c r="F391" s="139" t="s">
        <v>1120</v>
      </c>
      <c r="G391" s="67" t="s">
        <v>1020</v>
      </c>
      <c r="H391" s="139" t="s">
        <v>1124</v>
      </c>
      <c r="I391" s="139" t="s">
        <v>1125</v>
      </c>
      <c r="J391" s="143"/>
      <c r="K391" s="228">
        <f t="shared" si="101"/>
        <v>29</v>
      </c>
      <c r="L391" s="269">
        <v>29</v>
      </c>
      <c r="M391" s="269"/>
      <c r="N391" s="269"/>
      <c r="O391" s="269">
        <v>1</v>
      </c>
      <c r="P391" s="269"/>
      <c r="Q391" s="269"/>
      <c r="R391" s="269"/>
      <c r="S391" s="165" t="s">
        <v>1109</v>
      </c>
      <c r="T391" s="70"/>
      <c r="U391" s="238">
        <f t="shared" si="102"/>
        <v>7.4099999999999999E-2</v>
      </c>
      <c r="V391" s="238">
        <f t="shared" si="103"/>
        <v>0</v>
      </c>
      <c r="W391" s="238">
        <f t="shared" si="104"/>
        <v>0</v>
      </c>
      <c r="X391" s="238">
        <f t="shared" si="105"/>
        <v>7.4099999999999999E-2</v>
      </c>
      <c r="Y391" s="238">
        <f t="shared" si="106"/>
        <v>0</v>
      </c>
      <c r="Z391" s="70">
        <v>7.4099999999999999E-2</v>
      </c>
      <c r="AA391" s="70"/>
      <c r="AB391" s="70">
        <v>0</v>
      </c>
      <c r="AC391" s="70">
        <v>7.4099999999999999E-2</v>
      </c>
      <c r="AD391" s="71">
        <v>0</v>
      </c>
      <c r="AE391" s="233"/>
      <c r="AF391" s="72"/>
      <c r="AG391" s="73">
        <v>12.3</v>
      </c>
      <c r="AH391" s="73">
        <v>0.91143000000000007</v>
      </c>
      <c r="AI391" s="73">
        <v>0</v>
      </c>
      <c r="AJ391" s="73">
        <v>0</v>
      </c>
      <c r="AK391" s="73">
        <v>0.91143000000000007</v>
      </c>
      <c r="AL391" s="129">
        <v>0</v>
      </c>
      <c r="AM391" s="202">
        <f t="shared" si="107"/>
        <v>5.5140933263154085E-5</v>
      </c>
      <c r="AN391" s="202">
        <f t="shared" si="108"/>
        <v>0</v>
      </c>
      <c r="AO391" s="202">
        <f t="shared" si="109"/>
        <v>0</v>
      </c>
      <c r="AP391" s="202">
        <f t="shared" si="110"/>
        <v>5.5140933263154085E-5</v>
      </c>
      <c r="AQ391" s="202">
        <f t="shared" si="111"/>
        <v>0</v>
      </c>
      <c r="AR391" s="217" t="s">
        <v>1105</v>
      </c>
      <c r="AS391" s="226" t="s">
        <v>1660</v>
      </c>
      <c r="AT391" s="234">
        <v>311611</v>
      </c>
      <c r="AU391" s="244">
        <f t="shared" si="112"/>
        <v>0.91143000000000007</v>
      </c>
      <c r="AV391" s="244">
        <f t="shared" si="113"/>
        <v>0</v>
      </c>
      <c r="AW391" s="244">
        <f t="shared" si="114"/>
        <v>0</v>
      </c>
      <c r="AX391" s="244">
        <f t="shared" si="115"/>
        <v>0.91143000000000007</v>
      </c>
      <c r="AY391" s="244">
        <f t="shared" si="116"/>
        <v>0</v>
      </c>
      <c r="AZ391">
        <v>7.0285714285714287E-4</v>
      </c>
    </row>
    <row r="392" spans="1:52" ht="15.75" customHeight="1" x14ac:dyDescent="0.35">
      <c r="A392" s="139" t="s">
        <v>1105</v>
      </c>
      <c r="B392" s="67" t="s">
        <v>1106</v>
      </c>
      <c r="C392" s="139" t="s">
        <v>154</v>
      </c>
      <c r="D392" s="139" t="s">
        <v>1078</v>
      </c>
      <c r="E392" s="139" t="s">
        <v>1126</v>
      </c>
      <c r="F392" s="139" t="s">
        <v>1127</v>
      </c>
      <c r="G392" s="67" t="s">
        <v>1020</v>
      </c>
      <c r="H392" s="139" t="s">
        <v>975</v>
      </c>
      <c r="I392" s="139" t="s">
        <v>1081</v>
      </c>
      <c r="J392" s="143" t="s">
        <v>1027</v>
      </c>
      <c r="K392" s="228">
        <f t="shared" si="101"/>
        <v>24</v>
      </c>
      <c r="L392" s="269">
        <v>24</v>
      </c>
      <c r="M392" s="269"/>
      <c r="N392" s="269"/>
      <c r="O392" s="269">
        <v>1</v>
      </c>
      <c r="P392" s="269"/>
      <c r="Q392" s="269"/>
      <c r="R392" s="269"/>
      <c r="S392" s="165" t="s">
        <v>1109</v>
      </c>
      <c r="T392" s="70"/>
      <c r="U392" s="238">
        <f t="shared" si="102"/>
        <v>0.1762</v>
      </c>
      <c r="V392" s="238">
        <f t="shared" si="103"/>
        <v>0</v>
      </c>
      <c r="W392" s="238">
        <f t="shared" si="104"/>
        <v>0</v>
      </c>
      <c r="X392" s="238">
        <f t="shared" si="105"/>
        <v>0</v>
      </c>
      <c r="Y392" s="238">
        <f t="shared" si="106"/>
        <v>0.1762</v>
      </c>
      <c r="Z392" s="70">
        <v>0.1762</v>
      </c>
      <c r="AA392" s="70"/>
      <c r="AB392" s="70">
        <v>0</v>
      </c>
      <c r="AC392" s="70">
        <v>0</v>
      </c>
      <c r="AD392" s="71">
        <v>0.1762</v>
      </c>
      <c r="AE392" s="120" t="s">
        <v>1128</v>
      </c>
      <c r="AF392" s="121">
        <v>9.3000000000000007</v>
      </c>
      <c r="AG392" s="73">
        <v>12.3</v>
      </c>
      <c r="AH392" s="73">
        <v>2.1672600000000002</v>
      </c>
      <c r="AI392" s="73">
        <v>0</v>
      </c>
      <c r="AJ392" s="73">
        <v>0</v>
      </c>
      <c r="AK392" s="73">
        <v>0</v>
      </c>
      <c r="AL392" s="129">
        <v>2.1672600000000002</v>
      </c>
      <c r="AM392" s="202">
        <f t="shared" si="107"/>
        <v>1.3111784670671726E-4</v>
      </c>
      <c r="AN392" s="202">
        <f t="shared" si="108"/>
        <v>0</v>
      </c>
      <c r="AO392" s="202">
        <f t="shared" si="109"/>
        <v>0</v>
      </c>
      <c r="AP392" s="202">
        <f t="shared" si="110"/>
        <v>0</v>
      </c>
      <c r="AQ392" s="202">
        <f t="shared" si="111"/>
        <v>1.3111784670671726E-4</v>
      </c>
      <c r="AR392" s="217" t="s">
        <v>1105</v>
      </c>
      <c r="AS392" s="226" t="s">
        <v>1660</v>
      </c>
      <c r="AT392" s="234">
        <v>311611</v>
      </c>
      <c r="AU392" s="244">
        <f t="shared" si="112"/>
        <v>2.1672600000000002</v>
      </c>
      <c r="AV392" s="244">
        <f t="shared" si="113"/>
        <v>0</v>
      </c>
      <c r="AW392" s="244">
        <f t="shared" si="114"/>
        <v>0</v>
      </c>
      <c r="AX392" s="244">
        <f t="shared" si="115"/>
        <v>0</v>
      </c>
      <c r="AY392" s="244">
        <f t="shared" si="116"/>
        <v>2.1672600000000002</v>
      </c>
      <c r="AZ392">
        <v>1.6713013302486989E-3</v>
      </c>
    </row>
    <row r="393" spans="1:52" ht="15.75" customHeight="1" x14ac:dyDescent="0.35">
      <c r="A393" s="139" t="s">
        <v>1105</v>
      </c>
      <c r="B393" s="67" t="str">
        <f>B389</f>
        <v>Pork Processing</v>
      </c>
      <c r="C393" s="67" t="s">
        <v>88</v>
      </c>
      <c r="D393" s="139" t="s">
        <v>1129</v>
      </c>
      <c r="E393" s="139" t="s">
        <v>1130</v>
      </c>
      <c r="F393" s="139" t="s">
        <v>1131</v>
      </c>
      <c r="G393" s="67" t="s">
        <v>1020</v>
      </c>
      <c r="H393" s="139" t="s">
        <v>975</v>
      </c>
      <c r="I393" s="139" t="s">
        <v>1132</v>
      </c>
      <c r="J393" s="143"/>
      <c r="K393" s="228">
        <f t="shared" si="101"/>
        <v>24</v>
      </c>
      <c r="L393" s="269">
        <v>24</v>
      </c>
      <c r="M393" s="269"/>
      <c r="N393" s="269"/>
      <c r="O393" s="269">
        <v>1</v>
      </c>
      <c r="P393" s="269"/>
      <c r="Q393" s="269"/>
      <c r="R393" s="269"/>
      <c r="S393" s="165" t="s">
        <v>1109</v>
      </c>
      <c r="T393" s="70"/>
      <c r="U393" s="238">
        <f t="shared" si="102"/>
        <v>0.35220000000000001</v>
      </c>
      <c r="V393" s="238">
        <f t="shared" si="103"/>
        <v>0</v>
      </c>
      <c r="W393" s="238">
        <f t="shared" si="104"/>
        <v>0</v>
      </c>
      <c r="X393" s="238">
        <f t="shared" si="105"/>
        <v>0</v>
      </c>
      <c r="Y393" s="238">
        <f t="shared" si="106"/>
        <v>0.35220000000000001</v>
      </c>
      <c r="Z393" s="70">
        <v>0.35220000000000001</v>
      </c>
      <c r="AA393" s="70"/>
      <c r="AB393" s="70">
        <v>0</v>
      </c>
      <c r="AC393" s="70">
        <v>0</v>
      </c>
      <c r="AD393" s="71">
        <v>0.35220000000000001</v>
      </c>
      <c r="AE393" s="120" t="s">
        <v>1128</v>
      </c>
      <c r="AF393" s="121">
        <v>9.3000000000000007</v>
      </c>
      <c r="AG393" s="73">
        <v>12.3</v>
      </c>
      <c r="AH393" s="73">
        <v>4.3320600000000002</v>
      </c>
      <c r="AI393" s="73">
        <v>0</v>
      </c>
      <c r="AJ393" s="73">
        <v>0</v>
      </c>
      <c r="AK393" s="73">
        <v>0</v>
      </c>
      <c r="AL393" s="129">
        <v>4.3320600000000002</v>
      </c>
      <c r="AM393" s="202">
        <f t="shared" si="107"/>
        <v>2.6208686498357448E-4</v>
      </c>
      <c r="AN393" s="202">
        <f t="shared" si="108"/>
        <v>0</v>
      </c>
      <c r="AO393" s="202">
        <f t="shared" si="109"/>
        <v>0</v>
      </c>
      <c r="AP393" s="202">
        <f t="shared" si="110"/>
        <v>0</v>
      </c>
      <c r="AQ393" s="202">
        <f t="shared" si="111"/>
        <v>2.6208686498357448E-4</v>
      </c>
      <c r="AR393" s="217" t="s">
        <v>1105</v>
      </c>
      <c r="AS393" s="226" t="s">
        <v>1660</v>
      </c>
      <c r="AT393" s="234">
        <v>311611</v>
      </c>
      <c r="AU393" s="244">
        <f t="shared" si="112"/>
        <v>4.3320600000000002</v>
      </c>
      <c r="AV393" s="244">
        <f t="shared" si="113"/>
        <v>0</v>
      </c>
      <c r="AW393" s="244">
        <f t="shared" si="114"/>
        <v>0</v>
      </c>
      <c r="AX393" s="244">
        <f t="shared" si="115"/>
        <v>0</v>
      </c>
      <c r="AY393" s="244">
        <f t="shared" si="116"/>
        <v>4.3320600000000002</v>
      </c>
      <c r="AZ393">
        <v>3.3407056101792945E-3</v>
      </c>
    </row>
    <row r="394" spans="1:52" ht="15.75" customHeight="1" x14ac:dyDescent="0.35">
      <c r="A394" s="139" t="s">
        <v>1105</v>
      </c>
      <c r="B394" s="67" t="str">
        <f>B393</f>
        <v>Pork Processing</v>
      </c>
      <c r="C394" s="67" t="s">
        <v>99</v>
      </c>
      <c r="D394" s="139" t="s">
        <v>1133</v>
      </c>
      <c r="E394" s="139" t="s">
        <v>1134</v>
      </c>
      <c r="F394" s="139" t="s">
        <v>1135</v>
      </c>
      <c r="G394" s="67" t="s">
        <v>1020</v>
      </c>
      <c r="H394" s="139" t="s">
        <v>975</v>
      </c>
      <c r="I394" s="139" t="s">
        <v>1136</v>
      </c>
      <c r="J394" s="143" t="s">
        <v>1027</v>
      </c>
      <c r="K394" s="228">
        <f t="shared" si="101"/>
        <v>24</v>
      </c>
      <c r="L394" s="269">
        <v>24</v>
      </c>
      <c r="M394" s="269"/>
      <c r="N394" s="269"/>
      <c r="O394" s="269">
        <v>1</v>
      </c>
      <c r="P394" s="269"/>
      <c r="Q394" s="269"/>
      <c r="R394" s="269"/>
      <c r="S394" s="165" t="s">
        <v>1109</v>
      </c>
      <c r="T394" s="70"/>
      <c r="U394" s="238">
        <f t="shared" si="102"/>
        <v>2.5000000000000001E-3</v>
      </c>
      <c r="V394" s="238">
        <f t="shared" si="103"/>
        <v>0</v>
      </c>
      <c r="W394" s="238">
        <f t="shared" si="104"/>
        <v>2.5000000000000001E-3</v>
      </c>
      <c r="X394" s="238">
        <f t="shared" si="105"/>
        <v>0</v>
      </c>
      <c r="Y394" s="238">
        <f t="shared" si="106"/>
        <v>0</v>
      </c>
      <c r="Z394" s="70">
        <v>2.5000000000000001E-3</v>
      </c>
      <c r="AA394" s="70"/>
      <c r="AB394" s="70">
        <v>2.5000000000000001E-3</v>
      </c>
      <c r="AC394" s="70">
        <v>0</v>
      </c>
      <c r="AD394" s="71">
        <v>0</v>
      </c>
      <c r="AE394" s="233"/>
      <c r="AF394" s="72"/>
      <c r="AG394" s="73">
        <v>12.3</v>
      </c>
      <c r="AH394" s="73">
        <v>3.0750000000000003E-2</v>
      </c>
      <c r="AI394" s="73">
        <v>0</v>
      </c>
      <c r="AJ394" s="73">
        <v>3.0750000000000003E-2</v>
      </c>
      <c r="AK394" s="73">
        <v>0</v>
      </c>
      <c r="AL394" s="129">
        <v>0</v>
      </c>
      <c r="AM394" s="202">
        <f t="shared" si="107"/>
        <v>1.8603553732508126E-6</v>
      </c>
      <c r="AN394" s="202">
        <f t="shared" si="108"/>
        <v>0</v>
      </c>
      <c r="AO394" s="202">
        <f t="shared" si="109"/>
        <v>1.8603553732508126E-6</v>
      </c>
      <c r="AP394" s="202">
        <f t="shared" si="110"/>
        <v>0</v>
      </c>
      <c r="AQ394" s="202">
        <f t="shared" si="111"/>
        <v>0</v>
      </c>
      <c r="AR394" s="217" t="s">
        <v>1105</v>
      </c>
      <c r="AS394" s="226" t="s">
        <v>1660</v>
      </c>
      <c r="AT394" s="234">
        <v>311611</v>
      </c>
      <c r="AU394" s="244">
        <f t="shared" si="112"/>
        <v>3.0750000000000003E-2</v>
      </c>
      <c r="AV394" s="244">
        <f t="shared" si="113"/>
        <v>0</v>
      </c>
      <c r="AW394" s="244">
        <f t="shared" si="114"/>
        <v>3.0750000000000003E-2</v>
      </c>
      <c r="AX394" s="244">
        <f t="shared" si="115"/>
        <v>0</v>
      </c>
      <c r="AY394" s="244">
        <f t="shared" si="116"/>
        <v>0</v>
      </c>
      <c r="AZ394">
        <v>2.3713128976286873E-5</v>
      </c>
    </row>
    <row r="395" spans="1:52" ht="15.75" customHeight="1" x14ac:dyDescent="0.35">
      <c r="A395" s="139" t="s">
        <v>1105</v>
      </c>
      <c r="B395" s="67" t="str">
        <f>B392</f>
        <v>Pork Processing</v>
      </c>
      <c r="C395" s="67" t="s">
        <v>99</v>
      </c>
      <c r="D395" s="139" t="s">
        <v>1133</v>
      </c>
      <c r="E395" s="139" t="s">
        <v>1137</v>
      </c>
      <c r="F395" s="139" t="s">
        <v>1138</v>
      </c>
      <c r="G395" s="67" t="s">
        <v>1020</v>
      </c>
      <c r="H395" s="139" t="s">
        <v>1139</v>
      </c>
      <c r="I395" s="139" t="s">
        <v>1140</v>
      </c>
      <c r="J395" s="143" t="s">
        <v>1027</v>
      </c>
      <c r="K395" s="228">
        <f t="shared" si="101"/>
        <v>4</v>
      </c>
      <c r="L395" s="269">
        <v>4</v>
      </c>
      <c r="M395" s="269"/>
      <c r="N395" s="269"/>
      <c r="O395" s="269">
        <v>1</v>
      </c>
      <c r="P395" s="269"/>
      <c r="Q395" s="269"/>
      <c r="R395" s="269"/>
      <c r="S395" s="165" t="s">
        <v>1109</v>
      </c>
      <c r="T395" s="70"/>
      <c r="U395" s="238">
        <f t="shared" si="102"/>
        <v>4.7999999999999996E-3</v>
      </c>
      <c r="V395" s="238">
        <f t="shared" si="103"/>
        <v>0</v>
      </c>
      <c r="W395" s="238">
        <f t="shared" si="104"/>
        <v>4.7999999999999996E-3</v>
      </c>
      <c r="X395" s="238">
        <f t="shared" si="105"/>
        <v>0</v>
      </c>
      <c r="Y395" s="238">
        <f t="shared" si="106"/>
        <v>0</v>
      </c>
      <c r="Z395" s="70">
        <v>4.7999999999999996E-3</v>
      </c>
      <c r="AA395" s="70"/>
      <c r="AB395" s="70">
        <v>4.7999999999999996E-3</v>
      </c>
      <c r="AC395" s="70">
        <v>0</v>
      </c>
      <c r="AD395" s="71">
        <v>0</v>
      </c>
      <c r="AE395" s="233"/>
      <c r="AF395" s="72"/>
      <c r="AG395" s="73">
        <v>1.05</v>
      </c>
      <c r="AH395" s="73">
        <v>5.9039999999999995E-2</v>
      </c>
      <c r="AI395" s="73">
        <v>0</v>
      </c>
      <c r="AJ395" s="73">
        <v>5.9039999999999995E-2</v>
      </c>
      <c r="AK395" s="73">
        <v>0</v>
      </c>
      <c r="AL395" s="129">
        <v>0</v>
      </c>
      <c r="AM395" s="202">
        <f t="shared" si="107"/>
        <v>3.5718823166415596E-6</v>
      </c>
      <c r="AN395" s="202">
        <f t="shared" si="108"/>
        <v>0</v>
      </c>
      <c r="AO395" s="202">
        <f t="shared" si="109"/>
        <v>3.5718823166415596E-6</v>
      </c>
      <c r="AP395" s="202">
        <f t="shared" si="110"/>
        <v>0</v>
      </c>
      <c r="AQ395" s="202">
        <f t="shared" si="111"/>
        <v>0</v>
      </c>
      <c r="AR395" s="217" t="s">
        <v>1105</v>
      </c>
      <c r="AS395" s="226" t="s">
        <v>1660</v>
      </c>
      <c r="AT395" s="234">
        <v>311611</v>
      </c>
      <c r="AU395" s="244">
        <f t="shared" si="112"/>
        <v>5.9039999999999995E-2</v>
      </c>
      <c r="AV395" s="244">
        <f t="shared" si="113"/>
        <v>0</v>
      </c>
      <c r="AW395" s="244">
        <f t="shared" si="114"/>
        <v>5.9039999999999995E-2</v>
      </c>
      <c r="AX395" s="244">
        <f t="shared" si="115"/>
        <v>0</v>
      </c>
      <c r="AY395" s="244">
        <f t="shared" si="116"/>
        <v>0</v>
      </c>
      <c r="AZ395">
        <v>4.5529207634470792E-5</v>
      </c>
    </row>
    <row r="396" spans="1:52" ht="15.75" customHeight="1" x14ac:dyDescent="0.35">
      <c r="A396" s="139" t="s">
        <v>1105</v>
      </c>
      <c r="B396" s="67" t="s">
        <v>1106</v>
      </c>
      <c r="C396" s="139" t="s">
        <v>74</v>
      </c>
      <c r="D396" s="139" t="s">
        <v>1141</v>
      </c>
      <c r="E396" s="139" t="s">
        <v>1142</v>
      </c>
      <c r="F396" s="139" t="s">
        <v>1143</v>
      </c>
      <c r="G396" s="67" t="s">
        <v>1020</v>
      </c>
      <c r="H396" s="139" t="s">
        <v>1144</v>
      </c>
      <c r="I396" s="139" t="s">
        <v>1145</v>
      </c>
      <c r="J396" s="143"/>
      <c r="K396" s="228">
        <f t="shared" si="101"/>
        <v>93</v>
      </c>
      <c r="L396" s="269">
        <v>93</v>
      </c>
      <c r="M396" s="269"/>
      <c r="N396" s="269"/>
      <c r="O396" s="269">
        <v>1</v>
      </c>
      <c r="P396" s="269"/>
      <c r="Q396" s="269"/>
      <c r="R396" s="269"/>
      <c r="S396" s="165" t="s">
        <v>1109</v>
      </c>
      <c r="T396" s="70"/>
      <c r="U396" s="238">
        <f t="shared" si="102"/>
        <v>0.20657894736842106</v>
      </c>
      <c r="V396" s="238">
        <f t="shared" si="103"/>
        <v>0</v>
      </c>
      <c r="W396" s="238">
        <f t="shared" si="104"/>
        <v>1.0999999999999999E-2</v>
      </c>
      <c r="X396" s="238">
        <f t="shared" si="105"/>
        <v>0</v>
      </c>
      <c r="Y396" s="238">
        <f t="shared" si="106"/>
        <v>0.19557894736842105</v>
      </c>
      <c r="Z396" s="70">
        <v>0.20657894736842106</v>
      </c>
      <c r="AA396" s="70"/>
      <c r="AB396" s="70">
        <v>1.0999999999999999E-2</v>
      </c>
      <c r="AC396" s="70">
        <v>0</v>
      </c>
      <c r="AD396" s="71">
        <v>0.19557894736842105</v>
      </c>
      <c r="AE396" s="233"/>
      <c r="AF396" s="72"/>
      <c r="AG396" s="73">
        <v>12.3</v>
      </c>
      <c r="AH396" s="73">
        <v>2.5409210526315791</v>
      </c>
      <c r="AI396" s="73">
        <v>0</v>
      </c>
      <c r="AJ396" s="73">
        <v>0.1353</v>
      </c>
      <c r="AK396" s="73">
        <v>0</v>
      </c>
      <c r="AL396" s="129">
        <v>2.4056210526315791</v>
      </c>
      <c r="AM396" s="202">
        <f t="shared" si="107"/>
        <v>1.5372410189493554E-4</v>
      </c>
      <c r="AN396" s="202">
        <f t="shared" si="108"/>
        <v>0</v>
      </c>
      <c r="AO396" s="202">
        <f t="shared" si="109"/>
        <v>8.185563642303575E-6</v>
      </c>
      <c r="AP396" s="202">
        <f t="shared" si="110"/>
        <v>0</v>
      </c>
      <c r="AQ396" s="202">
        <f t="shared" si="111"/>
        <v>1.4553853825263199E-4</v>
      </c>
      <c r="AR396" s="217" t="s">
        <v>1105</v>
      </c>
      <c r="AS396" s="226" t="s">
        <v>1660</v>
      </c>
      <c r="AT396" s="234">
        <v>311611</v>
      </c>
      <c r="AU396" s="244">
        <f t="shared" si="112"/>
        <v>2.5409210526315791</v>
      </c>
      <c r="AV396" s="244">
        <f t="shared" si="113"/>
        <v>0</v>
      </c>
      <c r="AW396" s="244">
        <f t="shared" si="114"/>
        <v>0.1353</v>
      </c>
      <c r="AX396" s="244">
        <f t="shared" si="115"/>
        <v>0</v>
      </c>
      <c r="AY396" s="244">
        <f t="shared" si="116"/>
        <v>2.4056210526315791</v>
      </c>
      <c r="AZ396">
        <v>1.9594532890931785E-3</v>
      </c>
    </row>
    <row r="397" spans="1:52" ht="15.75" customHeight="1" x14ac:dyDescent="0.35">
      <c r="A397" s="139" t="s">
        <v>1105</v>
      </c>
      <c r="B397" s="67" t="s">
        <v>1106</v>
      </c>
      <c r="C397" s="139" t="s">
        <v>74</v>
      </c>
      <c r="D397" s="139" t="s">
        <v>1141</v>
      </c>
      <c r="E397" s="139" t="s">
        <v>1146</v>
      </c>
      <c r="F397" s="139" t="s">
        <v>1147</v>
      </c>
      <c r="G397" s="67" t="s">
        <v>1020</v>
      </c>
      <c r="H397" s="139" t="s">
        <v>1144</v>
      </c>
      <c r="I397" s="139" t="s">
        <v>1148</v>
      </c>
      <c r="J397" s="143"/>
      <c r="K397" s="228">
        <f t="shared" si="101"/>
        <v>93</v>
      </c>
      <c r="L397" s="269">
        <v>93</v>
      </c>
      <c r="M397" s="269"/>
      <c r="N397" s="269"/>
      <c r="O397" s="269">
        <v>1</v>
      </c>
      <c r="P397" s="269"/>
      <c r="Q397" s="269"/>
      <c r="R397" s="269"/>
      <c r="S397" s="165" t="s">
        <v>1109</v>
      </c>
      <c r="T397" s="70"/>
      <c r="U397" s="238">
        <f t="shared" si="102"/>
        <v>0.82599999999999996</v>
      </c>
      <c r="V397" s="238">
        <f t="shared" si="103"/>
        <v>0</v>
      </c>
      <c r="W397" s="238">
        <f t="shared" si="104"/>
        <v>4.4052631578947371E-2</v>
      </c>
      <c r="X397" s="238">
        <f t="shared" si="105"/>
        <v>0</v>
      </c>
      <c r="Y397" s="238">
        <f t="shared" si="106"/>
        <v>0.78194736842105261</v>
      </c>
      <c r="Z397" s="70">
        <v>0.82599999999999996</v>
      </c>
      <c r="AA397" s="70"/>
      <c r="AB397" s="70">
        <v>4.4052631578947371E-2</v>
      </c>
      <c r="AC397" s="70">
        <v>0</v>
      </c>
      <c r="AD397" s="71">
        <v>0.78194736842105261</v>
      </c>
      <c r="AE397" s="233"/>
      <c r="AF397" s="72"/>
      <c r="AG397" s="73">
        <v>12.3</v>
      </c>
      <c r="AH397" s="73">
        <v>10.159800000000001</v>
      </c>
      <c r="AI397" s="73">
        <v>0</v>
      </c>
      <c r="AJ397" s="73">
        <v>0.54184736842105274</v>
      </c>
      <c r="AK397" s="73">
        <v>0</v>
      </c>
      <c r="AL397" s="129">
        <v>9.6179526315789481</v>
      </c>
      <c r="AM397" s="202">
        <f t="shared" si="107"/>
        <v>6.1466141532206847E-4</v>
      </c>
      <c r="AN397" s="202">
        <f t="shared" si="108"/>
        <v>0</v>
      </c>
      <c r="AO397" s="202">
        <f t="shared" si="109"/>
        <v>3.2781419945493266E-5</v>
      </c>
      <c r="AP397" s="202">
        <f t="shared" si="110"/>
        <v>0</v>
      </c>
      <c r="AQ397" s="202">
        <f t="shared" si="111"/>
        <v>5.8187999537657521E-4</v>
      </c>
      <c r="AR397" s="217" t="s">
        <v>1105</v>
      </c>
      <c r="AS397" s="226" t="s">
        <v>1660</v>
      </c>
      <c r="AT397" s="234">
        <v>311611</v>
      </c>
      <c r="AU397" s="244">
        <f t="shared" si="112"/>
        <v>10.159800000000001</v>
      </c>
      <c r="AV397" s="244">
        <f t="shared" si="113"/>
        <v>0</v>
      </c>
      <c r="AW397" s="244">
        <f t="shared" si="114"/>
        <v>0.54184736842105274</v>
      </c>
      <c r="AX397" s="244">
        <f t="shared" si="115"/>
        <v>0</v>
      </c>
      <c r="AY397" s="244">
        <f t="shared" si="116"/>
        <v>9.6179526315789481</v>
      </c>
      <c r="AZ397">
        <v>7.8348178137651828E-3</v>
      </c>
    </row>
    <row r="398" spans="1:52" ht="15.75" customHeight="1" x14ac:dyDescent="0.35">
      <c r="A398" s="139" t="s">
        <v>1105</v>
      </c>
      <c r="B398" s="67" t="s">
        <v>1106</v>
      </c>
      <c r="C398" s="139" t="s">
        <v>74</v>
      </c>
      <c r="D398" s="139" t="s">
        <v>75</v>
      </c>
      <c r="E398" s="139" t="s">
        <v>1149</v>
      </c>
      <c r="F398" s="139" t="s">
        <v>1150</v>
      </c>
      <c r="G398" s="67" t="s">
        <v>1020</v>
      </c>
      <c r="H398" s="139" t="s">
        <v>76</v>
      </c>
      <c r="I398" s="139" t="s">
        <v>733</v>
      </c>
      <c r="J398" s="168" t="s">
        <v>78</v>
      </c>
      <c r="K398" s="228">
        <f t="shared" si="101"/>
        <v>93</v>
      </c>
      <c r="L398" s="269">
        <v>93</v>
      </c>
      <c r="M398" s="269"/>
      <c r="N398" s="269"/>
      <c r="O398" s="269">
        <v>1</v>
      </c>
      <c r="P398" s="269"/>
      <c r="Q398" s="269"/>
      <c r="R398" s="269"/>
      <c r="S398" s="165" t="s">
        <v>1109</v>
      </c>
      <c r="T398" s="70"/>
      <c r="U398" s="238">
        <f t="shared" si="102"/>
        <v>0.11168421052631579</v>
      </c>
      <c r="V398" s="238">
        <f t="shared" si="103"/>
        <v>0</v>
      </c>
      <c r="W398" s="238">
        <f t="shared" si="104"/>
        <v>0</v>
      </c>
      <c r="X398" s="238">
        <f t="shared" si="105"/>
        <v>0</v>
      </c>
      <c r="Y398" s="238">
        <f t="shared" si="106"/>
        <v>0.11168421052631579</v>
      </c>
      <c r="Z398" s="70">
        <v>0.11168421052631579</v>
      </c>
      <c r="AA398" s="70"/>
      <c r="AB398" s="70">
        <v>0</v>
      </c>
      <c r="AC398" s="70">
        <v>0</v>
      </c>
      <c r="AD398" s="71">
        <v>0.11168421052631579</v>
      </c>
      <c r="AE398" s="120" t="s">
        <v>1099</v>
      </c>
      <c r="AF398" s="121">
        <v>1</v>
      </c>
      <c r="AG398" s="73">
        <v>12.3</v>
      </c>
      <c r="AH398" s="73">
        <v>1.3737157894736842</v>
      </c>
      <c r="AI398" s="73">
        <v>0</v>
      </c>
      <c r="AJ398" s="73">
        <v>0</v>
      </c>
      <c r="AK398" s="73">
        <v>0</v>
      </c>
      <c r="AL398" s="129">
        <v>1.3737157894736842</v>
      </c>
      <c r="AM398" s="202">
        <f t="shared" si="107"/>
        <v>8.3108928463962605E-5</v>
      </c>
      <c r="AN398" s="202">
        <f t="shared" si="108"/>
        <v>0</v>
      </c>
      <c r="AO398" s="202">
        <f t="shared" si="109"/>
        <v>0</v>
      </c>
      <c r="AP398" s="202">
        <f t="shared" si="110"/>
        <v>0</v>
      </c>
      <c r="AQ398" s="202">
        <f t="shared" si="111"/>
        <v>8.3108928463962605E-5</v>
      </c>
      <c r="AR398" s="217" t="s">
        <v>1105</v>
      </c>
      <c r="AS398" s="226" t="s">
        <v>1660</v>
      </c>
      <c r="AT398" s="234">
        <v>311611</v>
      </c>
      <c r="AU398" s="244">
        <f t="shared" si="112"/>
        <v>1.3737157894736842</v>
      </c>
      <c r="AV398" s="244">
        <f t="shared" si="113"/>
        <v>0</v>
      </c>
      <c r="AW398" s="244">
        <f t="shared" si="114"/>
        <v>0</v>
      </c>
      <c r="AX398" s="244">
        <f t="shared" si="115"/>
        <v>0</v>
      </c>
      <c r="AY398" s="244">
        <f t="shared" si="116"/>
        <v>1.3737157894736842</v>
      </c>
      <c r="AZ398">
        <v>1.059352835530121E-3</v>
      </c>
    </row>
    <row r="399" spans="1:52" ht="15.75" customHeight="1" x14ac:dyDescent="0.35">
      <c r="A399" s="139" t="s">
        <v>1105</v>
      </c>
      <c r="B399" s="67" t="s">
        <v>1106</v>
      </c>
      <c r="C399" s="139" t="s">
        <v>154</v>
      </c>
      <c r="D399" s="139" t="s">
        <v>1151</v>
      </c>
      <c r="E399" s="139" t="s">
        <v>1152</v>
      </c>
      <c r="F399" s="139" t="s">
        <v>1153</v>
      </c>
      <c r="G399" s="67" t="s">
        <v>1020</v>
      </c>
      <c r="H399" s="139" t="s">
        <v>214</v>
      </c>
      <c r="I399" s="139" t="s">
        <v>1154</v>
      </c>
      <c r="J399" s="143"/>
      <c r="K399" s="228">
        <f t="shared" si="101"/>
        <v>66</v>
      </c>
      <c r="L399" s="269">
        <v>66</v>
      </c>
      <c r="M399" s="269"/>
      <c r="N399" s="269"/>
      <c r="O399" s="269">
        <v>1</v>
      </c>
      <c r="P399" s="269"/>
      <c r="Q399" s="269"/>
      <c r="R399" s="269"/>
      <c r="S399" s="165" t="s">
        <v>1109</v>
      </c>
      <c r="T399" s="70"/>
      <c r="U399" s="238">
        <f t="shared" si="102"/>
        <v>0.02</v>
      </c>
      <c r="V399" s="238">
        <f t="shared" si="103"/>
        <v>0</v>
      </c>
      <c r="W399" s="238">
        <f t="shared" si="104"/>
        <v>0.02</v>
      </c>
      <c r="X399" s="238">
        <f t="shared" si="105"/>
        <v>0</v>
      </c>
      <c r="Y399" s="238">
        <f t="shared" si="106"/>
        <v>0</v>
      </c>
      <c r="Z399" s="70">
        <v>0.02</v>
      </c>
      <c r="AA399" s="70"/>
      <c r="AB399" s="70">
        <v>0.02</v>
      </c>
      <c r="AC399" s="70">
        <v>0</v>
      </c>
      <c r="AD399" s="71">
        <v>0</v>
      </c>
      <c r="AE399" s="233"/>
      <c r="AF399" s="72"/>
      <c r="AG399" s="73">
        <v>12.3</v>
      </c>
      <c r="AH399" s="73">
        <v>0.24600000000000002</v>
      </c>
      <c r="AI399" s="73">
        <v>0</v>
      </c>
      <c r="AJ399" s="73">
        <v>0.24600000000000002</v>
      </c>
      <c r="AK399" s="73">
        <v>0</v>
      </c>
      <c r="AL399" s="129">
        <v>0</v>
      </c>
      <c r="AM399" s="202">
        <f t="shared" si="107"/>
        <v>1.4882842986006501E-5</v>
      </c>
      <c r="AN399" s="202">
        <f t="shared" si="108"/>
        <v>0</v>
      </c>
      <c r="AO399" s="202">
        <f t="shared" si="109"/>
        <v>1.4882842986006501E-5</v>
      </c>
      <c r="AP399" s="202">
        <f t="shared" si="110"/>
        <v>0</v>
      </c>
      <c r="AQ399" s="202">
        <f t="shared" si="111"/>
        <v>0</v>
      </c>
      <c r="AR399" s="217" t="s">
        <v>1105</v>
      </c>
      <c r="AS399" s="226" t="s">
        <v>1660</v>
      </c>
      <c r="AT399" s="234">
        <v>311611</v>
      </c>
      <c r="AU399" s="244">
        <f t="shared" si="112"/>
        <v>0.24600000000000002</v>
      </c>
      <c r="AV399" s="244">
        <f t="shared" si="113"/>
        <v>0</v>
      </c>
      <c r="AW399" s="244">
        <f t="shared" si="114"/>
        <v>0.24600000000000002</v>
      </c>
      <c r="AX399" s="244">
        <f t="shared" si="115"/>
        <v>0</v>
      </c>
      <c r="AY399" s="244">
        <f t="shared" si="116"/>
        <v>0</v>
      </c>
      <c r="AZ399">
        <v>1.8970503181029499E-4</v>
      </c>
    </row>
    <row r="400" spans="1:52" ht="15.75" customHeight="1" x14ac:dyDescent="0.35">
      <c r="A400" s="139" t="s">
        <v>1105</v>
      </c>
      <c r="B400" s="67" t="s">
        <v>1106</v>
      </c>
      <c r="C400" s="139" t="s">
        <v>67</v>
      </c>
      <c r="D400" s="139" t="s">
        <v>67</v>
      </c>
      <c r="E400" s="139" t="s">
        <v>1155</v>
      </c>
      <c r="F400" s="139" t="s">
        <v>1156</v>
      </c>
      <c r="G400" s="67" t="s">
        <v>1020</v>
      </c>
      <c r="H400" s="139" t="s">
        <v>1030</v>
      </c>
      <c r="I400" s="139" t="s">
        <v>1157</v>
      </c>
      <c r="J400" s="143" t="s">
        <v>1158</v>
      </c>
      <c r="K400" s="228">
        <f t="shared" si="101"/>
        <v>1.7</v>
      </c>
      <c r="L400" s="269">
        <v>1.7</v>
      </c>
      <c r="M400" s="269"/>
      <c r="N400" s="269"/>
      <c r="O400" s="269">
        <v>1</v>
      </c>
      <c r="P400" s="269"/>
      <c r="Q400" s="269"/>
      <c r="R400" s="269"/>
      <c r="S400" s="165" t="s">
        <v>1109</v>
      </c>
      <c r="T400" s="70"/>
      <c r="U400" s="238">
        <f t="shared" si="102"/>
        <v>0.22969999999999999</v>
      </c>
      <c r="V400" s="238">
        <f t="shared" si="103"/>
        <v>0</v>
      </c>
      <c r="W400" s="238">
        <f t="shared" si="104"/>
        <v>0.22969999999999999</v>
      </c>
      <c r="X400" s="238">
        <f t="shared" si="105"/>
        <v>0</v>
      </c>
      <c r="Y400" s="238">
        <f t="shared" si="106"/>
        <v>0</v>
      </c>
      <c r="Z400" s="70">
        <v>0.22969999999999999</v>
      </c>
      <c r="AA400" s="70"/>
      <c r="AB400" s="70">
        <v>0.22969999999999999</v>
      </c>
      <c r="AC400" s="70">
        <v>0</v>
      </c>
      <c r="AD400" s="71">
        <v>0</v>
      </c>
      <c r="AE400" s="233"/>
      <c r="AF400" s="72"/>
      <c r="AG400" s="73">
        <v>12.3</v>
      </c>
      <c r="AH400" s="73">
        <v>2.82531</v>
      </c>
      <c r="AI400" s="73">
        <v>0</v>
      </c>
      <c r="AJ400" s="73">
        <v>2.82531</v>
      </c>
      <c r="AK400" s="73">
        <v>0</v>
      </c>
      <c r="AL400" s="129">
        <v>0</v>
      </c>
      <c r="AM400" s="202">
        <f t="shared" si="107"/>
        <v>1.7092945169428465E-4</v>
      </c>
      <c r="AN400" s="202">
        <f t="shared" si="108"/>
        <v>0</v>
      </c>
      <c r="AO400" s="202">
        <f t="shared" si="109"/>
        <v>1.7092945169428465E-4</v>
      </c>
      <c r="AP400" s="202">
        <f t="shared" si="110"/>
        <v>0</v>
      </c>
      <c r="AQ400" s="202">
        <f t="shared" si="111"/>
        <v>0</v>
      </c>
      <c r="AR400" s="217" t="s">
        <v>1105</v>
      </c>
      <c r="AS400" s="226" t="s">
        <v>1660</v>
      </c>
      <c r="AT400" s="234">
        <v>311611</v>
      </c>
      <c r="AU400" s="244">
        <f t="shared" si="112"/>
        <v>2.82531</v>
      </c>
      <c r="AV400" s="244">
        <f t="shared" si="113"/>
        <v>0</v>
      </c>
      <c r="AW400" s="244">
        <f t="shared" si="114"/>
        <v>2.82531</v>
      </c>
      <c r="AX400" s="244">
        <f t="shared" si="115"/>
        <v>0</v>
      </c>
      <c r="AY400" s="244">
        <f t="shared" si="116"/>
        <v>0</v>
      </c>
      <c r="AZ400">
        <v>2.1787622903412379E-3</v>
      </c>
    </row>
    <row r="401" spans="1:52" ht="15.75" customHeight="1" x14ac:dyDescent="0.35">
      <c r="A401" s="139" t="s">
        <v>1105</v>
      </c>
      <c r="B401" s="78" t="s">
        <v>1106</v>
      </c>
      <c r="C401" s="145" t="s">
        <v>48</v>
      </c>
      <c r="D401" s="145" t="s">
        <v>1093</v>
      </c>
      <c r="E401" s="145" t="s">
        <v>1159</v>
      </c>
      <c r="F401" s="145" t="s">
        <v>1095</v>
      </c>
      <c r="G401" s="78" t="s">
        <v>1020</v>
      </c>
      <c r="H401" s="145" t="s">
        <v>1096</v>
      </c>
      <c r="I401" s="145" t="s">
        <v>1097</v>
      </c>
      <c r="J401" s="146"/>
      <c r="K401" s="228">
        <f t="shared" si="101"/>
        <v>82</v>
      </c>
      <c r="L401" s="269">
        <v>82</v>
      </c>
      <c r="M401" s="269"/>
      <c r="N401" s="269"/>
      <c r="O401" s="269">
        <v>1</v>
      </c>
      <c r="P401" s="269"/>
      <c r="Q401" s="269"/>
      <c r="R401" s="269"/>
      <c r="S401" s="166" t="s">
        <v>1109</v>
      </c>
      <c r="T401" s="82"/>
      <c r="U401" s="238">
        <f t="shared" si="102"/>
        <v>0.44</v>
      </c>
      <c r="V401" s="238">
        <f t="shared" si="103"/>
        <v>0</v>
      </c>
      <c r="W401" s="238">
        <f t="shared" si="104"/>
        <v>0</v>
      </c>
      <c r="X401" s="238">
        <f t="shared" si="105"/>
        <v>0</v>
      </c>
      <c r="Y401" s="238">
        <f t="shared" si="106"/>
        <v>0.44</v>
      </c>
      <c r="Z401" s="70">
        <v>0.44</v>
      </c>
      <c r="AA401" s="70"/>
      <c r="AB401" s="70"/>
      <c r="AC401" s="70"/>
      <c r="AD401" s="71">
        <v>0.44</v>
      </c>
      <c r="AE401" s="147" t="s">
        <v>1099</v>
      </c>
      <c r="AF401" s="148">
        <v>1</v>
      </c>
      <c r="AG401" s="85">
        <v>12.3</v>
      </c>
      <c r="AH401" s="85">
        <v>5.4119999999999999</v>
      </c>
      <c r="AI401" s="85">
        <v>0</v>
      </c>
      <c r="AJ401" s="85">
        <v>0</v>
      </c>
      <c r="AK401" s="85">
        <v>0</v>
      </c>
      <c r="AL401" s="133">
        <v>5.4119999999999999</v>
      </c>
      <c r="AM401" s="202">
        <f t="shared" si="107"/>
        <v>3.2742254569214296E-4</v>
      </c>
      <c r="AN401" s="202">
        <f t="shared" si="108"/>
        <v>0</v>
      </c>
      <c r="AO401" s="202">
        <f t="shared" si="109"/>
        <v>0</v>
      </c>
      <c r="AP401" s="202">
        <f t="shared" si="110"/>
        <v>0</v>
      </c>
      <c r="AQ401" s="202">
        <f t="shared" si="111"/>
        <v>3.2742254569214296E-4</v>
      </c>
      <c r="AR401" s="217" t="s">
        <v>1105</v>
      </c>
      <c r="AS401" s="226" t="s">
        <v>1660</v>
      </c>
      <c r="AT401" s="234">
        <v>311611</v>
      </c>
      <c r="AU401" s="244">
        <f t="shared" si="112"/>
        <v>5.4119999999999999</v>
      </c>
      <c r="AV401" s="244">
        <f t="shared" si="113"/>
        <v>0</v>
      </c>
      <c r="AW401" s="244">
        <f t="shared" si="114"/>
        <v>0</v>
      </c>
      <c r="AX401" s="244">
        <f t="shared" si="115"/>
        <v>0</v>
      </c>
      <c r="AY401" s="244">
        <f t="shared" si="116"/>
        <v>5.4119999999999999</v>
      </c>
      <c r="AZ401">
        <v>4.1735106998264894E-3</v>
      </c>
    </row>
    <row r="402" spans="1:52" ht="15" customHeight="1" x14ac:dyDescent="0.35">
      <c r="A402" s="157" t="s">
        <v>1105</v>
      </c>
      <c r="B402" s="67" t="s">
        <v>1160</v>
      </c>
      <c r="C402" s="67" t="s">
        <v>99</v>
      </c>
      <c r="D402" s="139" t="s">
        <v>1064</v>
      </c>
      <c r="E402" s="120" t="str">
        <f t="shared" ref="E402:E403" si="117">E387</f>
        <v>Bleeding carcasses</v>
      </c>
      <c r="F402" s="139" t="s">
        <v>1161</v>
      </c>
      <c r="G402" s="67" t="s">
        <v>1020</v>
      </c>
      <c r="H402" s="157" t="s">
        <v>1067</v>
      </c>
      <c r="I402" s="157" t="s">
        <v>1068</v>
      </c>
      <c r="J402" s="143"/>
      <c r="K402" s="228">
        <f t="shared" si="101"/>
        <v>24</v>
      </c>
      <c r="L402" s="269">
        <v>24</v>
      </c>
      <c r="M402" s="269"/>
      <c r="N402" s="269"/>
      <c r="O402" s="269">
        <v>1</v>
      </c>
      <c r="P402" s="269"/>
      <c r="Q402" s="269"/>
      <c r="R402" s="269"/>
      <c r="S402" s="167" t="s">
        <v>1162</v>
      </c>
      <c r="T402" s="70"/>
      <c r="U402" s="238">
        <f t="shared" si="102"/>
        <v>6.4999999999999997E-3</v>
      </c>
      <c r="V402" s="238">
        <f t="shared" si="103"/>
        <v>0</v>
      </c>
      <c r="W402" s="238">
        <f t="shared" si="104"/>
        <v>6.4999999999999997E-3</v>
      </c>
      <c r="X402" s="238">
        <f t="shared" si="105"/>
        <v>0</v>
      </c>
      <c r="Y402" s="238">
        <f t="shared" si="106"/>
        <v>0</v>
      </c>
      <c r="Z402" s="82">
        <v>6.4999999999999997E-3</v>
      </c>
      <c r="AA402" s="82"/>
      <c r="AB402" s="82">
        <v>6.4999999999999997E-3</v>
      </c>
      <c r="AC402" s="82"/>
      <c r="AD402" s="83"/>
      <c r="AE402" s="233"/>
      <c r="AF402" s="72"/>
      <c r="AG402" s="73">
        <v>12.962</v>
      </c>
      <c r="AH402" s="73">
        <v>8.4252999999999995E-2</v>
      </c>
      <c r="AI402" s="73">
        <v>0</v>
      </c>
      <c r="AJ402" s="73">
        <v>8.4252999999999995E-2</v>
      </c>
      <c r="AK402" s="73">
        <v>0</v>
      </c>
      <c r="AL402" s="129">
        <v>0</v>
      </c>
      <c r="AM402" s="202">
        <f t="shared" si="107"/>
        <v>5.0972527239837619E-6</v>
      </c>
      <c r="AN402" s="202">
        <f t="shared" si="108"/>
        <v>0</v>
      </c>
      <c r="AO402" s="202">
        <f t="shared" si="109"/>
        <v>5.0972527239837619E-6</v>
      </c>
      <c r="AP402" s="202">
        <f t="shared" si="110"/>
        <v>0</v>
      </c>
      <c r="AQ402" s="202">
        <f t="shared" si="111"/>
        <v>0</v>
      </c>
      <c r="AR402" s="206" t="s">
        <v>1105</v>
      </c>
      <c r="AS402" s="226" t="s">
        <v>1660</v>
      </c>
      <c r="AT402" s="234">
        <v>311611</v>
      </c>
      <c r="AU402" s="244">
        <f t="shared" si="112"/>
        <v>8.4252999999999995E-2</v>
      </c>
      <c r="AV402" s="244">
        <f t="shared" si="113"/>
        <v>0</v>
      </c>
      <c r="AW402" s="244">
        <f t="shared" si="114"/>
        <v>8.4252999999999995E-2</v>
      </c>
      <c r="AX402" s="244">
        <f t="shared" si="115"/>
        <v>0</v>
      </c>
      <c r="AY402" s="244">
        <f t="shared" si="116"/>
        <v>0</v>
      </c>
      <c r="AZ402">
        <v>6.4972431077694225E-5</v>
      </c>
    </row>
    <row r="403" spans="1:52" ht="15.75" customHeight="1" x14ac:dyDescent="0.35">
      <c r="A403" s="139" t="s">
        <v>1105</v>
      </c>
      <c r="B403" s="67" t="s">
        <v>1160</v>
      </c>
      <c r="C403" s="67" t="s">
        <v>88</v>
      </c>
      <c r="D403" s="139" t="s">
        <v>1110</v>
      </c>
      <c r="E403" s="120" t="str">
        <f t="shared" si="117"/>
        <v>Blood collection</v>
      </c>
      <c r="F403" s="139" t="s">
        <v>1112</v>
      </c>
      <c r="G403" s="67" t="s">
        <v>1020</v>
      </c>
      <c r="H403" s="139" t="s">
        <v>1113</v>
      </c>
      <c r="I403" s="139" t="s">
        <v>1114</v>
      </c>
      <c r="J403" s="143"/>
      <c r="K403" s="228">
        <f t="shared" si="101"/>
        <v>24</v>
      </c>
      <c r="L403" s="269">
        <v>24</v>
      </c>
      <c r="M403" s="269"/>
      <c r="N403" s="269"/>
      <c r="O403" s="269">
        <v>1</v>
      </c>
      <c r="P403" s="269"/>
      <c r="Q403" s="269"/>
      <c r="R403" s="269"/>
      <c r="S403" s="165" t="s">
        <v>1162</v>
      </c>
      <c r="T403" s="70"/>
      <c r="U403" s="238">
        <f t="shared" si="102"/>
        <v>5.9999999999999995E-4</v>
      </c>
      <c r="V403" s="238">
        <f t="shared" si="103"/>
        <v>0</v>
      </c>
      <c r="W403" s="238">
        <f t="shared" si="104"/>
        <v>5.9999999999999995E-4</v>
      </c>
      <c r="X403" s="238">
        <f t="shared" si="105"/>
        <v>0</v>
      </c>
      <c r="Y403" s="238">
        <f t="shared" si="106"/>
        <v>0</v>
      </c>
      <c r="Z403" s="70">
        <v>5.9999999999999995E-4</v>
      </c>
      <c r="AA403" s="70"/>
      <c r="AB403" s="70">
        <v>5.9999999999999995E-4</v>
      </c>
      <c r="AC403" s="70"/>
      <c r="AD403" s="71"/>
      <c r="AE403" s="233"/>
      <c r="AF403" s="72"/>
      <c r="AG403" s="73">
        <v>12.962</v>
      </c>
      <c r="AH403" s="73">
        <v>7.7771999999999989E-3</v>
      </c>
      <c r="AI403" s="73">
        <v>0</v>
      </c>
      <c r="AJ403" s="73">
        <v>7.7771999999999989E-3</v>
      </c>
      <c r="AK403" s="73">
        <v>0</v>
      </c>
      <c r="AL403" s="129">
        <v>0</v>
      </c>
      <c r="AM403" s="202">
        <f t="shared" si="107"/>
        <v>4.7051563606003955E-7</v>
      </c>
      <c r="AN403" s="202">
        <f t="shared" si="108"/>
        <v>0</v>
      </c>
      <c r="AO403" s="202">
        <f t="shared" si="109"/>
        <v>4.7051563606003955E-7</v>
      </c>
      <c r="AP403" s="202">
        <f t="shared" si="110"/>
        <v>0</v>
      </c>
      <c r="AQ403" s="202">
        <f t="shared" si="111"/>
        <v>0</v>
      </c>
      <c r="AR403" s="217" t="s">
        <v>1105</v>
      </c>
      <c r="AS403" s="226" t="s">
        <v>1660</v>
      </c>
      <c r="AT403" s="234">
        <v>311611</v>
      </c>
      <c r="AU403" s="244">
        <f t="shared" si="112"/>
        <v>7.7771999999999989E-3</v>
      </c>
      <c r="AV403" s="244">
        <f t="shared" si="113"/>
        <v>0</v>
      </c>
      <c r="AW403" s="244">
        <f t="shared" si="114"/>
        <v>7.7771999999999989E-3</v>
      </c>
      <c r="AX403" s="244">
        <f t="shared" si="115"/>
        <v>0</v>
      </c>
      <c r="AY403" s="244">
        <f t="shared" si="116"/>
        <v>0</v>
      </c>
      <c r="AZ403">
        <v>5.9974551764025437E-6</v>
      </c>
    </row>
    <row r="404" spans="1:52" ht="15.75" customHeight="1" x14ac:dyDescent="0.35">
      <c r="A404" s="139" t="s">
        <v>1105</v>
      </c>
      <c r="B404" s="67" t="s">
        <v>1160</v>
      </c>
      <c r="C404" s="139" t="s">
        <v>74</v>
      </c>
      <c r="D404" s="139" t="s">
        <v>75</v>
      </c>
      <c r="E404" s="120" t="s">
        <v>1115</v>
      </c>
      <c r="F404" s="139" t="s">
        <v>1116</v>
      </c>
      <c r="G404" s="67" t="s">
        <v>1020</v>
      </c>
      <c r="H404" s="139" t="s">
        <v>76</v>
      </c>
      <c r="I404" s="139" t="s">
        <v>1117</v>
      </c>
      <c r="J404" s="168" t="s">
        <v>78</v>
      </c>
      <c r="K404" s="228">
        <f t="shared" si="101"/>
        <v>93</v>
      </c>
      <c r="L404" s="269">
        <v>93</v>
      </c>
      <c r="M404" s="269"/>
      <c r="N404" s="269"/>
      <c r="O404" s="269">
        <v>1</v>
      </c>
      <c r="P404" s="269"/>
      <c r="Q404" s="269"/>
      <c r="R404" s="269"/>
      <c r="S404" s="165" t="s">
        <v>1162</v>
      </c>
      <c r="T404" s="70"/>
      <c r="U404" s="238">
        <f t="shared" si="102"/>
        <v>0.15159999999999998</v>
      </c>
      <c r="V404" s="238">
        <f t="shared" si="103"/>
        <v>0</v>
      </c>
      <c r="W404" s="238">
        <f t="shared" si="104"/>
        <v>5.9999999999999995E-4</v>
      </c>
      <c r="X404" s="238">
        <f t="shared" si="105"/>
        <v>0</v>
      </c>
      <c r="Y404" s="238">
        <f t="shared" si="106"/>
        <v>0.151</v>
      </c>
      <c r="Z404" s="70">
        <v>0.15159999999999998</v>
      </c>
      <c r="AA404" s="70"/>
      <c r="AB404" s="70">
        <v>5.9999999999999995E-4</v>
      </c>
      <c r="AC404" s="70"/>
      <c r="AD404" s="71">
        <v>0.151</v>
      </c>
      <c r="AE404" s="120" t="s">
        <v>1099</v>
      </c>
      <c r="AF404" s="121">
        <v>1</v>
      </c>
      <c r="AG404" s="73">
        <v>12.962</v>
      </c>
      <c r="AH404" s="73">
        <v>1.9650391999999997</v>
      </c>
      <c r="AI404" s="73">
        <v>0</v>
      </c>
      <c r="AJ404" s="73">
        <v>7.7771999999999989E-3</v>
      </c>
      <c r="AK404" s="73">
        <v>0</v>
      </c>
      <c r="AL404" s="129">
        <v>1.9572619999999998</v>
      </c>
      <c r="AM404" s="202">
        <f t="shared" si="107"/>
        <v>1.1888361737783666E-4</v>
      </c>
      <c r="AN404" s="202">
        <f t="shared" si="108"/>
        <v>0</v>
      </c>
      <c r="AO404" s="202">
        <f t="shared" si="109"/>
        <v>4.7051563606003955E-7</v>
      </c>
      <c r="AP404" s="202">
        <f t="shared" si="110"/>
        <v>0</v>
      </c>
      <c r="AQ404" s="202">
        <f t="shared" si="111"/>
        <v>1.1841310174177663E-4</v>
      </c>
      <c r="AR404" s="217" t="s">
        <v>1105</v>
      </c>
      <c r="AS404" s="226" t="s">
        <v>1660</v>
      </c>
      <c r="AT404" s="234">
        <v>311611</v>
      </c>
      <c r="AU404" s="244">
        <f t="shared" si="112"/>
        <v>1.9650391999999997</v>
      </c>
      <c r="AV404" s="244">
        <f t="shared" si="113"/>
        <v>0</v>
      </c>
      <c r="AW404" s="244">
        <f t="shared" si="114"/>
        <v>7.7771999999999989E-3</v>
      </c>
      <c r="AX404" s="244">
        <f t="shared" si="115"/>
        <v>0</v>
      </c>
      <c r="AY404" s="244">
        <f t="shared" si="116"/>
        <v>1.9572619999999998</v>
      </c>
      <c r="AZ404">
        <v>1.5153570079043761E-3</v>
      </c>
    </row>
    <row r="405" spans="1:52" ht="15" customHeight="1" x14ac:dyDescent="0.35">
      <c r="A405" s="139" t="s">
        <v>1105</v>
      </c>
      <c r="B405" s="67" t="s">
        <v>1160</v>
      </c>
      <c r="C405" s="67" t="s">
        <v>92</v>
      </c>
      <c r="D405" s="139" t="s">
        <v>1118</v>
      </c>
      <c r="E405" s="139" t="s">
        <v>1119</v>
      </c>
      <c r="F405" s="139" t="str">
        <f>F391</f>
        <v>dehaired carcass</v>
      </c>
      <c r="G405" s="67" t="s">
        <v>1020</v>
      </c>
      <c r="H405" s="139" t="s">
        <v>741</v>
      </c>
      <c r="I405" s="139" t="s">
        <v>1121</v>
      </c>
      <c r="J405" s="161">
        <v>0.85</v>
      </c>
      <c r="K405" s="228">
        <f t="shared" si="101"/>
        <v>27</v>
      </c>
      <c r="L405" s="269">
        <v>27</v>
      </c>
      <c r="M405" s="269"/>
      <c r="N405" s="269"/>
      <c r="O405" s="269">
        <v>1</v>
      </c>
      <c r="P405" s="269"/>
      <c r="Q405" s="269"/>
      <c r="R405" s="269"/>
      <c r="S405" s="165" t="s">
        <v>1162</v>
      </c>
      <c r="T405" s="70"/>
      <c r="U405" s="238">
        <f t="shared" si="102"/>
        <v>0.1782</v>
      </c>
      <c r="V405" s="238">
        <f t="shared" si="103"/>
        <v>0</v>
      </c>
      <c r="W405" s="238">
        <f t="shared" si="104"/>
        <v>5.7000000000000002E-3</v>
      </c>
      <c r="X405" s="238">
        <f t="shared" si="105"/>
        <v>0</v>
      </c>
      <c r="Y405" s="238">
        <f t="shared" si="106"/>
        <v>0.17249999999999999</v>
      </c>
      <c r="Z405" s="70">
        <v>0.1782</v>
      </c>
      <c r="AA405" s="70"/>
      <c r="AB405" s="70">
        <v>5.7000000000000002E-3</v>
      </c>
      <c r="AC405" s="70"/>
      <c r="AD405" s="71">
        <v>0.17249999999999999</v>
      </c>
      <c r="AE405" s="120" t="s">
        <v>1099</v>
      </c>
      <c r="AF405" s="121">
        <v>1</v>
      </c>
      <c r="AG405" s="73">
        <v>12.962</v>
      </c>
      <c r="AH405" s="73">
        <v>2.3098283999999998</v>
      </c>
      <c r="AI405" s="73">
        <v>0</v>
      </c>
      <c r="AJ405" s="73">
        <v>7.3883400000000002E-2</v>
      </c>
      <c r="AK405" s="73">
        <v>0</v>
      </c>
      <c r="AL405" s="129">
        <v>2.2359449999999996</v>
      </c>
      <c r="AM405" s="202">
        <f t="shared" si="107"/>
        <v>1.3974314390983176E-4</v>
      </c>
      <c r="AN405" s="202">
        <f t="shared" si="108"/>
        <v>0</v>
      </c>
      <c r="AO405" s="202">
        <f t="shared" si="109"/>
        <v>4.4698985425703761E-6</v>
      </c>
      <c r="AP405" s="202">
        <f t="shared" si="110"/>
        <v>0</v>
      </c>
      <c r="AQ405" s="202">
        <f t="shared" si="111"/>
        <v>1.3527324536726136E-4</v>
      </c>
      <c r="AR405" s="217" t="s">
        <v>1105</v>
      </c>
      <c r="AS405" s="226" t="s">
        <v>1660</v>
      </c>
      <c r="AT405" s="234">
        <v>311611</v>
      </c>
      <c r="AU405" s="244">
        <f t="shared" si="112"/>
        <v>2.3098283999999998</v>
      </c>
      <c r="AV405" s="244">
        <f t="shared" si="113"/>
        <v>0</v>
      </c>
      <c r="AW405" s="244">
        <f t="shared" si="114"/>
        <v>7.3883400000000002E-2</v>
      </c>
      <c r="AX405" s="244">
        <f t="shared" si="115"/>
        <v>0</v>
      </c>
      <c r="AY405" s="244">
        <f t="shared" si="116"/>
        <v>2.2359449999999996</v>
      </c>
      <c r="AZ405">
        <v>1.7812441873915556E-3</v>
      </c>
    </row>
    <row r="406" spans="1:52" ht="15.75" customHeight="1" x14ac:dyDescent="0.35">
      <c r="A406" s="139" t="s">
        <v>1105</v>
      </c>
      <c r="B406" s="67" t="s">
        <v>1160</v>
      </c>
      <c r="C406" s="139" t="s">
        <v>154</v>
      </c>
      <c r="D406" s="139" t="s">
        <v>1163</v>
      </c>
      <c r="E406" s="139" t="s">
        <v>1164</v>
      </c>
      <c r="F406" s="139" t="s">
        <v>1165</v>
      </c>
      <c r="G406" s="67" t="s">
        <v>1020</v>
      </c>
      <c r="H406" s="139" t="s">
        <v>1166</v>
      </c>
      <c r="I406" s="139" t="s">
        <v>1167</v>
      </c>
      <c r="J406" s="143"/>
      <c r="K406" s="228">
        <f t="shared" si="101"/>
        <v>24</v>
      </c>
      <c r="L406" s="269">
        <v>24</v>
      </c>
      <c r="M406" s="269"/>
      <c r="N406" s="269"/>
      <c r="O406" s="269">
        <v>1</v>
      </c>
      <c r="P406" s="269"/>
      <c r="Q406" s="269"/>
      <c r="R406" s="269"/>
      <c r="S406" s="165" t="s">
        <v>1162</v>
      </c>
      <c r="T406" s="70"/>
      <c r="U406" s="238">
        <f t="shared" si="102"/>
        <v>2.5000000000000001E-3</v>
      </c>
      <c r="V406" s="238">
        <f t="shared" si="103"/>
        <v>0</v>
      </c>
      <c r="W406" s="238">
        <f t="shared" si="104"/>
        <v>2.5000000000000001E-3</v>
      </c>
      <c r="X406" s="238">
        <f t="shared" si="105"/>
        <v>0</v>
      </c>
      <c r="Y406" s="238">
        <f t="shared" si="106"/>
        <v>0</v>
      </c>
      <c r="Z406" s="70">
        <v>2.5000000000000001E-3</v>
      </c>
      <c r="AA406" s="70"/>
      <c r="AB406" s="70">
        <v>2.5000000000000001E-3</v>
      </c>
      <c r="AC406" s="70"/>
      <c r="AD406" s="71"/>
      <c r="AE406" s="233"/>
      <c r="AF406" s="72"/>
      <c r="AG406" s="73">
        <v>12.962</v>
      </c>
      <c r="AH406" s="73">
        <v>3.2405000000000003E-2</v>
      </c>
      <c r="AI406" s="73">
        <v>0</v>
      </c>
      <c r="AJ406" s="73">
        <v>3.2405000000000003E-2</v>
      </c>
      <c r="AK406" s="73">
        <v>0</v>
      </c>
      <c r="AL406" s="129">
        <v>0</v>
      </c>
      <c r="AM406" s="202">
        <f t="shared" si="107"/>
        <v>1.9604818169168321E-6</v>
      </c>
      <c r="AN406" s="202">
        <f t="shared" si="108"/>
        <v>0</v>
      </c>
      <c r="AO406" s="202">
        <f t="shared" si="109"/>
        <v>1.9604818169168321E-6</v>
      </c>
      <c r="AP406" s="202">
        <f t="shared" si="110"/>
        <v>0</v>
      </c>
      <c r="AQ406" s="202">
        <f t="shared" si="111"/>
        <v>0</v>
      </c>
      <c r="AR406" s="217" t="s">
        <v>1105</v>
      </c>
      <c r="AS406" s="226" t="s">
        <v>1660</v>
      </c>
      <c r="AT406" s="234">
        <v>311611</v>
      </c>
      <c r="AU406" s="244">
        <f t="shared" si="112"/>
        <v>3.2405000000000003E-2</v>
      </c>
      <c r="AV406" s="244">
        <f t="shared" si="113"/>
        <v>0</v>
      </c>
      <c r="AW406" s="244">
        <f t="shared" si="114"/>
        <v>3.2405000000000003E-2</v>
      </c>
      <c r="AX406" s="244">
        <f t="shared" si="115"/>
        <v>0</v>
      </c>
      <c r="AY406" s="244">
        <f t="shared" si="116"/>
        <v>0</v>
      </c>
      <c r="AZ406">
        <v>2.498939656834394E-5</v>
      </c>
    </row>
    <row r="407" spans="1:52" ht="15.75" customHeight="1" x14ac:dyDescent="0.35">
      <c r="A407" s="139" t="s">
        <v>1105</v>
      </c>
      <c r="B407" s="67" t="s">
        <v>1160</v>
      </c>
      <c r="C407" s="139" t="s">
        <v>154</v>
      </c>
      <c r="D407" s="139" t="s">
        <v>1163</v>
      </c>
      <c r="E407" s="139" t="s">
        <v>1168</v>
      </c>
      <c r="F407" s="139" t="s">
        <v>1169</v>
      </c>
      <c r="G407" s="67" t="s">
        <v>1020</v>
      </c>
      <c r="H407" s="139" t="s">
        <v>1170</v>
      </c>
      <c r="I407" s="139" t="s">
        <v>1171</v>
      </c>
      <c r="J407" s="143"/>
      <c r="K407" s="228">
        <f t="shared" si="101"/>
        <v>24</v>
      </c>
      <c r="L407" s="269">
        <v>24</v>
      </c>
      <c r="M407" s="269"/>
      <c r="N407" s="269"/>
      <c r="O407" s="269">
        <v>1</v>
      </c>
      <c r="P407" s="269"/>
      <c r="Q407" s="269"/>
      <c r="R407" s="269"/>
      <c r="S407" s="165" t="s">
        <v>1162</v>
      </c>
      <c r="T407" s="70"/>
      <c r="U407" s="238">
        <f t="shared" si="102"/>
        <v>0</v>
      </c>
      <c r="V407" s="238">
        <f t="shared" si="103"/>
        <v>0</v>
      </c>
      <c r="W407" s="238">
        <f t="shared" si="104"/>
        <v>0</v>
      </c>
      <c r="X407" s="238">
        <f t="shared" si="105"/>
        <v>0</v>
      </c>
      <c r="Y407" s="238">
        <f t="shared" si="106"/>
        <v>0</v>
      </c>
      <c r="Z407" s="70">
        <v>0</v>
      </c>
      <c r="AA407" s="70"/>
      <c r="AB407" s="70">
        <v>0</v>
      </c>
      <c r="AC407" s="70"/>
      <c r="AD407" s="71"/>
      <c r="AE407" s="233"/>
      <c r="AF407" s="72"/>
      <c r="AG407" s="73">
        <v>12.962</v>
      </c>
      <c r="AH407" s="73">
        <v>0</v>
      </c>
      <c r="AI407" s="73">
        <v>0</v>
      </c>
      <c r="AJ407" s="73">
        <v>0</v>
      </c>
      <c r="AK407" s="73">
        <v>0</v>
      </c>
      <c r="AL407" s="129">
        <v>0</v>
      </c>
      <c r="AM407" s="202">
        <f t="shared" si="107"/>
        <v>0</v>
      </c>
      <c r="AN407" s="202">
        <f t="shared" si="108"/>
        <v>0</v>
      </c>
      <c r="AO407" s="202">
        <f t="shared" si="109"/>
        <v>0</v>
      </c>
      <c r="AP407" s="202">
        <f t="shared" si="110"/>
        <v>0</v>
      </c>
      <c r="AQ407" s="202">
        <f t="shared" si="111"/>
        <v>0</v>
      </c>
      <c r="AR407" s="217" t="s">
        <v>1105</v>
      </c>
      <c r="AS407" s="226" t="s">
        <v>1660</v>
      </c>
      <c r="AT407" s="234">
        <v>311611</v>
      </c>
      <c r="AU407" s="244">
        <f t="shared" si="112"/>
        <v>0</v>
      </c>
      <c r="AV407" s="244">
        <f t="shared" si="113"/>
        <v>0</v>
      </c>
      <c r="AW407" s="244">
        <f t="shared" si="114"/>
        <v>0</v>
      </c>
      <c r="AX407" s="244">
        <f t="shared" si="115"/>
        <v>0</v>
      </c>
      <c r="AY407" s="244">
        <f t="shared" si="116"/>
        <v>0</v>
      </c>
      <c r="AZ407">
        <v>0</v>
      </c>
    </row>
    <row r="408" spans="1:52" ht="15.75" customHeight="1" x14ac:dyDescent="0.35">
      <c r="A408" s="139" t="s">
        <v>1105</v>
      </c>
      <c r="B408" s="67" t="s">
        <v>1160</v>
      </c>
      <c r="C408" s="139" t="s">
        <v>92</v>
      </c>
      <c r="D408" s="139" t="s">
        <v>1122</v>
      </c>
      <c r="E408" s="120" t="str">
        <f t="shared" ref="E408:E410" si="118">E391</f>
        <v>Flame singeing</v>
      </c>
      <c r="F408" s="139" t="s">
        <v>1120</v>
      </c>
      <c r="G408" s="67" t="s">
        <v>1020</v>
      </c>
      <c r="H408" s="139" t="s">
        <v>1124</v>
      </c>
      <c r="I408" s="139" t="s">
        <v>1125</v>
      </c>
      <c r="J408" s="143"/>
      <c r="K408" s="228">
        <f t="shared" si="101"/>
        <v>29</v>
      </c>
      <c r="L408" s="269">
        <v>29</v>
      </c>
      <c r="M408" s="269"/>
      <c r="N408" s="269"/>
      <c r="O408" s="269">
        <v>1</v>
      </c>
      <c r="P408" s="269"/>
      <c r="Q408" s="269"/>
      <c r="R408" s="269"/>
      <c r="S408" s="165" t="s">
        <v>1162</v>
      </c>
      <c r="T408" s="70"/>
      <c r="U408" s="238">
        <f t="shared" si="102"/>
        <v>7.4099999999999999E-2</v>
      </c>
      <c r="V408" s="238">
        <f t="shared" si="103"/>
        <v>0</v>
      </c>
      <c r="W408" s="238">
        <f t="shared" si="104"/>
        <v>0</v>
      </c>
      <c r="X408" s="238">
        <f t="shared" si="105"/>
        <v>7.4099999999999999E-2</v>
      </c>
      <c r="Y408" s="238">
        <f t="shared" si="106"/>
        <v>0</v>
      </c>
      <c r="Z408" s="70">
        <v>7.4099999999999999E-2</v>
      </c>
      <c r="AA408" s="70"/>
      <c r="AB408" s="70"/>
      <c r="AC408" s="70">
        <v>7.4099999999999999E-2</v>
      </c>
      <c r="AD408" s="71"/>
      <c r="AE408" s="233" t="s">
        <v>1128</v>
      </c>
      <c r="AF408" s="72">
        <v>9.3000000000000007</v>
      </c>
      <c r="AG408" s="73">
        <v>12.962</v>
      </c>
      <c r="AH408" s="73">
        <v>0.96048420000000001</v>
      </c>
      <c r="AI408" s="73">
        <v>0</v>
      </c>
      <c r="AJ408" s="73">
        <v>0</v>
      </c>
      <c r="AK408" s="73">
        <v>0.96048420000000001</v>
      </c>
      <c r="AL408" s="129">
        <v>0</v>
      </c>
      <c r="AM408" s="202">
        <f t="shared" si="107"/>
        <v>5.810868105341489E-5</v>
      </c>
      <c r="AN408" s="202">
        <f t="shared" si="108"/>
        <v>0</v>
      </c>
      <c r="AO408" s="202">
        <f t="shared" si="109"/>
        <v>0</v>
      </c>
      <c r="AP408" s="202">
        <f t="shared" si="110"/>
        <v>5.810868105341489E-5</v>
      </c>
      <c r="AQ408" s="202">
        <f t="shared" si="111"/>
        <v>0</v>
      </c>
      <c r="AR408" s="217" t="s">
        <v>1105</v>
      </c>
      <c r="AS408" s="226" t="s">
        <v>1660</v>
      </c>
      <c r="AT408" s="234">
        <v>311611</v>
      </c>
      <c r="AU408" s="244">
        <f t="shared" si="112"/>
        <v>0.96048420000000001</v>
      </c>
      <c r="AV408" s="244">
        <f t="shared" si="113"/>
        <v>0</v>
      </c>
      <c r="AW408" s="244">
        <f t="shared" si="114"/>
        <v>0</v>
      </c>
      <c r="AX408" s="244">
        <f t="shared" si="115"/>
        <v>0.96048420000000001</v>
      </c>
      <c r="AY408" s="244">
        <f t="shared" si="116"/>
        <v>0</v>
      </c>
      <c r="AZ408">
        <v>7.4068571428571428E-4</v>
      </c>
    </row>
    <row r="409" spans="1:52" ht="15.75" customHeight="1" x14ac:dyDescent="0.35">
      <c r="A409" s="139" t="s">
        <v>1105</v>
      </c>
      <c r="B409" s="67" t="s">
        <v>1160</v>
      </c>
      <c r="C409" s="139" t="s">
        <v>154</v>
      </c>
      <c r="D409" s="139" t="s">
        <v>1078</v>
      </c>
      <c r="E409" s="120" t="str">
        <f t="shared" si="118"/>
        <v>Organ removal</v>
      </c>
      <c r="F409" s="139" t="s">
        <v>1127</v>
      </c>
      <c r="G409" s="67" t="s">
        <v>1020</v>
      </c>
      <c r="H409" s="139" t="s">
        <v>975</v>
      </c>
      <c r="I409" s="139" t="s">
        <v>1081</v>
      </c>
      <c r="J409" s="143" t="s">
        <v>1027</v>
      </c>
      <c r="K409" s="228">
        <f t="shared" si="101"/>
        <v>24</v>
      </c>
      <c r="L409" s="269">
        <v>24</v>
      </c>
      <c r="M409" s="269"/>
      <c r="N409" s="269"/>
      <c r="O409" s="269">
        <v>1</v>
      </c>
      <c r="P409" s="269"/>
      <c r="Q409" s="269"/>
      <c r="R409" s="269"/>
      <c r="S409" s="165" t="s">
        <v>1162</v>
      </c>
      <c r="T409" s="70"/>
      <c r="U409" s="238">
        <f t="shared" si="102"/>
        <v>0.1762</v>
      </c>
      <c r="V409" s="238">
        <f t="shared" si="103"/>
        <v>0</v>
      </c>
      <c r="W409" s="238">
        <f t="shared" si="104"/>
        <v>0</v>
      </c>
      <c r="X409" s="238">
        <f t="shared" si="105"/>
        <v>0</v>
      </c>
      <c r="Y409" s="238">
        <f t="shared" si="106"/>
        <v>0.1762</v>
      </c>
      <c r="Z409" s="70">
        <v>0.1762</v>
      </c>
      <c r="AA409" s="70"/>
      <c r="AB409" s="70"/>
      <c r="AC409" s="70"/>
      <c r="AD409" s="71">
        <v>0.1762</v>
      </c>
      <c r="AE409" s="120" t="s">
        <v>1099</v>
      </c>
      <c r="AF409" s="121">
        <v>1</v>
      </c>
      <c r="AG409" s="73">
        <v>12.962</v>
      </c>
      <c r="AH409" s="73">
        <v>2.2839043999999999</v>
      </c>
      <c r="AI409" s="73">
        <v>0</v>
      </c>
      <c r="AJ409" s="73">
        <v>0</v>
      </c>
      <c r="AK409" s="73">
        <v>0</v>
      </c>
      <c r="AL409" s="129">
        <v>2.2839043999999999</v>
      </c>
      <c r="AM409" s="202">
        <f t="shared" si="107"/>
        <v>1.381747584562983E-4</v>
      </c>
      <c r="AN409" s="202">
        <f t="shared" si="108"/>
        <v>0</v>
      </c>
      <c r="AO409" s="202">
        <f t="shared" si="109"/>
        <v>0</v>
      </c>
      <c r="AP409" s="202">
        <f t="shared" si="110"/>
        <v>0</v>
      </c>
      <c r="AQ409" s="202">
        <f t="shared" si="111"/>
        <v>1.381747584562983E-4</v>
      </c>
      <c r="AR409" s="217" t="s">
        <v>1105</v>
      </c>
      <c r="AS409" s="226" t="s">
        <v>1660</v>
      </c>
      <c r="AT409" s="234">
        <v>311611</v>
      </c>
      <c r="AU409" s="244">
        <f t="shared" si="112"/>
        <v>2.2839043999999999</v>
      </c>
      <c r="AV409" s="244">
        <f t="shared" si="113"/>
        <v>0</v>
      </c>
      <c r="AW409" s="244">
        <f t="shared" si="114"/>
        <v>0</v>
      </c>
      <c r="AX409" s="244">
        <f t="shared" si="115"/>
        <v>0</v>
      </c>
      <c r="AY409" s="244">
        <f t="shared" si="116"/>
        <v>2.2839043999999999</v>
      </c>
      <c r="AZ409">
        <v>1.7612526701368807E-3</v>
      </c>
    </row>
    <row r="410" spans="1:52" ht="15" customHeight="1" x14ac:dyDescent="0.35">
      <c r="A410" s="139" t="s">
        <v>1105</v>
      </c>
      <c r="B410" s="67" t="s">
        <v>1160</v>
      </c>
      <c r="C410" s="67" t="s">
        <v>88</v>
      </c>
      <c r="D410" s="139" t="s">
        <v>1129</v>
      </c>
      <c r="E410" s="120" t="str">
        <f t="shared" si="118"/>
        <v>Organ sorting</v>
      </c>
      <c r="F410" s="139" t="s">
        <v>1172</v>
      </c>
      <c r="G410" s="67" t="str">
        <f>G408</f>
        <v>Batch/Continuous</v>
      </c>
      <c r="H410" s="139" t="s">
        <v>975</v>
      </c>
      <c r="I410" s="139" t="s">
        <v>1132</v>
      </c>
      <c r="J410" s="143"/>
      <c r="K410" s="228">
        <f t="shared" si="101"/>
        <v>24</v>
      </c>
      <c r="L410" s="269">
        <v>24</v>
      </c>
      <c r="M410" s="269"/>
      <c r="N410" s="269"/>
      <c r="O410" s="269">
        <v>1</v>
      </c>
      <c r="P410" s="269"/>
      <c r="Q410" s="269"/>
      <c r="R410" s="269"/>
      <c r="S410" s="165" t="s">
        <v>1162</v>
      </c>
      <c r="T410" s="70"/>
      <c r="U410" s="238">
        <f t="shared" si="102"/>
        <v>0.35220000000000001</v>
      </c>
      <c r="V410" s="238">
        <f t="shared" si="103"/>
        <v>0</v>
      </c>
      <c r="W410" s="238">
        <f t="shared" si="104"/>
        <v>0</v>
      </c>
      <c r="X410" s="238">
        <f t="shared" si="105"/>
        <v>0</v>
      </c>
      <c r="Y410" s="238">
        <f t="shared" si="106"/>
        <v>0.35220000000000001</v>
      </c>
      <c r="Z410" s="70">
        <v>0.35220000000000001</v>
      </c>
      <c r="AA410" s="70"/>
      <c r="AB410" s="70"/>
      <c r="AC410" s="70"/>
      <c r="AD410" s="71">
        <v>0.35220000000000001</v>
      </c>
      <c r="AE410" s="120" t="s">
        <v>1099</v>
      </c>
      <c r="AF410" s="121">
        <v>1</v>
      </c>
      <c r="AG410" s="73">
        <v>12.962</v>
      </c>
      <c r="AH410" s="73">
        <v>4.5652163999999997</v>
      </c>
      <c r="AI410" s="73">
        <v>0</v>
      </c>
      <c r="AJ410" s="73">
        <v>0</v>
      </c>
      <c r="AK410" s="73">
        <v>0</v>
      </c>
      <c r="AL410" s="129">
        <v>4.5652163999999997</v>
      </c>
      <c r="AM410" s="202">
        <f t="shared" si="107"/>
        <v>2.7619267836724321E-4</v>
      </c>
      <c r="AN410" s="202">
        <f t="shared" si="108"/>
        <v>0</v>
      </c>
      <c r="AO410" s="202">
        <f t="shared" si="109"/>
        <v>0</v>
      </c>
      <c r="AP410" s="202">
        <f t="shared" si="110"/>
        <v>0</v>
      </c>
      <c r="AQ410" s="202">
        <f t="shared" si="111"/>
        <v>2.7619267836724321E-4</v>
      </c>
      <c r="AR410" s="217" t="s">
        <v>1105</v>
      </c>
      <c r="AS410" s="226" t="s">
        <v>1660</v>
      </c>
      <c r="AT410" s="234">
        <v>311611</v>
      </c>
      <c r="AU410" s="244">
        <f t="shared" si="112"/>
        <v>4.5652163999999997</v>
      </c>
      <c r="AV410" s="244">
        <f t="shared" si="113"/>
        <v>0</v>
      </c>
      <c r="AW410" s="244">
        <f t="shared" si="114"/>
        <v>0</v>
      </c>
      <c r="AX410" s="244">
        <f t="shared" si="115"/>
        <v>0</v>
      </c>
      <c r="AY410" s="244">
        <f t="shared" si="116"/>
        <v>4.5652163999999997</v>
      </c>
      <c r="AZ410">
        <v>3.5205061885482938E-3</v>
      </c>
    </row>
    <row r="411" spans="1:52" ht="15.75" customHeight="1" x14ac:dyDescent="0.35">
      <c r="A411" s="139" t="s">
        <v>1105</v>
      </c>
      <c r="B411" s="67" t="s">
        <v>1160</v>
      </c>
      <c r="C411" s="67" t="s">
        <v>99</v>
      </c>
      <c r="D411" s="139" t="s">
        <v>1133</v>
      </c>
      <c r="E411" s="139" t="s">
        <v>1173</v>
      </c>
      <c r="F411" s="139" t="s">
        <v>1135</v>
      </c>
      <c r="G411" s="67" t="str">
        <f>G408</f>
        <v>Batch/Continuous</v>
      </c>
      <c r="H411" s="139" t="s">
        <v>975</v>
      </c>
      <c r="I411" s="139" t="s">
        <v>1136</v>
      </c>
      <c r="J411" s="143" t="s">
        <v>1027</v>
      </c>
      <c r="K411" s="228">
        <f t="shared" si="101"/>
        <v>24</v>
      </c>
      <c r="L411" s="269">
        <v>24</v>
      </c>
      <c r="M411" s="269"/>
      <c r="N411" s="269"/>
      <c r="O411" s="269">
        <v>1</v>
      </c>
      <c r="P411" s="269"/>
      <c r="Q411" s="269"/>
      <c r="R411" s="269"/>
      <c r="S411" s="165" t="s">
        <v>1162</v>
      </c>
      <c r="T411" s="70"/>
      <c r="U411" s="238">
        <f t="shared" si="102"/>
        <v>2.5000000000000001E-3</v>
      </c>
      <c r="V411" s="238">
        <f t="shared" si="103"/>
        <v>0</v>
      </c>
      <c r="W411" s="238">
        <f t="shared" si="104"/>
        <v>2.5000000000000001E-3</v>
      </c>
      <c r="X411" s="238">
        <f t="shared" si="105"/>
        <v>0</v>
      </c>
      <c r="Y411" s="238">
        <f t="shared" si="106"/>
        <v>0</v>
      </c>
      <c r="Z411" s="70">
        <v>2.5000000000000001E-3</v>
      </c>
      <c r="AA411" s="70"/>
      <c r="AB411" s="70">
        <v>2.5000000000000001E-3</v>
      </c>
      <c r="AC411" s="70"/>
      <c r="AD411" s="71"/>
      <c r="AE411" s="233"/>
      <c r="AF411" s="72"/>
      <c r="AG411" s="73">
        <v>12.962</v>
      </c>
      <c r="AH411" s="73">
        <v>3.2405000000000003E-2</v>
      </c>
      <c r="AI411" s="73">
        <v>0</v>
      </c>
      <c r="AJ411" s="73">
        <v>3.2405000000000003E-2</v>
      </c>
      <c r="AK411" s="73">
        <v>0</v>
      </c>
      <c r="AL411" s="129">
        <v>0</v>
      </c>
      <c r="AM411" s="202">
        <f t="shared" si="107"/>
        <v>1.9604818169168321E-6</v>
      </c>
      <c r="AN411" s="202">
        <f t="shared" si="108"/>
        <v>0</v>
      </c>
      <c r="AO411" s="202">
        <f t="shared" si="109"/>
        <v>1.9604818169168321E-6</v>
      </c>
      <c r="AP411" s="202">
        <f t="shared" si="110"/>
        <v>0</v>
      </c>
      <c r="AQ411" s="202">
        <f t="shared" si="111"/>
        <v>0</v>
      </c>
      <c r="AR411" s="217" t="s">
        <v>1105</v>
      </c>
      <c r="AS411" s="226" t="s">
        <v>1660</v>
      </c>
      <c r="AT411" s="234">
        <v>311611</v>
      </c>
      <c r="AU411" s="244">
        <f t="shared" si="112"/>
        <v>3.2405000000000003E-2</v>
      </c>
      <c r="AV411" s="244">
        <f t="shared" si="113"/>
        <v>0</v>
      </c>
      <c r="AW411" s="244">
        <f t="shared" si="114"/>
        <v>3.2405000000000003E-2</v>
      </c>
      <c r="AX411" s="244">
        <f t="shared" si="115"/>
        <v>0</v>
      </c>
      <c r="AY411" s="244">
        <f t="shared" si="116"/>
        <v>0</v>
      </c>
      <c r="AZ411">
        <v>2.498939656834394E-5</v>
      </c>
    </row>
    <row r="412" spans="1:52" ht="15.75" customHeight="1" x14ac:dyDescent="0.35">
      <c r="A412" s="139" t="s">
        <v>1105</v>
      </c>
      <c r="B412" s="67" t="s">
        <v>1160</v>
      </c>
      <c r="C412" s="67" t="s">
        <v>99</v>
      </c>
      <c r="D412" s="139" t="s">
        <v>1133</v>
      </c>
      <c r="E412" s="139" t="s">
        <v>1174</v>
      </c>
      <c r="F412" s="139" t="s">
        <v>1175</v>
      </c>
      <c r="G412" s="67" t="s">
        <v>1020</v>
      </c>
      <c r="H412" s="139" t="s">
        <v>1139</v>
      </c>
      <c r="I412" s="139" t="s">
        <v>1140</v>
      </c>
      <c r="J412" s="143" t="s">
        <v>1027</v>
      </c>
      <c r="K412" s="228">
        <f t="shared" si="101"/>
        <v>4</v>
      </c>
      <c r="L412" s="269">
        <v>4</v>
      </c>
      <c r="M412" s="269"/>
      <c r="N412" s="269"/>
      <c r="O412" s="269">
        <v>1</v>
      </c>
      <c r="P412" s="269"/>
      <c r="Q412" s="269"/>
      <c r="R412" s="269"/>
      <c r="S412" s="165" t="s">
        <v>1162</v>
      </c>
      <c r="T412" s="70"/>
      <c r="U412" s="238">
        <f t="shared" si="102"/>
        <v>4.7999999999999996E-3</v>
      </c>
      <c r="V412" s="238">
        <f t="shared" si="103"/>
        <v>0</v>
      </c>
      <c r="W412" s="238">
        <f t="shared" si="104"/>
        <v>4.7999999999999996E-3</v>
      </c>
      <c r="X412" s="238">
        <f t="shared" si="105"/>
        <v>0</v>
      </c>
      <c r="Y412" s="238">
        <f t="shared" si="106"/>
        <v>0</v>
      </c>
      <c r="Z412" s="70">
        <v>4.7999999999999996E-3</v>
      </c>
      <c r="AA412" s="70"/>
      <c r="AB412" s="70">
        <v>4.7999999999999996E-3</v>
      </c>
      <c r="AC412" s="70"/>
      <c r="AD412" s="71"/>
      <c r="AE412" s="233"/>
      <c r="AF412" s="72"/>
      <c r="AG412" s="73">
        <v>12.962</v>
      </c>
      <c r="AH412" s="73">
        <v>6.2217599999999991E-2</v>
      </c>
      <c r="AI412" s="73">
        <v>0</v>
      </c>
      <c r="AJ412" s="73">
        <v>6.2217599999999991E-2</v>
      </c>
      <c r="AK412" s="73">
        <v>0</v>
      </c>
      <c r="AL412" s="129">
        <v>0</v>
      </c>
      <c r="AM412" s="202">
        <f t="shared" si="107"/>
        <v>3.7641250884803164E-6</v>
      </c>
      <c r="AN412" s="202">
        <f t="shared" si="108"/>
        <v>0</v>
      </c>
      <c r="AO412" s="202">
        <f t="shared" si="109"/>
        <v>3.7641250884803164E-6</v>
      </c>
      <c r="AP412" s="202">
        <f t="shared" si="110"/>
        <v>0</v>
      </c>
      <c r="AQ412" s="202">
        <f t="shared" si="111"/>
        <v>0</v>
      </c>
      <c r="AR412" s="217" t="s">
        <v>1105</v>
      </c>
      <c r="AS412" s="226" t="s">
        <v>1660</v>
      </c>
      <c r="AT412" s="234">
        <v>311611</v>
      </c>
      <c r="AU412" s="244">
        <f t="shared" si="112"/>
        <v>6.2217599999999991E-2</v>
      </c>
      <c r="AV412" s="244">
        <f t="shared" si="113"/>
        <v>0</v>
      </c>
      <c r="AW412" s="244">
        <f t="shared" si="114"/>
        <v>6.2217599999999991E-2</v>
      </c>
      <c r="AX412" s="244">
        <f t="shared" si="115"/>
        <v>0</v>
      </c>
      <c r="AY412" s="244">
        <f t="shared" si="116"/>
        <v>0</v>
      </c>
      <c r="AZ412">
        <v>4.797964141122035E-5</v>
      </c>
    </row>
    <row r="413" spans="1:52" ht="15.75" customHeight="1" x14ac:dyDescent="0.35">
      <c r="A413" s="139" t="s">
        <v>1105</v>
      </c>
      <c r="B413" s="67" t="s">
        <v>1160</v>
      </c>
      <c r="C413" s="139" t="s">
        <v>74</v>
      </c>
      <c r="D413" s="139" t="s">
        <v>1141</v>
      </c>
      <c r="E413" s="139" t="s">
        <v>1142</v>
      </c>
      <c r="F413" s="139" t="s">
        <v>1176</v>
      </c>
      <c r="G413" s="67" t="s">
        <v>1020</v>
      </c>
      <c r="H413" s="139" t="s">
        <v>1144</v>
      </c>
      <c r="I413" s="139" t="s">
        <v>1145</v>
      </c>
      <c r="J413" s="143"/>
      <c r="K413" s="228">
        <f t="shared" si="101"/>
        <v>93</v>
      </c>
      <c r="L413" s="269">
        <v>93</v>
      </c>
      <c r="M413" s="269"/>
      <c r="N413" s="269"/>
      <c r="O413" s="269">
        <v>1</v>
      </c>
      <c r="P413" s="269"/>
      <c r="Q413" s="269"/>
      <c r="R413" s="269"/>
      <c r="S413" s="165" t="s">
        <v>1162</v>
      </c>
      <c r="T413" s="70"/>
      <c r="U413" s="238">
        <f t="shared" si="102"/>
        <v>0.39249999999999996</v>
      </c>
      <c r="V413" s="238">
        <f t="shared" si="103"/>
        <v>0</v>
      </c>
      <c r="W413" s="238">
        <f t="shared" si="104"/>
        <v>2.0899999999999998E-2</v>
      </c>
      <c r="X413" s="238">
        <f t="shared" si="105"/>
        <v>0</v>
      </c>
      <c r="Y413" s="238">
        <f t="shared" si="106"/>
        <v>0.37159999999999999</v>
      </c>
      <c r="Z413" s="70">
        <v>0.39249999999999996</v>
      </c>
      <c r="AA413" s="70"/>
      <c r="AB413" s="70">
        <v>2.0899999999999998E-2</v>
      </c>
      <c r="AC413" s="70"/>
      <c r="AD413" s="71">
        <v>0.37159999999999999</v>
      </c>
      <c r="AE413" s="120" t="s">
        <v>1099</v>
      </c>
      <c r="AF413" s="121">
        <v>1</v>
      </c>
      <c r="AG413" s="73">
        <v>12.962</v>
      </c>
      <c r="AH413" s="73">
        <v>5.0875849999999998</v>
      </c>
      <c r="AI413" s="73">
        <v>0</v>
      </c>
      <c r="AJ413" s="73">
        <v>0.27090579999999997</v>
      </c>
      <c r="AK413" s="73">
        <v>0</v>
      </c>
      <c r="AL413" s="129">
        <v>4.8166791999999994</v>
      </c>
      <c r="AM413" s="202">
        <f t="shared" si="107"/>
        <v>3.0779564525594257E-4</v>
      </c>
      <c r="AN413" s="202">
        <f t="shared" si="108"/>
        <v>0</v>
      </c>
      <c r="AO413" s="202">
        <f t="shared" si="109"/>
        <v>1.6389627989424712E-5</v>
      </c>
      <c r="AP413" s="202">
        <f t="shared" si="110"/>
        <v>0</v>
      </c>
      <c r="AQ413" s="202">
        <f t="shared" si="111"/>
        <v>2.9140601726651783E-4</v>
      </c>
      <c r="AR413" s="217" t="s">
        <v>1105</v>
      </c>
      <c r="AS413" s="226" t="s">
        <v>1660</v>
      </c>
      <c r="AT413" s="234">
        <v>311611</v>
      </c>
      <c r="AU413" s="244">
        <f t="shared" si="112"/>
        <v>5.0875849999999998</v>
      </c>
      <c r="AV413" s="244">
        <f t="shared" si="113"/>
        <v>0</v>
      </c>
      <c r="AW413" s="244">
        <f t="shared" si="114"/>
        <v>0.27090579999999997</v>
      </c>
      <c r="AX413" s="244">
        <f t="shared" si="115"/>
        <v>0</v>
      </c>
      <c r="AY413" s="244">
        <f t="shared" si="116"/>
        <v>4.8166791999999994</v>
      </c>
      <c r="AZ413">
        <v>3.9233352612299977E-3</v>
      </c>
    </row>
    <row r="414" spans="1:52" ht="15.75" customHeight="1" x14ac:dyDescent="0.35">
      <c r="A414" s="139" t="s">
        <v>1105</v>
      </c>
      <c r="B414" s="67" t="s">
        <v>1160</v>
      </c>
      <c r="C414" s="139" t="s">
        <v>74</v>
      </c>
      <c r="D414" s="139" t="s">
        <v>1141</v>
      </c>
      <c r="E414" s="139" t="s">
        <v>1146</v>
      </c>
      <c r="F414" s="139" t="s">
        <v>1177</v>
      </c>
      <c r="G414" s="67" t="s">
        <v>52</v>
      </c>
      <c r="H414" s="139" t="s">
        <v>1144</v>
      </c>
      <c r="I414" s="139" t="s">
        <v>1148</v>
      </c>
      <c r="J414" s="143"/>
      <c r="K414" s="228">
        <f t="shared" si="101"/>
        <v>93</v>
      </c>
      <c r="L414" s="269">
        <v>93</v>
      </c>
      <c r="M414" s="269"/>
      <c r="N414" s="269"/>
      <c r="O414" s="269">
        <v>1</v>
      </c>
      <c r="P414" s="269"/>
      <c r="Q414" s="269"/>
      <c r="R414" s="269"/>
      <c r="S414" s="165" t="s">
        <v>1162</v>
      </c>
      <c r="T414" s="70"/>
      <c r="U414" s="238">
        <f t="shared" si="102"/>
        <v>1.5693999999999999</v>
      </c>
      <c r="V414" s="238">
        <f t="shared" si="103"/>
        <v>0</v>
      </c>
      <c r="W414" s="238">
        <f t="shared" si="104"/>
        <v>8.3699999999999997E-2</v>
      </c>
      <c r="X414" s="238">
        <f t="shared" si="105"/>
        <v>0</v>
      </c>
      <c r="Y414" s="238">
        <f t="shared" si="106"/>
        <v>1.4857</v>
      </c>
      <c r="Z414" s="70">
        <v>1.5693999999999999</v>
      </c>
      <c r="AA414" s="70"/>
      <c r="AB414" s="70">
        <v>8.3699999999999997E-2</v>
      </c>
      <c r="AC414" s="70"/>
      <c r="AD414" s="71">
        <v>1.4857</v>
      </c>
      <c r="AE414" s="120" t="s">
        <v>1099</v>
      </c>
      <c r="AF414" s="121">
        <v>1</v>
      </c>
      <c r="AG414" s="73">
        <v>12.962</v>
      </c>
      <c r="AH414" s="73">
        <v>20.3425628</v>
      </c>
      <c r="AI414" s="73">
        <v>0</v>
      </c>
      <c r="AJ414" s="73">
        <v>1.0849194</v>
      </c>
      <c r="AK414" s="73">
        <v>0</v>
      </c>
      <c r="AL414" s="129">
        <v>19.257643399999999</v>
      </c>
      <c r="AM414" s="202">
        <f t="shared" si="107"/>
        <v>1.2307120653877103E-3</v>
      </c>
      <c r="AN414" s="202">
        <f t="shared" si="108"/>
        <v>0</v>
      </c>
      <c r="AO414" s="202">
        <f t="shared" si="109"/>
        <v>6.5636931230375519E-5</v>
      </c>
      <c r="AP414" s="202">
        <f t="shared" si="110"/>
        <v>0</v>
      </c>
      <c r="AQ414" s="202">
        <f t="shared" si="111"/>
        <v>1.1650751341573348E-3</v>
      </c>
      <c r="AR414" s="217" t="s">
        <v>1105</v>
      </c>
      <c r="AS414" s="226" t="s">
        <v>1660</v>
      </c>
      <c r="AT414" s="234">
        <v>311611</v>
      </c>
      <c r="AU414" s="244">
        <f t="shared" si="112"/>
        <v>20.3425628</v>
      </c>
      <c r="AV414" s="244">
        <f t="shared" si="113"/>
        <v>0</v>
      </c>
      <c r="AW414" s="244">
        <f t="shared" si="114"/>
        <v>1.0849194</v>
      </c>
      <c r="AX414" s="244">
        <f t="shared" si="115"/>
        <v>0</v>
      </c>
      <c r="AY414" s="244">
        <f t="shared" si="116"/>
        <v>19.257643399999999</v>
      </c>
      <c r="AZ414">
        <v>1.568734358974359E-2</v>
      </c>
    </row>
    <row r="415" spans="1:52" ht="15.75" customHeight="1" x14ac:dyDescent="0.35">
      <c r="A415" s="139" t="s">
        <v>1105</v>
      </c>
      <c r="B415" s="67" t="s">
        <v>1160</v>
      </c>
      <c r="C415" s="139" t="s">
        <v>74</v>
      </c>
      <c r="D415" s="139" t="s">
        <v>75</v>
      </c>
      <c r="E415" s="139" t="s">
        <v>1149</v>
      </c>
      <c r="F415" s="139" t="s">
        <v>1178</v>
      </c>
      <c r="G415" s="67" t="s">
        <v>1020</v>
      </c>
      <c r="H415" s="139" t="s">
        <v>76</v>
      </c>
      <c r="I415" s="139" t="s">
        <v>733</v>
      </c>
      <c r="J415" s="168" t="s">
        <v>78</v>
      </c>
      <c r="K415" s="228">
        <f t="shared" si="101"/>
        <v>93</v>
      </c>
      <c r="L415" s="269">
        <v>93</v>
      </c>
      <c r="M415" s="269"/>
      <c r="N415" s="269"/>
      <c r="O415" s="269">
        <v>1</v>
      </c>
      <c r="P415" s="269"/>
      <c r="Q415" s="269"/>
      <c r="R415" s="269"/>
      <c r="S415" s="165" t="s">
        <v>1162</v>
      </c>
      <c r="T415" s="70"/>
      <c r="U415" s="238">
        <f t="shared" si="102"/>
        <v>0.2122</v>
      </c>
      <c r="V415" s="238">
        <f t="shared" si="103"/>
        <v>0</v>
      </c>
      <c r="W415" s="238">
        <f t="shared" si="104"/>
        <v>0</v>
      </c>
      <c r="X415" s="238">
        <f t="shared" si="105"/>
        <v>0</v>
      </c>
      <c r="Y415" s="238">
        <f t="shared" si="106"/>
        <v>0.2122</v>
      </c>
      <c r="Z415" s="70">
        <v>0.2122</v>
      </c>
      <c r="AA415" s="70"/>
      <c r="AB415" s="70"/>
      <c r="AC415" s="70"/>
      <c r="AD415" s="71">
        <v>0.2122</v>
      </c>
      <c r="AE415" s="120" t="s">
        <v>1099</v>
      </c>
      <c r="AF415" s="121">
        <v>1</v>
      </c>
      <c r="AG415" s="73">
        <v>12.962</v>
      </c>
      <c r="AH415" s="73">
        <v>2.7505364000000001</v>
      </c>
      <c r="AI415" s="73">
        <v>0</v>
      </c>
      <c r="AJ415" s="73">
        <v>0</v>
      </c>
      <c r="AK415" s="73">
        <v>0</v>
      </c>
      <c r="AL415" s="129">
        <v>2.7505364000000001</v>
      </c>
      <c r="AM415" s="202">
        <f t="shared" si="107"/>
        <v>1.6640569661990068E-4</v>
      </c>
      <c r="AN415" s="202">
        <f t="shared" si="108"/>
        <v>0</v>
      </c>
      <c r="AO415" s="202">
        <f t="shared" si="109"/>
        <v>0</v>
      </c>
      <c r="AP415" s="202">
        <f t="shared" si="110"/>
        <v>0</v>
      </c>
      <c r="AQ415" s="202">
        <f t="shared" si="111"/>
        <v>1.6640569661990068E-4</v>
      </c>
      <c r="AR415" s="217" t="s">
        <v>1105</v>
      </c>
      <c r="AS415" s="226" t="s">
        <v>1660</v>
      </c>
      <c r="AT415" s="234">
        <v>311611</v>
      </c>
      <c r="AU415" s="244">
        <f t="shared" si="112"/>
        <v>2.7505364000000001</v>
      </c>
      <c r="AV415" s="244">
        <f t="shared" si="113"/>
        <v>0</v>
      </c>
      <c r="AW415" s="244">
        <f t="shared" si="114"/>
        <v>0</v>
      </c>
      <c r="AX415" s="244">
        <f t="shared" si="115"/>
        <v>0</v>
      </c>
      <c r="AY415" s="244">
        <f t="shared" si="116"/>
        <v>2.7505364000000001</v>
      </c>
      <c r="AZ415">
        <v>2.1210999807210335E-3</v>
      </c>
    </row>
    <row r="416" spans="1:52" ht="15.75" customHeight="1" x14ac:dyDescent="0.35">
      <c r="A416" s="139" t="s">
        <v>1105</v>
      </c>
      <c r="B416" s="67" t="s">
        <v>1160</v>
      </c>
      <c r="C416" s="139" t="s">
        <v>154</v>
      </c>
      <c r="D416" s="139" t="s">
        <v>1179</v>
      </c>
      <c r="E416" s="139" t="s">
        <v>1152</v>
      </c>
      <c r="F416" s="139" t="s">
        <v>1180</v>
      </c>
      <c r="G416" s="67" t="s">
        <v>1020</v>
      </c>
      <c r="H416" s="139" t="s">
        <v>214</v>
      </c>
      <c r="I416" s="139" t="s">
        <v>1154</v>
      </c>
      <c r="J416" s="143"/>
      <c r="K416" s="228">
        <f t="shared" si="101"/>
        <v>66</v>
      </c>
      <c r="L416" s="269">
        <v>66</v>
      </c>
      <c r="M416" s="269"/>
      <c r="N416" s="269"/>
      <c r="O416" s="269">
        <v>1</v>
      </c>
      <c r="P416" s="269"/>
      <c r="Q416" s="269"/>
      <c r="R416" s="269"/>
      <c r="S416" s="165" t="s">
        <v>1162</v>
      </c>
      <c r="T416" s="70"/>
      <c r="U416" s="238">
        <f t="shared" si="102"/>
        <v>0.02</v>
      </c>
      <c r="V416" s="238">
        <f t="shared" si="103"/>
        <v>0</v>
      </c>
      <c r="W416" s="238">
        <f t="shared" si="104"/>
        <v>0.02</v>
      </c>
      <c r="X416" s="238">
        <f t="shared" si="105"/>
        <v>0</v>
      </c>
      <c r="Y416" s="238">
        <f t="shared" si="106"/>
        <v>0</v>
      </c>
      <c r="Z416" s="70">
        <v>0.02</v>
      </c>
      <c r="AA416" s="70"/>
      <c r="AB416" s="70">
        <v>0.02</v>
      </c>
      <c r="AC416" s="70"/>
      <c r="AD416" s="71"/>
      <c r="AE416" s="233"/>
      <c r="AF416" s="72"/>
      <c r="AG416" s="73">
        <v>12.962</v>
      </c>
      <c r="AH416" s="73">
        <v>0.25924000000000003</v>
      </c>
      <c r="AI416" s="73">
        <v>0</v>
      </c>
      <c r="AJ416" s="73">
        <v>0.25924000000000003</v>
      </c>
      <c r="AK416" s="73">
        <v>0</v>
      </c>
      <c r="AL416" s="129">
        <v>0</v>
      </c>
      <c r="AM416" s="202">
        <f t="shared" si="107"/>
        <v>1.5683854535334657E-5</v>
      </c>
      <c r="AN416" s="202">
        <f t="shared" si="108"/>
        <v>0</v>
      </c>
      <c r="AO416" s="202">
        <f t="shared" si="109"/>
        <v>1.5683854535334657E-5</v>
      </c>
      <c r="AP416" s="202">
        <f t="shared" si="110"/>
        <v>0</v>
      </c>
      <c r="AQ416" s="202">
        <f t="shared" si="111"/>
        <v>0</v>
      </c>
      <c r="AR416" s="217" t="s">
        <v>1105</v>
      </c>
      <c r="AS416" s="226" t="s">
        <v>1660</v>
      </c>
      <c r="AT416" s="234">
        <v>311611</v>
      </c>
      <c r="AU416" s="244">
        <f t="shared" si="112"/>
        <v>0.25924000000000003</v>
      </c>
      <c r="AV416" s="244">
        <f t="shared" si="113"/>
        <v>0</v>
      </c>
      <c r="AW416" s="244">
        <f t="shared" si="114"/>
        <v>0.25924000000000003</v>
      </c>
      <c r="AX416" s="244">
        <f t="shared" si="115"/>
        <v>0</v>
      </c>
      <c r="AY416" s="244">
        <f t="shared" si="116"/>
        <v>0</v>
      </c>
      <c r="AZ416">
        <v>1.9991517254675152E-4</v>
      </c>
    </row>
    <row r="417" spans="1:52" ht="15.75" customHeight="1" x14ac:dyDescent="0.35">
      <c r="A417" s="139" t="s">
        <v>1105</v>
      </c>
      <c r="B417" s="67" t="s">
        <v>1160</v>
      </c>
      <c r="C417" s="139" t="s">
        <v>67</v>
      </c>
      <c r="D417" s="139" t="s">
        <v>67</v>
      </c>
      <c r="E417" s="139" t="s">
        <v>81</v>
      </c>
      <c r="F417" s="139" t="s">
        <v>1181</v>
      </c>
      <c r="G417" s="67" t="s">
        <v>1020</v>
      </c>
      <c r="H417" s="139" t="s">
        <v>1030</v>
      </c>
      <c r="I417" s="139" t="s">
        <v>1157</v>
      </c>
      <c r="J417" s="143" t="s">
        <v>1158</v>
      </c>
      <c r="K417" s="228">
        <f t="shared" si="101"/>
        <v>1.7</v>
      </c>
      <c r="L417" s="269">
        <v>1.7</v>
      </c>
      <c r="M417" s="269"/>
      <c r="N417" s="269"/>
      <c r="O417" s="269">
        <v>1</v>
      </c>
      <c r="P417" s="269"/>
      <c r="Q417" s="269"/>
      <c r="R417" s="269"/>
      <c r="S417" s="165" t="s">
        <v>1162</v>
      </c>
      <c r="T417" s="70"/>
      <c r="U417" s="238">
        <f t="shared" si="102"/>
        <v>0.22969999999999999</v>
      </c>
      <c r="V417" s="238">
        <f t="shared" si="103"/>
        <v>0</v>
      </c>
      <c r="W417" s="238">
        <f t="shared" si="104"/>
        <v>0.22969999999999999</v>
      </c>
      <c r="X417" s="238">
        <f t="shared" si="105"/>
        <v>0</v>
      </c>
      <c r="Y417" s="238">
        <f t="shared" si="106"/>
        <v>0</v>
      </c>
      <c r="Z417" s="70">
        <v>0.22969999999999999</v>
      </c>
      <c r="AA417" s="70"/>
      <c r="AB417" s="70">
        <v>0.22969999999999999</v>
      </c>
      <c r="AC417" s="70"/>
      <c r="AD417" s="71"/>
      <c r="AE417" s="233"/>
      <c r="AF417" s="72"/>
      <c r="AG417" s="73">
        <v>12.962</v>
      </c>
      <c r="AH417" s="73">
        <v>2.9773714</v>
      </c>
      <c r="AI417" s="73">
        <v>0</v>
      </c>
      <c r="AJ417" s="73">
        <v>2.9773714</v>
      </c>
      <c r="AK417" s="73">
        <v>0</v>
      </c>
      <c r="AL417" s="129">
        <v>0</v>
      </c>
      <c r="AM417" s="202">
        <f t="shared" si="107"/>
        <v>1.8012906933831849E-4</v>
      </c>
      <c r="AN417" s="202">
        <f t="shared" si="108"/>
        <v>0</v>
      </c>
      <c r="AO417" s="202">
        <f t="shared" si="109"/>
        <v>1.8012906933831849E-4</v>
      </c>
      <c r="AP417" s="202">
        <f t="shared" si="110"/>
        <v>0</v>
      </c>
      <c r="AQ417" s="202">
        <f t="shared" si="111"/>
        <v>0</v>
      </c>
      <c r="AR417" s="217" t="s">
        <v>1105</v>
      </c>
      <c r="AS417" s="226" t="s">
        <v>1660</v>
      </c>
      <c r="AT417" s="234">
        <v>311611</v>
      </c>
      <c r="AU417" s="244">
        <f t="shared" si="112"/>
        <v>2.9773714</v>
      </c>
      <c r="AV417" s="244">
        <f t="shared" si="113"/>
        <v>0</v>
      </c>
      <c r="AW417" s="244">
        <f t="shared" si="114"/>
        <v>2.9773714</v>
      </c>
      <c r="AX417" s="244">
        <f t="shared" si="115"/>
        <v>0</v>
      </c>
      <c r="AY417" s="244">
        <f t="shared" si="116"/>
        <v>0</v>
      </c>
      <c r="AZ417">
        <v>2.2960257566994411E-3</v>
      </c>
    </row>
    <row r="418" spans="1:52" ht="15" customHeight="1" x14ac:dyDescent="0.35">
      <c r="A418" s="145" t="s">
        <v>1105</v>
      </c>
      <c r="B418" s="67" t="s">
        <v>1160</v>
      </c>
      <c r="C418" s="145" t="s">
        <v>48</v>
      </c>
      <c r="D418" s="139" t="s">
        <v>1093</v>
      </c>
      <c r="E418" s="145" t="s">
        <v>1159</v>
      </c>
      <c r="F418" s="139" t="s">
        <v>1095</v>
      </c>
      <c r="G418" s="67" t="s">
        <v>1020</v>
      </c>
      <c r="H418" s="145" t="s">
        <v>1096</v>
      </c>
      <c r="I418" s="145" t="s">
        <v>1097</v>
      </c>
      <c r="J418" s="146"/>
      <c r="K418" s="228">
        <f t="shared" si="101"/>
        <v>82</v>
      </c>
      <c r="L418" s="269">
        <v>82</v>
      </c>
      <c r="M418" s="269"/>
      <c r="N418" s="269"/>
      <c r="O418" s="269">
        <v>1</v>
      </c>
      <c r="P418" s="269"/>
      <c r="Q418" s="269"/>
      <c r="R418" s="269"/>
      <c r="S418" s="165" t="s">
        <v>1162</v>
      </c>
      <c r="T418" s="70"/>
      <c r="U418" s="238">
        <f t="shared" si="102"/>
        <v>0.44</v>
      </c>
      <c r="V418" s="238">
        <f t="shared" si="103"/>
        <v>0</v>
      </c>
      <c r="W418" s="238">
        <f t="shared" si="104"/>
        <v>0</v>
      </c>
      <c r="X418" s="238">
        <f t="shared" si="105"/>
        <v>0</v>
      </c>
      <c r="Y418" s="238">
        <f t="shared" si="106"/>
        <v>0.44</v>
      </c>
      <c r="Z418" s="70">
        <v>0.44</v>
      </c>
      <c r="AA418" s="70"/>
      <c r="AB418" s="70"/>
      <c r="AC418" s="70"/>
      <c r="AD418" s="71">
        <v>0.44</v>
      </c>
      <c r="AE418" s="120" t="s">
        <v>1099</v>
      </c>
      <c r="AF418" s="121">
        <v>1</v>
      </c>
      <c r="AG418" s="73">
        <v>12.962</v>
      </c>
      <c r="AH418" s="73">
        <v>5.7032800000000003</v>
      </c>
      <c r="AI418" s="73">
        <v>0</v>
      </c>
      <c r="AJ418" s="73">
        <v>0</v>
      </c>
      <c r="AK418" s="73">
        <v>0</v>
      </c>
      <c r="AL418" s="129">
        <v>5.7032800000000003</v>
      </c>
      <c r="AM418" s="202">
        <f t="shared" si="107"/>
        <v>3.4504479977736242E-4</v>
      </c>
      <c r="AN418" s="202">
        <f t="shared" si="108"/>
        <v>0</v>
      </c>
      <c r="AO418" s="202">
        <f t="shared" si="109"/>
        <v>0</v>
      </c>
      <c r="AP418" s="202">
        <f t="shared" si="110"/>
        <v>0</v>
      </c>
      <c r="AQ418" s="202">
        <f t="shared" si="111"/>
        <v>3.4504479977736242E-4</v>
      </c>
      <c r="AR418" s="213" t="s">
        <v>1105</v>
      </c>
      <c r="AS418" s="226" t="s">
        <v>1660</v>
      </c>
      <c r="AT418" s="234">
        <v>311611</v>
      </c>
      <c r="AU418" s="244">
        <f t="shared" si="112"/>
        <v>5.7032800000000003</v>
      </c>
      <c r="AV418" s="244">
        <f t="shared" si="113"/>
        <v>0</v>
      </c>
      <c r="AW418" s="244">
        <f t="shared" si="114"/>
        <v>0</v>
      </c>
      <c r="AX418" s="244">
        <f t="shared" si="115"/>
        <v>0</v>
      </c>
      <c r="AY418" s="244">
        <f t="shared" si="116"/>
        <v>5.7032800000000003</v>
      </c>
      <c r="AZ418">
        <v>4.3981337960285333E-3</v>
      </c>
    </row>
    <row r="419" spans="1:52" ht="15.75" customHeight="1" x14ac:dyDescent="0.35">
      <c r="A419" s="139" t="s">
        <v>1182</v>
      </c>
      <c r="B419" s="57" t="s">
        <v>1183</v>
      </c>
      <c r="C419" s="67" t="s">
        <v>99</v>
      </c>
      <c r="D419" s="157" t="s">
        <v>1133</v>
      </c>
      <c r="E419" s="157" t="s">
        <v>1184</v>
      </c>
      <c r="F419" s="157" t="s">
        <v>1185</v>
      </c>
      <c r="G419" s="57" t="s">
        <v>1020</v>
      </c>
      <c r="H419" s="157" t="s">
        <v>1186</v>
      </c>
      <c r="I419" s="157" t="s">
        <v>1187</v>
      </c>
      <c r="J419" s="95" t="s">
        <v>1027</v>
      </c>
      <c r="K419" s="228">
        <f t="shared" si="101"/>
        <v>4</v>
      </c>
      <c r="L419" s="269">
        <v>4</v>
      </c>
      <c r="M419" s="269"/>
      <c r="N419" s="269"/>
      <c r="O419" s="269">
        <v>1</v>
      </c>
      <c r="P419" s="269"/>
      <c r="Q419" s="269"/>
      <c r="R419" s="269"/>
      <c r="S419" s="167" t="s">
        <v>1188</v>
      </c>
      <c r="T419" s="60"/>
      <c r="U419" s="238">
        <f t="shared" si="102"/>
        <v>9.8175000000000008</v>
      </c>
      <c r="V419" s="238">
        <f t="shared" si="103"/>
        <v>0</v>
      </c>
      <c r="W419" s="238">
        <f t="shared" si="104"/>
        <v>5.4153000000000002</v>
      </c>
      <c r="X419" s="238">
        <f t="shared" si="105"/>
        <v>4.4022000000000006</v>
      </c>
      <c r="Y419" s="238">
        <f t="shared" si="106"/>
        <v>0</v>
      </c>
      <c r="Z419" s="70">
        <v>9.8175000000000008</v>
      </c>
      <c r="AA419" s="70"/>
      <c r="AB419" s="70">
        <v>5.4153000000000002</v>
      </c>
      <c r="AC419" s="70">
        <v>4.4022000000000006</v>
      </c>
      <c r="AD419" s="71"/>
      <c r="AE419" s="59"/>
      <c r="AF419" s="62"/>
      <c r="AG419" s="169">
        <v>2.9940000000000002</v>
      </c>
      <c r="AH419" s="63">
        <v>29.393595000000005</v>
      </c>
      <c r="AI419" s="63">
        <v>0</v>
      </c>
      <c r="AJ419" s="63">
        <v>16.213408200000003</v>
      </c>
      <c r="AK419" s="63">
        <v>13.180186800000003</v>
      </c>
      <c r="AL419" s="125">
        <v>0</v>
      </c>
      <c r="AM419" s="202">
        <f t="shared" si="107"/>
        <v>1.7782937365010804E-3</v>
      </c>
      <c r="AN419" s="202">
        <f t="shared" si="108"/>
        <v>0</v>
      </c>
      <c r="AO419" s="202">
        <f t="shared" si="109"/>
        <v>9.8090084759605805E-4</v>
      </c>
      <c r="AP419" s="202">
        <f t="shared" si="110"/>
        <v>7.9739288890502236E-4</v>
      </c>
      <c r="AQ419" s="202">
        <f t="shared" si="111"/>
        <v>0</v>
      </c>
      <c r="AR419" s="217" t="s">
        <v>1182</v>
      </c>
      <c r="AS419" s="226" t="s">
        <v>1660</v>
      </c>
      <c r="AT419" s="234">
        <v>311612</v>
      </c>
      <c r="AU419" s="244">
        <f t="shared" si="112"/>
        <v>29.393595000000005</v>
      </c>
      <c r="AV419" s="244">
        <f t="shared" si="113"/>
        <v>0</v>
      </c>
      <c r="AW419" s="244">
        <f t="shared" si="114"/>
        <v>16.213408200000003</v>
      </c>
      <c r="AX419" s="244">
        <f t="shared" si="115"/>
        <v>13.180186800000003</v>
      </c>
      <c r="AY419" s="244">
        <f t="shared" si="116"/>
        <v>0</v>
      </c>
      <c r="AZ419">
        <v>2.2667125506072878E-2</v>
      </c>
    </row>
    <row r="420" spans="1:52" ht="15.75" customHeight="1" x14ac:dyDescent="0.35">
      <c r="A420" s="139" t="s">
        <v>1182</v>
      </c>
      <c r="B420" s="67" t="s">
        <v>1183</v>
      </c>
      <c r="C420" s="139" t="s">
        <v>92</v>
      </c>
      <c r="D420" s="139" t="s">
        <v>229</v>
      </c>
      <c r="E420" s="139" t="s">
        <v>1189</v>
      </c>
      <c r="F420" s="139" t="s">
        <v>1190</v>
      </c>
      <c r="G420" s="67" t="s">
        <v>1020</v>
      </c>
      <c r="H420" s="139" t="s">
        <v>1191</v>
      </c>
      <c r="I420" s="139" t="s">
        <v>1192</v>
      </c>
      <c r="J420" s="105">
        <v>0.85</v>
      </c>
      <c r="K420" s="228">
        <f t="shared" si="101"/>
        <v>74</v>
      </c>
      <c r="L420" s="269">
        <v>74</v>
      </c>
      <c r="M420" s="269"/>
      <c r="N420" s="269"/>
      <c r="O420" s="269">
        <v>1</v>
      </c>
      <c r="P420" s="269"/>
      <c r="Q420" s="269"/>
      <c r="R420" s="269"/>
      <c r="S420" s="165" t="s">
        <v>1188</v>
      </c>
      <c r="T420" s="70"/>
      <c r="U420" s="238">
        <f t="shared" si="102"/>
        <v>0.66</v>
      </c>
      <c r="V420" s="238">
        <f t="shared" si="103"/>
        <v>0</v>
      </c>
      <c r="W420" s="238">
        <f t="shared" si="104"/>
        <v>0.66</v>
      </c>
      <c r="X420" s="238">
        <f t="shared" si="105"/>
        <v>0</v>
      </c>
      <c r="Y420" s="238">
        <f t="shared" si="106"/>
        <v>0</v>
      </c>
      <c r="Z420" s="60">
        <v>0.66</v>
      </c>
      <c r="AA420" s="60"/>
      <c r="AB420" s="60">
        <v>0.66</v>
      </c>
      <c r="AC420" s="60"/>
      <c r="AD420" s="61"/>
      <c r="AE420" s="120">
        <v>125</v>
      </c>
      <c r="AF420" s="121">
        <v>4</v>
      </c>
      <c r="AG420" s="73">
        <v>2.9940000000000002</v>
      </c>
      <c r="AH420" s="73">
        <v>1.9760400000000002</v>
      </c>
      <c r="AI420" s="73">
        <v>0</v>
      </c>
      <c r="AJ420" s="73">
        <v>1.9760400000000002</v>
      </c>
      <c r="AK420" s="73">
        <v>0</v>
      </c>
      <c r="AL420" s="129">
        <v>0</v>
      </c>
      <c r="AM420" s="202">
        <f t="shared" si="107"/>
        <v>1.1954915875637514E-4</v>
      </c>
      <c r="AN420" s="202">
        <f t="shared" si="108"/>
        <v>0</v>
      </c>
      <c r="AO420" s="202">
        <f t="shared" si="109"/>
        <v>1.1954915875637514E-4</v>
      </c>
      <c r="AP420" s="202">
        <f t="shared" si="110"/>
        <v>0</v>
      </c>
      <c r="AQ420" s="202">
        <f t="shared" si="111"/>
        <v>0</v>
      </c>
      <c r="AR420" s="217" t="s">
        <v>1182</v>
      </c>
      <c r="AS420" s="226" t="s">
        <v>1660</v>
      </c>
      <c r="AT420" s="234">
        <v>311612</v>
      </c>
      <c r="AU420" s="244">
        <f t="shared" si="112"/>
        <v>1.9760400000000002</v>
      </c>
      <c r="AV420" s="244">
        <f t="shared" si="113"/>
        <v>0</v>
      </c>
      <c r="AW420" s="244">
        <f t="shared" si="114"/>
        <v>1.9760400000000002</v>
      </c>
      <c r="AX420" s="244">
        <f t="shared" si="115"/>
        <v>0</v>
      </c>
      <c r="AY420" s="244">
        <f t="shared" si="116"/>
        <v>0</v>
      </c>
      <c r="AZ420">
        <v>1.5238403701561599E-3</v>
      </c>
    </row>
    <row r="421" spans="1:52" ht="15.75" customHeight="1" x14ac:dyDescent="0.35">
      <c r="A421" s="139" t="s">
        <v>1182</v>
      </c>
      <c r="B421" s="67" t="s">
        <v>1183</v>
      </c>
      <c r="C421" s="67" t="s">
        <v>99</v>
      </c>
      <c r="D421" s="139" t="s">
        <v>1133</v>
      </c>
      <c r="E421" s="139" t="s">
        <v>1193</v>
      </c>
      <c r="F421" s="139" t="s">
        <v>1194</v>
      </c>
      <c r="G421" s="67" t="s">
        <v>1020</v>
      </c>
      <c r="H421" s="139" t="s">
        <v>1186</v>
      </c>
      <c r="I421" s="139" t="s">
        <v>1187</v>
      </c>
      <c r="J421" s="95" t="s">
        <v>1027</v>
      </c>
      <c r="K421" s="228">
        <f t="shared" si="101"/>
        <v>4</v>
      </c>
      <c r="L421" s="269">
        <v>4</v>
      </c>
      <c r="M421" s="269"/>
      <c r="N421" s="269"/>
      <c r="O421" s="269">
        <v>1</v>
      </c>
      <c r="P421" s="269"/>
      <c r="Q421" s="269"/>
      <c r="R421" s="269"/>
      <c r="S421" s="165" t="s">
        <v>1188</v>
      </c>
      <c r="T421" s="70"/>
      <c r="U421" s="238">
        <f t="shared" si="102"/>
        <v>2.0064000000000002</v>
      </c>
      <c r="V421" s="238">
        <f t="shared" si="103"/>
        <v>0</v>
      </c>
      <c r="W421" s="238">
        <f t="shared" si="104"/>
        <v>0.85470000000000002</v>
      </c>
      <c r="X421" s="238">
        <f t="shared" si="105"/>
        <v>0.86460000000000004</v>
      </c>
      <c r="Y421" s="238">
        <f t="shared" si="106"/>
        <v>0.28710000000000002</v>
      </c>
      <c r="Z421" s="70">
        <v>2.0064000000000002</v>
      </c>
      <c r="AA421" s="70"/>
      <c r="AB421" s="70">
        <v>0.85470000000000002</v>
      </c>
      <c r="AC421" s="70">
        <v>0.86460000000000004</v>
      </c>
      <c r="AD421" s="71">
        <v>0.28710000000000002</v>
      </c>
      <c r="AE421" s="233"/>
      <c r="AF421" s="72"/>
      <c r="AG421" s="73">
        <v>2.9940000000000002</v>
      </c>
      <c r="AH421" s="73">
        <v>6.0071616000000008</v>
      </c>
      <c r="AI421" s="73">
        <v>0</v>
      </c>
      <c r="AJ421" s="73">
        <v>2.5589718000000001</v>
      </c>
      <c r="AK421" s="73">
        <v>2.5886124000000001</v>
      </c>
      <c r="AL421" s="129">
        <v>0.85957740000000016</v>
      </c>
      <c r="AM421" s="202">
        <f t="shared" si="107"/>
        <v>3.6342944261938046E-4</v>
      </c>
      <c r="AN421" s="202">
        <f t="shared" si="108"/>
        <v>0</v>
      </c>
      <c r="AO421" s="202">
        <f t="shared" si="109"/>
        <v>1.5481616058950581E-4</v>
      </c>
      <c r="AP421" s="202">
        <f t="shared" si="110"/>
        <v>1.5660939797085144E-4</v>
      </c>
      <c r="AQ421" s="202">
        <f t="shared" si="111"/>
        <v>5.2003884059023189E-5</v>
      </c>
      <c r="AR421" s="217" t="s">
        <v>1182</v>
      </c>
      <c r="AS421" s="226" t="s">
        <v>1660</v>
      </c>
      <c r="AT421" s="234">
        <v>311612</v>
      </c>
      <c r="AU421" s="244">
        <f t="shared" si="112"/>
        <v>6.0071616000000008</v>
      </c>
      <c r="AV421" s="244">
        <f t="shared" si="113"/>
        <v>0</v>
      </c>
      <c r="AW421" s="244">
        <f t="shared" si="114"/>
        <v>2.5589718000000001</v>
      </c>
      <c r="AX421" s="244">
        <f t="shared" si="115"/>
        <v>2.5886124000000001</v>
      </c>
      <c r="AY421" s="244">
        <f t="shared" si="116"/>
        <v>0.85957740000000016</v>
      </c>
      <c r="AZ421">
        <v>4.6324747252747258E-3</v>
      </c>
    </row>
    <row r="422" spans="1:52" ht="15.75" customHeight="1" x14ac:dyDescent="0.35">
      <c r="A422" s="139" t="s">
        <v>1182</v>
      </c>
      <c r="B422" s="67" t="s">
        <v>1195</v>
      </c>
      <c r="C422" s="139" t="s">
        <v>48</v>
      </c>
      <c r="D422" s="139" t="s">
        <v>378</v>
      </c>
      <c r="E422" s="139" t="s">
        <v>1196</v>
      </c>
      <c r="F422" s="139" t="s">
        <v>1197</v>
      </c>
      <c r="G422" s="67" t="s">
        <v>1020</v>
      </c>
      <c r="H422" s="139" t="s">
        <v>1198</v>
      </c>
      <c r="I422" s="139" t="s">
        <v>1199</v>
      </c>
      <c r="J422" s="95"/>
      <c r="K422" s="228">
        <f t="shared" si="101"/>
        <v>25</v>
      </c>
      <c r="L422" s="269">
        <v>25</v>
      </c>
      <c r="M422" s="269"/>
      <c r="N422" s="269"/>
      <c r="O422" s="269">
        <v>1</v>
      </c>
      <c r="P422" s="269"/>
      <c r="Q422" s="269"/>
      <c r="R422" s="269">
        <v>254520</v>
      </c>
      <c r="S422" s="165" t="s">
        <v>1188</v>
      </c>
      <c r="T422" s="70"/>
      <c r="U422" s="238">
        <f t="shared" si="102"/>
        <v>1.6302000000000001</v>
      </c>
      <c r="V422" s="238">
        <f t="shared" si="103"/>
        <v>0</v>
      </c>
      <c r="W422" s="238">
        <f t="shared" si="104"/>
        <v>1.5543</v>
      </c>
      <c r="X422" s="238">
        <f t="shared" si="105"/>
        <v>7.5900000000000009E-2</v>
      </c>
      <c r="Y422" s="238">
        <f t="shared" si="106"/>
        <v>0</v>
      </c>
      <c r="Z422" s="70">
        <v>1.6302000000000001</v>
      </c>
      <c r="AA422" s="70"/>
      <c r="AB422" s="70">
        <v>1.5543</v>
      </c>
      <c r="AC422" s="70">
        <v>7.5900000000000009E-2</v>
      </c>
      <c r="AD422" s="71"/>
      <c r="AE422" s="233"/>
      <c r="AF422" s="72"/>
      <c r="AG422" s="73">
        <v>4.3045130641330163</v>
      </c>
      <c r="AH422" s="73">
        <v>7.0172171971496438</v>
      </c>
      <c r="AI422" s="73">
        <v>0</v>
      </c>
      <c r="AJ422" s="73">
        <v>6.6905046555819476</v>
      </c>
      <c r="AK422" s="73">
        <v>0.32671254156769597</v>
      </c>
      <c r="AL422" s="129">
        <v>0</v>
      </c>
      <c r="AM422" s="202">
        <f t="shared" si="107"/>
        <v>4.2453716156049903E-4</v>
      </c>
      <c r="AN422" s="202">
        <f t="shared" si="108"/>
        <v>0</v>
      </c>
      <c r="AO422" s="202">
        <f t="shared" si="109"/>
        <v>4.0477126132590086E-4</v>
      </c>
      <c r="AP422" s="202">
        <f t="shared" si="110"/>
        <v>1.9765900234598131E-5</v>
      </c>
      <c r="AQ422" s="202">
        <f t="shared" si="111"/>
        <v>0</v>
      </c>
      <c r="AR422" s="217" t="s">
        <v>1182</v>
      </c>
      <c r="AS422" s="226" t="s">
        <v>1660</v>
      </c>
      <c r="AT422" s="234">
        <v>311612</v>
      </c>
      <c r="AU422" s="244">
        <f t="shared" si="112"/>
        <v>7.0172171971496438</v>
      </c>
      <c r="AV422" s="244">
        <f t="shared" si="113"/>
        <v>0</v>
      </c>
      <c r="AW422" s="244">
        <f t="shared" si="114"/>
        <v>6.6905046555819476</v>
      </c>
      <c r="AX422" s="244">
        <f t="shared" si="115"/>
        <v>0.32671254156769597</v>
      </c>
      <c r="AY422" s="244">
        <f t="shared" si="116"/>
        <v>0</v>
      </c>
      <c r="AZ422">
        <v>5.4113878520529353E-3</v>
      </c>
    </row>
    <row r="423" spans="1:52" ht="15.75" customHeight="1" x14ac:dyDescent="0.35">
      <c r="A423" s="139" t="s">
        <v>1182</v>
      </c>
      <c r="B423" s="67" t="s">
        <v>1195</v>
      </c>
      <c r="C423" s="67" t="s">
        <v>99</v>
      </c>
      <c r="D423" s="139" t="s">
        <v>1133</v>
      </c>
      <c r="E423" s="139" t="s">
        <v>1200</v>
      </c>
      <c r="F423" s="139" t="s">
        <v>1201</v>
      </c>
      <c r="G423" s="67" t="s">
        <v>1020</v>
      </c>
      <c r="H423" s="139" t="s">
        <v>1202</v>
      </c>
      <c r="I423" s="139" t="s">
        <v>1203</v>
      </c>
      <c r="J423" s="95" t="s">
        <v>1027</v>
      </c>
      <c r="K423" s="228">
        <f t="shared" si="101"/>
        <v>4</v>
      </c>
      <c r="L423" s="269">
        <v>4</v>
      </c>
      <c r="M423" s="269"/>
      <c r="N423" s="269"/>
      <c r="O423" s="269">
        <v>1</v>
      </c>
      <c r="P423" s="269"/>
      <c r="Q423" s="269"/>
      <c r="R423" s="269"/>
      <c r="S423" s="165" t="s">
        <v>1188</v>
      </c>
      <c r="T423" s="70"/>
      <c r="U423" s="238">
        <f t="shared" si="102"/>
        <v>0.42240000000000005</v>
      </c>
      <c r="V423" s="238">
        <f t="shared" si="103"/>
        <v>0</v>
      </c>
      <c r="W423" s="238">
        <f t="shared" si="104"/>
        <v>0.26070000000000004</v>
      </c>
      <c r="X423" s="238">
        <f t="shared" si="105"/>
        <v>0.16170000000000001</v>
      </c>
      <c r="Y423" s="238">
        <f t="shared" si="106"/>
        <v>0</v>
      </c>
      <c r="Z423" s="70">
        <v>0.42240000000000005</v>
      </c>
      <c r="AA423" s="70"/>
      <c r="AB423" s="70">
        <v>0.26070000000000004</v>
      </c>
      <c r="AC423" s="70">
        <v>0.16170000000000001</v>
      </c>
      <c r="AD423" s="71"/>
      <c r="AE423" s="233"/>
      <c r="AF423" s="72"/>
      <c r="AG423" s="73">
        <v>4.3045130641330163</v>
      </c>
      <c r="AH423" s="73">
        <v>1.8182263182897862</v>
      </c>
      <c r="AI423" s="73">
        <v>0</v>
      </c>
      <c r="AJ423" s="73">
        <v>1.1221865558194775</v>
      </c>
      <c r="AK423" s="73">
        <v>0.69603976247030874</v>
      </c>
      <c r="AL423" s="129">
        <v>0</v>
      </c>
      <c r="AM423" s="202">
        <f t="shared" si="107"/>
        <v>1.1000153174037221E-4</v>
      </c>
      <c r="AN423" s="202">
        <f t="shared" si="108"/>
        <v>0</v>
      </c>
      <c r="AO423" s="202">
        <f t="shared" si="109"/>
        <v>6.7891570371010978E-5</v>
      </c>
      <c r="AP423" s="202">
        <f t="shared" si="110"/>
        <v>4.2109961369361234E-5</v>
      </c>
      <c r="AQ423" s="202">
        <f t="shared" si="111"/>
        <v>0</v>
      </c>
      <c r="AR423" s="217" t="s">
        <v>1182</v>
      </c>
      <c r="AS423" s="226" t="s">
        <v>1660</v>
      </c>
      <c r="AT423" s="234">
        <v>311612</v>
      </c>
      <c r="AU423" s="244">
        <f t="shared" si="112"/>
        <v>1.8182263182897862</v>
      </c>
      <c r="AV423" s="244">
        <f t="shared" si="113"/>
        <v>0</v>
      </c>
      <c r="AW423" s="244">
        <f t="shared" si="114"/>
        <v>1.1221865558194775</v>
      </c>
      <c r="AX423" s="244">
        <f t="shared" si="115"/>
        <v>0.69603976247030874</v>
      </c>
      <c r="AY423" s="244">
        <f t="shared" si="116"/>
        <v>0</v>
      </c>
      <c r="AZ423">
        <v>1.4021409819084528E-3</v>
      </c>
    </row>
    <row r="424" spans="1:52" ht="15.75" customHeight="1" x14ac:dyDescent="0.35">
      <c r="A424" s="139" t="s">
        <v>1182</v>
      </c>
      <c r="B424" s="67" t="s">
        <v>1195</v>
      </c>
      <c r="C424" s="67" t="s">
        <v>99</v>
      </c>
      <c r="D424" s="139" t="s">
        <v>1133</v>
      </c>
      <c r="E424" s="139" t="s">
        <v>1204</v>
      </c>
      <c r="F424" s="139" t="s">
        <v>1205</v>
      </c>
      <c r="G424" s="67" t="s">
        <v>1020</v>
      </c>
      <c r="H424" s="139" t="s">
        <v>1186</v>
      </c>
      <c r="I424" s="139" t="s">
        <v>1187</v>
      </c>
      <c r="J424" s="95" t="s">
        <v>1027</v>
      </c>
      <c r="K424" s="228">
        <f t="shared" si="101"/>
        <v>4</v>
      </c>
      <c r="L424" s="269">
        <v>4</v>
      </c>
      <c r="M424" s="269"/>
      <c r="N424" s="269"/>
      <c r="O424" s="269">
        <v>1</v>
      </c>
      <c r="P424" s="269"/>
      <c r="Q424" s="269"/>
      <c r="R424" s="269"/>
      <c r="S424" s="165" t="s">
        <v>1188</v>
      </c>
      <c r="T424" s="70"/>
      <c r="U424" s="238">
        <f t="shared" si="102"/>
        <v>1.6962000000000002</v>
      </c>
      <c r="V424" s="238">
        <f t="shared" si="103"/>
        <v>0</v>
      </c>
      <c r="W424" s="238">
        <f t="shared" si="104"/>
        <v>1.4256000000000002</v>
      </c>
      <c r="X424" s="238">
        <f t="shared" si="105"/>
        <v>0.27060000000000001</v>
      </c>
      <c r="Y424" s="238">
        <f t="shared" si="106"/>
        <v>0</v>
      </c>
      <c r="Z424" s="70">
        <v>1.6962000000000002</v>
      </c>
      <c r="AA424" s="70"/>
      <c r="AB424" s="70">
        <v>1.4256000000000002</v>
      </c>
      <c r="AC424" s="70">
        <v>0.27060000000000001</v>
      </c>
      <c r="AD424" s="71"/>
      <c r="AE424" s="233"/>
      <c r="AF424" s="72"/>
      <c r="AG424" s="73">
        <v>4.3045130641330163</v>
      </c>
      <c r="AH424" s="73">
        <v>7.3013150593824232</v>
      </c>
      <c r="AI424" s="73">
        <v>0</v>
      </c>
      <c r="AJ424" s="73">
        <v>6.1365138242280288</v>
      </c>
      <c r="AK424" s="73">
        <v>1.1648012351543942</v>
      </c>
      <c r="AL424" s="129">
        <v>0</v>
      </c>
      <c r="AM424" s="202">
        <f t="shared" si="107"/>
        <v>4.4172490089493222E-4</v>
      </c>
      <c r="AN424" s="202">
        <f t="shared" si="108"/>
        <v>0</v>
      </c>
      <c r="AO424" s="202">
        <f t="shared" si="109"/>
        <v>3.7125516962375625E-4</v>
      </c>
      <c r="AP424" s="202">
        <f t="shared" si="110"/>
        <v>7.0469731271175943E-5</v>
      </c>
      <c r="AQ424" s="202">
        <f t="shared" si="111"/>
        <v>0</v>
      </c>
      <c r="AR424" s="217" t="s">
        <v>1182</v>
      </c>
      <c r="AS424" s="226" t="s">
        <v>1660</v>
      </c>
      <c r="AT424" s="234">
        <v>311612</v>
      </c>
      <c r="AU424" s="244">
        <f t="shared" si="112"/>
        <v>7.3013150593824232</v>
      </c>
      <c r="AV424" s="244">
        <f t="shared" si="113"/>
        <v>0</v>
      </c>
      <c r="AW424" s="244">
        <f t="shared" si="114"/>
        <v>6.1365138242280288</v>
      </c>
      <c r="AX424" s="244">
        <f t="shared" si="115"/>
        <v>1.1648012351543942</v>
      </c>
      <c r="AY424" s="244">
        <f t="shared" si="116"/>
        <v>0</v>
      </c>
      <c r="AZ424">
        <v>5.6304723804761316E-3</v>
      </c>
    </row>
    <row r="425" spans="1:52" ht="15.75" customHeight="1" x14ac:dyDescent="0.35">
      <c r="A425" s="139" t="s">
        <v>1182</v>
      </c>
      <c r="B425" s="67" t="s">
        <v>1195</v>
      </c>
      <c r="C425" s="139" t="s">
        <v>92</v>
      </c>
      <c r="D425" s="139" t="s">
        <v>229</v>
      </c>
      <c r="E425" s="139" t="s">
        <v>1206</v>
      </c>
      <c r="F425" s="139" t="s">
        <v>1207</v>
      </c>
      <c r="G425" s="67" t="s">
        <v>1020</v>
      </c>
      <c r="H425" s="139" t="s">
        <v>1191</v>
      </c>
      <c r="I425" s="139" t="s">
        <v>1208</v>
      </c>
      <c r="J425" s="105">
        <v>0.85</v>
      </c>
      <c r="K425" s="228">
        <f t="shared" si="101"/>
        <v>57</v>
      </c>
      <c r="L425" s="269">
        <v>57</v>
      </c>
      <c r="M425" s="269"/>
      <c r="N425" s="269"/>
      <c r="O425" s="269">
        <v>1</v>
      </c>
      <c r="P425" s="269"/>
      <c r="Q425" s="269"/>
      <c r="R425" s="269"/>
      <c r="S425" s="165" t="s">
        <v>1188</v>
      </c>
      <c r="T425" s="70"/>
      <c r="U425" s="238">
        <f t="shared" si="102"/>
        <v>1.1913</v>
      </c>
      <c r="V425" s="238">
        <f t="shared" si="103"/>
        <v>0</v>
      </c>
      <c r="W425" s="238">
        <f t="shared" si="104"/>
        <v>0.52140000000000009</v>
      </c>
      <c r="X425" s="238">
        <f t="shared" si="105"/>
        <v>0.66989999999999994</v>
      </c>
      <c r="Y425" s="238">
        <f t="shared" si="106"/>
        <v>0</v>
      </c>
      <c r="Z425" s="70">
        <v>1.1913</v>
      </c>
      <c r="AA425" s="70"/>
      <c r="AB425" s="70">
        <v>0.52140000000000009</v>
      </c>
      <c r="AC425" s="70">
        <v>0.66989999999999994</v>
      </c>
      <c r="AD425" s="71"/>
      <c r="AE425" s="233">
        <v>125</v>
      </c>
      <c r="AF425" s="72">
        <v>4</v>
      </c>
      <c r="AG425" s="73">
        <v>4.536486935866983</v>
      </c>
      <c r="AH425" s="73">
        <v>5.4043168866983367</v>
      </c>
      <c r="AI425" s="73">
        <v>0</v>
      </c>
      <c r="AJ425" s="73">
        <v>2.3653242883610455</v>
      </c>
      <c r="AK425" s="73">
        <v>3.0389925983372916</v>
      </c>
      <c r="AL425" s="129">
        <v>0</v>
      </c>
      <c r="AM425" s="202">
        <f t="shared" si="107"/>
        <v>3.2695772224127976E-4</v>
      </c>
      <c r="AN425" s="202">
        <f t="shared" si="108"/>
        <v>0</v>
      </c>
      <c r="AO425" s="202">
        <f t="shared" si="109"/>
        <v>1.4310060973441057E-4</v>
      </c>
      <c r="AP425" s="202">
        <f t="shared" si="110"/>
        <v>1.8385711250686922E-4</v>
      </c>
      <c r="AQ425" s="202">
        <f t="shared" si="111"/>
        <v>0</v>
      </c>
      <c r="AR425" s="217" t="s">
        <v>1182</v>
      </c>
      <c r="AS425" s="226" t="s">
        <v>1660</v>
      </c>
      <c r="AT425" s="234">
        <v>311612</v>
      </c>
      <c r="AU425" s="244">
        <f t="shared" si="112"/>
        <v>5.4043168866983367</v>
      </c>
      <c r="AV425" s="244">
        <f t="shared" si="113"/>
        <v>0</v>
      </c>
      <c r="AW425" s="244">
        <f t="shared" si="114"/>
        <v>2.3653242883610455</v>
      </c>
      <c r="AX425" s="244">
        <f t="shared" si="115"/>
        <v>3.0389925983372916</v>
      </c>
      <c r="AY425" s="244">
        <f t="shared" si="116"/>
        <v>0</v>
      </c>
      <c r="AZ425">
        <v>4.1675858004228544E-3</v>
      </c>
    </row>
    <row r="426" spans="1:52" ht="15.75" customHeight="1" x14ac:dyDescent="0.35">
      <c r="A426" s="139" t="s">
        <v>1182</v>
      </c>
      <c r="B426" s="67" t="s">
        <v>1195</v>
      </c>
      <c r="C426" s="139" t="s">
        <v>48</v>
      </c>
      <c r="D426" s="139" t="s">
        <v>378</v>
      </c>
      <c r="E426" s="139" t="s">
        <v>1196</v>
      </c>
      <c r="F426" s="139" t="s">
        <v>1209</v>
      </c>
      <c r="G426" s="67" t="s">
        <v>1020</v>
      </c>
      <c r="H426" s="139" t="s">
        <v>1198</v>
      </c>
      <c r="I426" s="139" t="s">
        <v>1199</v>
      </c>
      <c r="J426" s="95"/>
      <c r="K426" s="228">
        <f t="shared" si="101"/>
        <v>25</v>
      </c>
      <c r="L426" s="269">
        <v>25</v>
      </c>
      <c r="M426" s="269"/>
      <c r="N426" s="269"/>
      <c r="O426" s="269">
        <v>1</v>
      </c>
      <c r="P426" s="269"/>
      <c r="Q426" s="269"/>
      <c r="R426" s="269">
        <v>254520</v>
      </c>
      <c r="S426" s="165" t="s">
        <v>1188</v>
      </c>
      <c r="T426" s="70"/>
      <c r="U426" s="238">
        <f t="shared" si="102"/>
        <v>1.5939000000000003</v>
      </c>
      <c r="V426" s="238">
        <f t="shared" si="103"/>
        <v>0</v>
      </c>
      <c r="W426" s="238">
        <f t="shared" si="104"/>
        <v>1.5477000000000003</v>
      </c>
      <c r="X426" s="238">
        <f t="shared" si="105"/>
        <v>4.6200000000000005E-2</v>
      </c>
      <c r="Y426" s="238">
        <f t="shared" si="106"/>
        <v>0</v>
      </c>
      <c r="Z426" s="70">
        <v>1.5939000000000003</v>
      </c>
      <c r="AA426" s="70"/>
      <c r="AB426" s="70">
        <v>1.5477000000000003</v>
      </c>
      <c r="AC426" s="70">
        <v>4.6200000000000005E-2</v>
      </c>
      <c r="AD426" s="71"/>
      <c r="AE426" s="233"/>
      <c r="AF426" s="72"/>
      <c r="AG426" s="73">
        <v>4.536486935866983</v>
      </c>
      <c r="AH426" s="73">
        <v>7.2307065270783859</v>
      </c>
      <c r="AI426" s="73">
        <v>0</v>
      </c>
      <c r="AJ426" s="73">
        <v>7.0211208306413306</v>
      </c>
      <c r="AK426" s="73">
        <v>0.20958569643705463</v>
      </c>
      <c r="AL426" s="129">
        <v>0</v>
      </c>
      <c r="AM426" s="202">
        <f t="shared" si="107"/>
        <v>4.3745312975772342E-4</v>
      </c>
      <c r="AN426" s="202">
        <f t="shared" si="108"/>
        <v>0</v>
      </c>
      <c r="AO426" s="202">
        <f t="shared" si="109"/>
        <v>4.2477332889518071E-4</v>
      </c>
      <c r="AP426" s="202">
        <f t="shared" si="110"/>
        <v>1.2679800862542707E-5</v>
      </c>
      <c r="AQ426" s="202">
        <f t="shared" si="111"/>
        <v>0</v>
      </c>
      <c r="AR426" s="217" t="s">
        <v>1182</v>
      </c>
      <c r="AS426" s="226" t="s">
        <v>1660</v>
      </c>
      <c r="AT426" s="234">
        <v>311612</v>
      </c>
      <c r="AU426" s="244">
        <f t="shared" si="112"/>
        <v>7.2307065270783859</v>
      </c>
      <c r="AV426" s="244">
        <f t="shared" si="113"/>
        <v>0</v>
      </c>
      <c r="AW426" s="244">
        <f t="shared" si="114"/>
        <v>7.0211208306413306</v>
      </c>
      <c r="AX426" s="244">
        <f t="shared" si="115"/>
        <v>0.20958569643705463</v>
      </c>
      <c r="AY426" s="244">
        <f t="shared" si="116"/>
        <v>0</v>
      </c>
      <c r="AZ426">
        <v>5.5760219989037102E-3</v>
      </c>
    </row>
    <row r="427" spans="1:52" ht="15.75" customHeight="1" x14ac:dyDescent="0.35">
      <c r="A427" s="139" t="s">
        <v>1182</v>
      </c>
      <c r="B427" s="67" t="s">
        <v>1195</v>
      </c>
      <c r="C427" s="67" t="s">
        <v>99</v>
      </c>
      <c r="D427" s="139" t="s">
        <v>1133</v>
      </c>
      <c r="E427" s="139" t="s">
        <v>1204</v>
      </c>
      <c r="F427" s="139" t="s">
        <v>1210</v>
      </c>
      <c r="G427" s="67" t="s">
        <v>1020</v>
      </c>
      <c r="H427" s="139" t="s">
        <v>1186</v>
      </c>
      <c r="I427" s="139" t="s">
        <v>1187</v>
      </c>
      <c r="J427" s="95" t="s">
        <v>1027</v>
      </c>
      <c r="K427" s="228">
        <f t="shared" si="101"/>
        <v>4</v>
      </c>
      <c r="L427" s="269">
        <v>4</v>
      </c>
      <c r="M427" s="269"/>
      <c r="N427" s="269"/>
      <c r="O427" s="269">
        <v>1</v>
      </c>
      <c r="P427" s="269"/>
      <c r="Q427" s="269"/>
      <c r="R427" s="269"/>
      <c r="S427" s="165" t="s">
        <v>1188</v>
      </c>
      <c r="T427" s="70"/>
      <c r="U427" s="238">
        <f t="shared" si="102"/>
        <v>1.6962000000000002</v>
      </c>
      <c r="V427" s="238">
        <f t="shared" si="103"/>
        <v>0</v>
      </c>
      <c r="W427" s="238">
        <f t="shared" si="104"/>
        <v>1.4256000000000002</v>
      </c>
      <c r="X427" s="238">
        <f t="shared" si="105"/>
        <v>0.27060000000000001</v>
      </c>
      <c r="Y427" s="238">
        <f t="shared" si="106"/>
        <v>0</v>
      </c>
      <c r="Z427" s="70">
        <v>1.6962000000000002</v>
      </c>
      <c r="AA427" s="70"/>
      <c r="AB427" s="70">
        <v>1.4256000000000002</v>
      </c>
      <c r="AC427" s="70">
        <v>0.27060000000000001</v>
      </c>
      <c r="AD427" s="71"/>
      <c r="AE427" s="233"/>
      <c r="AF427" s="72"/>
      <c r="AG427" s="73">
        <v>4.536486935866983</v>
      </c>
      <c r="AH427" s="73">
        <v>7.6947891406175772</v>
      </c>
      <c r="AI427" s="73">
        <v>0</v>
      </c>
      <c r="AJ427" s="73">
        <v>6.4672157757719715</v>
      </c>
      <c r="AK427" s="73">
        <v>1.2275733648456058</v>
      </c>
      <c r="AL427" s="129">
        <v>0</v>
      </c>
      <c r="AM427" s="202">
        <f t="shared" si="107"/>
        <v>4.6552983166763939E-4</v>
      </c>
      <c r="AN427" s="202">
        <f t="shared" si="108"/>
        <v>0</v>
      </c>
      <c r="AO427" s="202">
        <f t="shared" si="109"/>
        <v>3.9126242661560349E-4</v>
      </c>
      <c r="AP427" s="202">
        <f t="shared" si="110"/>
        <v>7.4267405052035857E-5</v>
      </c>
      <c r="AQ427" s="202">
        <f t="shared" si="111"/>
        <v>0</v>
      </c>
      <c r="AR427" s="217" t="s">
        <v>1182</v>
      </c>
      <c r="AS427" s="226" t="s">
        <v>1660</v>
      </c>
      <c r="AT427" s="234">
        <v>311612</v>
      </c>
      <c r="AU427" s="244">
        <f t="shared" si="112"/>
        <v>7.6947891406175772</v>
      </c>
      <c r="AV427" s="244">
        <f t="shared" si="113"/>
        <v>0</v>
      </c>
      <c r="AW427" s="244">
        <f t="shared" si="114"/>
        <v>6.4672157757719715</v>
      </c>
      <c r="AX427" s="244">
        <f t="shared" si="115"/>
        <v>1.2275733648456058</v>
      </c>
      <c r="AY427" s="244">
        <f t="shared" si="116"/>
        <v>0</v>
      </c>
      <c r="AZ427">
        <v>5.9339033280258937E-3</v>
      </c>
    </row>
    <row r="428" spans="1:52" ht="15.75" customHeight="1" x14ac:dyDescent="0.35">
      <c r="A428" s="145" t="s">
        <v>1182</v>
      </c>
      <c r="B428" s="78" t="s">
        <v>1195</v>
      </c>
      <c r="C428" s="145" t="s">
        <v>124</v>
      </c>
      <c r="D428" s="145" t="s">
        <v>124</v>
      </c>
      <c r="E428" s="145" t="s">
        <v>1054</v>
      </c>
      <c r="F428" s="145" t="s">
        <v>1211</v>
      </c>
      <c r="G428" s="78" t="s">
        <v>1020</v>
      </c>
      <c r="H428" s="145" t="s">
        <v>125</v>
      </c>
      <c r="I428" s="145" t="s">
        <v>125</v>
      </c>
      <c r="J428" s="98"/>
      <c r="K428" s="228">
        <f t="shared" si="101"/>
        <v>4</v>
      </c>
      <c r="L428" s="269">
        <v>4</v>
      </c>
      <c r="M428" s="269"/>
      <c r="N428" s="269"/>
      <c r="O428" s="269">
        <v>1</v>
      </c>
      <c r="P428" s="269"/>
      <c r="Q428" s="269"/>
      <c r="R428" s="269"/>
      <c r="S428" s="166" t="s">
        <v>1188</v>
      </c>
      <c r="T428" s="82"/>
      <c r="U428" s="238">
        <f t="shared" si="102"/>
        <v>8.9499999999999996E-2</v>
      </c>
      <c r="V428" s="238">
        <f t="shared" si="103"/>
        <v>0</v>
      </c>
      <c r="W428" s="238">
        <f t="shared" si="104"/>
        <v>8.9499999999999996E-2</v>
      </c>
      <c r="X428" s="238">
        <f t="shared" si="105"/>
        <v>0</v>
      </c>
      <c r="Y428" s="238">
        <f t="shared" si="106"/>
        <v>0</v>
      </c>
      <c r="Z428" s="70">
        <v>8.9499999999999996E-2</v>
      </c>
      <c r="AA428" s="70"/>
      <c r="AB428" s="70">
        <v>8.9499999999999996E-2</v>
      </c>
      <c r="AC428" s="70"/>
      <c r="AD428" s="71"/>
      <c r="AE428" s="81"/>
      <c r="AF428" s="84"/>
      <c r="AG428" s="85">
        <v>25.262</v>
      </c>
      <c r="AH428" s="85">
        <v>2.2609490000000001</v>
      </c>
      <c r="AI428" s="85">
        <v>0</v>
      </c>
      <c r="AJ428" s="85">
        <v>2.2609490000000001</v>
      </c>
      <c r="AK428" s="85">
        <v>0</v>
      </c>
      <c r="AL428" s="133">
        <v>0</v>
      </c>
      <c r="AM428" s="202">
        <f t="shared" si="107"/>
        <v>1.3678597140800167E-4</v>
      </c>
      <c r="AN428" s="202">
        <f t="shared" si="108"/>
        <v>0</v>
      </c>
      <c r="AO428" s="202">
        <f t="shared" si="109"/>
        <v>1.3678597140800167E-4</v>
      </c>
      <c r="AP428" s="202">
        <f t="shared" si="110"/>
        <v>0</v>
      </c>
      <c r="AQ428" s="202">
        <f t="shared" si="111"/>
        <v>0</v>
      </c>
      <c r="AR428" s="213" t="s">
        <v>1182</v>
      </c>
      <c r="AS428" s="226" t="s">
        <v>1660</v>
      </c>
      <c r="AT428" s="234">
        <v>311612</v>
      </c>
      <c r="AU428" s="244">
        <f t="shared" si="112"/>
        <v>2.2609490000000001</v>
      </c>
      <c r="AV428" s="244">
        <f t="shared" si="113"/>
        <v>0</v>
      </c>
      <c r="AW428" s="244">
        <f t="shared" si="114"/>
        <v>2.2609490000000001</v>
      </c>
      <c r="AX428" s="244">
        <f t="shared" si="115"/>
        <v>0</v>
      </c>
      <c r="AY428" s="244">
        <f t="shared" si="116"/>
        <v>0</v>
      </c>
      <c r="AZ428">
        <v>1.7435504144977831E-3</v>
      </c>
    </row>
    <row r="429" spans="1:52" ht="15.75" customHeight="1" x14ac:dyDescent="0.35">
      <c r="A429" s="157" t="s">
        <v>1212</v>
      </c>
      <c r="B429" s="67" t="s">
        <v>1213</v>
      </c>
      <c r="C429" s="120" t="s">
        <v>149</v>
      </c>
      <c r="D429" s="120" t="s">
        <v>1214</v>
      </c>
      <c r="E429" s="139" t="s">
        <v>1215</v>
      </c>
      <c r="F429" s="139" t="s">
        <v>1216</v>
      </c>
      <c r="G429" s="67" t="s">
        <v>1020</v>
      </c>
      <c r="H429" s="139" t="s">
        <v>711</v>
      </c>
      <c r="I429" s="139" t="s">
        <v>1217</v>
      </c>
      <c r="J429" s="95"/>
      <c r="K429" s="228">
        <f t="shared" si="101"/>
        <v>22</v>
      </c>
      <c r="L429" s="269">
        <v>22</v>
      </c>
      <c r="M429" s="269"/>
      <c r="N429" s="269"/>
      <c r="O429" s="269">
        <v>1</v>
      </c>
      <c r="P429" s="269"/>
      <c r="Q429" s="269"/>
      <c r="R429" s="269"/>
      <c r="S429" s="167" t="s">
        <v>1218</v>
      </c>
      <c r="T429" s="70"/>
      <c r="U429" s="238">
        <f t="shared" si="102"/>
        <v>4.1093449733464954E-3</v>
      </c>
      <c r="V429" s="238">
        <f t="shared" si="103"/>
        <v>0</v>
      </c>
      <c r="W429" s="238">
        <f t="shared" si="104"/>
        <v>4.1093449733464954E-3</v>
      </c>
      <c r="X429" s="238">
        <f t="shared" si="105"/>
        <v>0</v>
      </c>
      <c r="Y429" s="238">
        <f t="shared" si="106"/>
        <v>0</v>
      </c>
      <c r="Z429" s="82">
        <v>4.1093449733464954E-3</v>
      </c>
      <c r="AA429" s="82"/>
      <c r="AB429" s="82">
        <v>4.1093449733464954E-3</v>
      </c>
      <c r="AC429" s="82"/>
      <c r="AD429" s="83"/>
      <c r="AE429" s="233"/>
      <c r="AF429" s="72"/>
      <c r="AG429" s="170">
        <v>2.7450000000000001</v>
      </c>
      <c r="AH429" s="73">
        <v>1.1280151951836131E-2</v>
      </c>
      <c r="AI429" s="73">
        <v>0</v>
      </c>
      <c r="AJ429" s="73">
        <v>1.1280151951836131E-2</v>
      </c>
      <c r="AK429" s="73">
        <v>0</v>
      </c>
      <c r="AL429" s="129">
        <v>0</v>
      </c>
      <c r="AM429" s="202">
        <f t="shared" si="107"/>
        <v>6.8244199332305645E-7</v>
      </c>
      <c r="AN429" s="202">
        <f t="shared" si="108"/>
        <v>0</v>
      </c>
      <c r="AO429" s="202">
        <f t="shared" si="109"/>
        <v>6.8244199332305645E-7</v>
      </c>
      <c r="AP429" s="202">
        <f t="shared" si="110"/>
        <v>0</v>
      </c>
      <c r="AQ429" s="202">
        <f t="shared" si="111"/>
        <v>0</v>
      </c>
      <c r="AR429" s="206" t="s">
        <v>1212</v>
      </c>
      <c r="AS429" s="207" t="s">
        <v>1661</v>
      </c>
      <c r="AT429" s="234">
        <v>312140</v>
      </c>
      <c r="AU429" s="244">
        <f t="shared" si="112"/>
        <v>1.1280151951836131E-2</v>
      </c>
      <c r="AV429" s="244">
        <f t="shared" si="113"/>
        <v>0</v>
      </c>
      <c r="AW429" s="244">
        <f t="shared" si="114"/>
        <v>1.1280151951836131E-2</v>
      </c>
      <c r="AX429" s="244">
        <f t="shared" si="115"/>
        <v>0</v>
      </c>
      <c r="AY429" s="244">
        <f t="shared" si="116"/>
        <v>0</v>
      </c>
      <c r="AZ429">
        <v>4.053962965619454E-5</v>
      </c>
    </row>
    <row r="430" spans="1:52" s="237" customFormat="1" ht="15.75" customHeight="1" x14ac:dyDescent="0.35">
      <c r="A430" s="139" t="s">
        <v>1212</v>
      </c>
      <c r="B430" s="67" t="s">
        <v>1213</v>
      </c>
      <c r="C430" s="120" t="s">
        <v>48</v>
      </c>
      <c r="D430" s="120" t="s">
        <v>1219</v>
      </c>
      <c r="E430" s="139" t="s">
        <v>1220</v>
      </c>
      <c r="F430" s="139" t="s">
        <v>1221</v>
      </c>
      <c r="G430" s="67" t="s">
        <v>1020</v>
      </c>
      <c r="H430" s="139" t="s">
        <v>1222</v>
      </c>
      <c r="I430" s="139" t="s">
        <v>1223</v>
      </c>
      <c r="J430" s="105">
        <v>0.85</v>
      </c>
      <c r="K430" s="228">
        <v>60</v>
      </c>
      <c r="L430" s="269"/>
      <c r="M430" s="269"/>
      <c r="N430" s="269"/>
      <c r="O430" s="269">
        <v>1</v>
      </c>
      <c r="P430" s="269"/>
      <c r="Q430" s="269"/>
      <c r="R430" s="269"/>
      <c r="S430" s="165" t="s">
        <v>1218</v>
      </c>
      <c r="T430" s="70"/>
      <c r="U430" s="238">
        <f t="shared" si="102"/>
        <v>1.1039828652055597</v>
      </c>
      <c r="V430" s="238">
        <f t="shared" si="103"/>
        <v>0</v>
      </c>
      <c r="W430" s="238">
        <f t="shared" si="104"/>
        <v>0.83713227599887163</v>
      </c>
      <c r="X430" s="238">
        <f t="shared" si="105"/>
        <v>0</v>
      </c>
      <c r="Y430" s="238">
        <f t="shared" si="106"/>
        <v>0.26685058920668803</v>
      </c>
      <c r="Z430" s="158">
        <v>1.1039828652055597</v>
      </c>
      <c r="AA430" s="70"/>
      <c r="AB430" s="70">
        <v>0.83713227599887163</v>
      </c>
      <c r="AC430" s="70"/>
      <c r="AD430" s="71">
        <v>0.26685058920668803</v>
      </c>
      <c r="AE430" s="120" t="s">
        <v>1099</v>
      </c>
      <c r="AF430" s="121">
        <v>1</v>
      </c>
      <c r="AG430" s="170">
        <v>2.7450000000000001</v>
      </c>
      <c r="AH430" s="73">
        <v>3.0304329649892612</v>
      </c>
      <c r="AI430" s="73">
        <v>0</v>
      </c>
      <c r="AJ430" s="73">
        <v>2.2979280976169028</v>
      </c>
      <c r="AK430" s="73">
        <v>0</v>
      </c>
      <c r="AL430" s="129">
        <v>0.73250486737235865</v>
      </c>
      <c r="AM430" s="202">
        <f t="shared" si="107"/>
        <v>1.8333926015265571E-4</v>
      </c>
      <c r="AN430" s="202">
        <f t="shared" si="108"/>
        <v>0</v>
      </c>
      <c r="AO430" s="202">
        <f t="shared" si="109"/>
        <v>1.3902318321123975E-4</v>
      </c>
      <c r="AP430" s="202">
        <f t="shared" si="110"/>
        <v>0</v>
      </c>
      <c r="AQ430" s="202">
        <f t="shared" si="111"/>
        <v>4.4316076941415967E-5</v>
      </c>
      <c r="AR430" s="217" t="s">
        <v>1212</v>
      </c>
      <c r="AS430" s="207" t="s">
        <v>1661</v>
      </c>
      <c r="AT430" s="234">
        <v>312140</v>
      </c>
      <c r="AU430" s="244">
        <f t="shared" si="112"/>
        <v>3.0304329649892612</v>
      </c>
      <c r="AV430" s="244">
        <f t="shared" si="113"/>
        <v>0</v>
      </c>
      <c r="AW430" s="244">
        <f t="shared" si="114"/>
        <v>2.2979280976169028</v>
      </c>
      <c r="AX430" s="244">
        <f t="shared" si="115"/>
        <v>0</v>
      </c>
      <c r="AY430" s="244">
        <f t="shared" si="116"/>
        <v>0.73250486737235865</v>
      </c>
      <c r="AZ430" s="237">
        <v>1.0891043899332474E-2</v>
      </c>
    </row>
    <row r="431" spans="1:52" ht="15.75" customHeight="1" x14ac:dyDescent="0.35">
      <c r="A431" s="139" t="s">
        <v>1212</v>
      </c>
      <c r="B431" s="67" t="s">
        <v>1213</v>
      </c>
      <c r="C431" s="120" t="s">
        <v>48</v>
      </c>
      <c r="D431" s="120" t="s">
        <v>378</v>
      </c>
      <c r="E431" s="139" t="s">
        <v>1224</v>
      </c>
      <c r="F431" s="139" t="s">
        <v>1225</v>
      </c>
      <c r="G431" s="67" t="s">
        <v>1020</v>
      </c>
      <c r="H431" s="139" t="s">
        <v>1198</v>
      </c>
      <c r="I431" s="171" t="s">
        <v>1226</v>
      </c>
      <c r="J431" s="105">
        <v>0.78</v>
      </c>
      <c r="K431" s="228">
        <f>AVERAGE(16,27)</f>
        <v>21.5</v>
      </c>
      <c r="L431" s="269" t="s">
        <v>1227</v>
      </c>
      <c r="M431" s="269"/>
      <c r="N431" s="269"/>
      <c r="O431" s="269">
        <v>1</v>
      </c>
      <c r="P431" s="269"/>
      <c r="Q431" s="269"/>
      <c r="R431" s="269"/>
      <c r="S431" s="165" t="s">
        <v>1218</v>
      </c>
      <c r="T431" s="70"/>
      <c r="U431" s="238">
        <f t="shared" si="102"/>
        <v>5.3492908982803074E-2</v>
      </c>
      <c r="V431" s="238">
        <f t="shared" si="103"/>
        <v>0</v>
      </c>
      <c r="W431" s="238">
        <f t="shared" si="104"/>
        <v>4.6376893270624726E-2</v>
      </c>
      <c r="X431" s="238">
        <f t="shared" si="105"/>
        <v>0</v>
      </c>
      <c r="Y431" s="238">
        <f t="shared" si="106"/>
        <v>7.1160157121783474E-3</v>
      </c>
      <c r="Z431" s="158">
        <v>5.3492908982803074E-2</v>
      </c>
      <c r="AA431" s="70"/>
      <c r="AB431" s="70">
        <v>4.6376893270624726E-2</v>
      </c>
      <c r="AC431" s="70"/>
      <c r="AD431" s="71">
        <v>7.1160157121783474E-3</v>
      </c>
      <c r="AE431" s="120" t="s">
        <v>1099</v>
      </c>
      <c r="AF431" s="121">
        <v>1</v>
      </c>
      <c r="AG431" s="170">
        <v>2.7450000000000001</v>
      </c>
      <c r="AH431" s="73">
        <v>0.14683803515779445</v>
      </c>
      <c r="AI431" s="73">
        <v>0</v>
      </c>
      <c r="AJ431" s="73">
        <v>0.12730457202786488</v>
      </c>
      <c r="AK431" s="73">
        <v>0</v>
      </c>
      <c r="AL431" s="129">
        <v>1.9533463129929565E-2</v>
      </c>
      <c r="AM431" s="202">
        <f t="shared" si="107"/>
        <v>8.8836074049884427E-6</v>
      </c>
      <c r="AN431" s="202">
        <f t="shared" si="108"/>
        <v>0</v>
      </c>
      <c r="AO431" s="202">
        <f t="shared" si="109"/>
        <v>7.7018453532173497E-6</v>
      </c>
      <c r="AP431" s="202">
        <f t="shared" si="110"/>
        <v>0</v>
      </c>
      <c r="AQ431" s="202">
        <f t="shared" si="111"/>
        <v>1.1817620517710926E-6</v>
      </c>
      <c r="AR431" s="217" t="s">
        <v>1212</v>
      </c>
      <c r="AS431" s="207" t="s">
        <v>1661</v>
      </c>
      <c r="AT431" s="234">
        <v>312140</v>
      </c>
      <c r="AU431" s="244">
        <f t="shared" si="112"/>
        <v>0.14683803515779445</v>
      </c>
      <c r="AV431" s="244">
        <f t="shared" si="113"/>
        <v>0</v>
      </c>
      <c r="AW431" s="244">
        <f t="shared" si="114"/>
        <v>0.12730457202786488</v>
      </c>
      <c r="AX431" s="244">
        <f t="shared" si="115"/>
        <v>0</v>
      </c>
      <c r="AY431" s="244">
        <f t="shared" si="116"/>
        <v>1.9533463129929565E-2</v>
      </c>
      <c r="AZ431">
        <v>5.2771980290312469E-4</v>
      </c>
    </row>
    <row r="432" spans="1:52" ht="15.75" customHeight="1" x14ac:dyDescent="0.35">
      <c r="A432" s="139" t="s">
        <v>1212</v>
      </c>
      <c r="B432" s="67" t="s">
        <v>1213</v>
      </c>
      <c r="C432" s="120" t="s">
        <v>74</v>
      </c>
      <c r="D432" s="120" t="s">
        <v>83</v>
      </c>
      <c r="E432" s="139" t="s">
        <v>1228</v>
      </c>
      <c r="F432" s="139" t="s">
        <v>1229</v>
      </c>
      <c r="G432" s="67" t="s">
        <v>1020</v>
      </c>
      <c r="H432" s="139" t="s">
        <v>83</v>
      </c>
      <c r="I432" s="139" t="s">
        <v>1230</v>
      </c>
      <c r="J432" s="76" t="s">
        <v>87</v>
      </c>
      <c r="K432" s="228">
        <f>N432</f>
        <v>95.2</v>
      </c>
      <c r="L432" s="269"/>
      <c r="M432" s="269"/>
      <c r="N432" s="269">
        <v>95.2</v>
      </c>
      <c r="O432" s="269"/>
      <c r="P432" s="269"/>
      <c r="Q432" s="269">
        <v>1.9</v>
      </c>
      <c r="R432" s="269"/>
      <c r="S432" s="165" t="s">
        <v>1218</v>
      </c>
      <c r="T432" s="70"/>
      <c r="U432" s="238">
        <f t="shared" si="102"/>
        <v>7.2369258499030433</v>
      </c>
      <c r="V432" s="238">
        <f t="shared" si="103"/>
        <v>0</v>
      </c>
      <c r="W432" s="238">
        <f t="shared" si="104"/>
        <v>0.70798143397941038</v>
      </c>
      <c r="X432" s="238">
        <f t="shared" si="105"/>
        <v>0</v>
      </c>
      <c r="Y432" s="238">
        <f t="shared" si="106"/>
        <v>6.5289444159236334</v>
      </c>
      <c r="Z432" s="158">
        <v>7.2369258499030433</v>
      </c>
      <c r="AA432" s="70"/>
      <c r="AB432" s="70">
        <v>0.70798143397941038</v>
      </c>
      <c r="AC432" s="70"/>
      <c r="AD432" s="71">
        <v>6.5289444159236334</v>
      </c>
      <c r="AE432" s="120" t="s">
        <v>1099</v>
      </c>
      <c r="AF432" s="121">
        <v>1</v>
      </c>
      <c r="AG432" s="170">
        <v>2.7450000000000001</v>
      </c>
      <c r="AH432" s="73">
        <v>19.865361457983855</v>
      </c>
      <c r="AI432" s="73">
        <v>0</v>
      </c>
      <c r="AJ432" s="73">
        <v>1.9434090362734815</v>
      </c>
      <c r="AK432" s="73">
        <v>0</v>
      </c>
      <c r="AL432" s="129">
        <v>17.921952421710376</v>
      </c>
      <c r="AM432" s="202">
        <f t="shared" si="107"/>
        <v>1.2018416887782067E-3</v>
      </c>
      <c r="AN432" s="202">
        <f t="shared" si="108"/>
        <v>0</v>
      </c>
      <c r="AO432" s="202">
        <f t="shared" si="109"/>
        <v>1.175750062782294E-4</v>
      </c>
      <c r="AP432" s="202">
        <f t="shared" si="110"/>
        <v>0</v>
      </c>
      <c r="AQ432" s="202">
        <f t="shared" si="111"/>
        <v>1.0842666824999775E-3</v>
      </c>
      <c r="AR432" s="217" t="s">
        <v>1212</v>
      </c>
      <c r="AS432" s="207" t="s">
        <v>1661</v>
      </c>
      <c r="AT432" s="234">
        <v>312140</v>
      </c>
      <c r="AU432" s="244">
        <f t="shared" si="112"/>
        <v>19.865361457983855</v>
      </c>
      <c r="AV432" s="244">
        <f t="shared" si="113"/>
        <v>0</v>
      </c>
      <c r="AW432" s="244">
        <f t="shared" si="114"/>
        <v>1.9434090362734815</v>
      </c>
      <c r="AX432" s="244">
        <f t="shared" si="115"/>
        <v>0</v>
      </c>
      <c r="AY432" s="244">
        <f t="shared" si="116"/>
        <v>17.921952421710376</v>
      </c>
      <c r="AZ432">
        <v>7.1393931565081239E-2</v>
      </c>
    </row>
    <row r="433" spans="1:52" ht="15.75" customHeight="1" x14ac:dyDescent="0.35">
      <c r="A433" s="139" t="s">
        <v>1212</v>
      </c>
      <c r="B433" s="67" t="s">
        <v>1213</v>
      </c>
      <c r="C433" s="120" t="s">
        <v>124</v>
      </c>
      <c r="D433" s="120" t="s">
        <v>1231</v>
      </c>
      <c r="E433" s="139" t="s">
        <v>1232</v>
      </c>
      <c r="F433" s="139" t="s">
        <v>1233</v>
      </c>
      <c r="G433" s="67" t="s">
        <v>1020</v>
      </c>
      <c r="H433" s="139" t="s">
        <v>1234</v>
      </c>
      <c r="I433" s="139" t="s">
        <v>1235</v>
      </c>
      <c r="J433" s="95"/>
      <c r="K433" s="228">
        <v>26</v>
      </c>
      <c r="L433" s="269" t="s">
        <v>1236</v>
      </c>
      <c r="M433" s="269"/>
      <c r="N433" s="269"/>
      <c r="O433" s="269">
        <v>1</v>
      </c>
      <c r="P433" s="269"/>
      <c r="Q433" s="269"/>
      <c r="R433" s="269"/>
      <c r="S433" s="165" t="s">
        <v>1218</v>
      </c>
      <c r="T433" s="70"/>
      <c r="U433" s="238">
        <f t="shared" si="102"/>
        <v>1.2328034920039485E-2</v>
      </c>
      <c r="V433" s="238">
        <f t="shared" si="103"/>
        <v>0</v>
      </c>
      <c r="W433" s="238">
        <f t="shared" si="104"/>
        <v>1.2328034920039485E-2</v>
      </c>
      <c r="X433" s="238">
        <f t="shared" si="105"/>
        <v>0</v>
      </c>
      <c r="Y433" s="238">
        <f t="shared" si="106"/>
        <v>0</v>
      </c>
      <c r="Z433" s="158">
        <v>1.2328034920039485E-2</v>
      </c>
      <c r="AA433" s="70"/>
      <c r="AB433" s="70">
        <v>1.2328034920039485E-2</v>
      </c>
      <c r="AC433" s="70"/>
      <c r="AD433" s="71"/>
      <c r="AE433" s="233"/>
      <c r="AF433" s="72"/>
      <c r="AG433" s="170">
        <v>2.7450000000000001</v>
      </c>
      <c r="AH433" s="73">
        <v>3.3840455855508392E-2</v>
      </c>
      <c r="AI433" s="73">
        <v>0</v>
      </c>
      <c r="AJ433" s="73">
        <v>3.3840455855508392E-2</v>
      </c>
      <c r="AK433" s="73">
        <v>0</v>
      </c>
      <c r="AL433" s="129">
        <v>0</v>
      </c>
      <c r="AM433" s="202">
        <f t="shared" si="107"/>
        <v>2.0473259799691694E-6</v>
      </c>
      <c r="AN433" s="202">
        <f t="shared" si="108"/>
        <v>0</v>
      </c>
      <c r="AO433" s="202">
        <f t="shared" si="109"/>
        <v>2.0473259799691694E-6</v>
      </c>
      <c r="AP433" s="202">
        <f t="shared" si="110"/>
        <v>0</v>
      </c>
      <c r="AQ433" s="202">
        <f t="shared" si="111"/>
        <v>0</v>
      </c>
      <c r="AR433" s="217" t="s">
        <v>1212</v>
      </c>
      <c r="AS433" s="207" t="s">
        <v>1661</v>
      </c>
      <c r="AT433" s="234">
        <v>312140</v>
      </c>
      <c r="AU433" s="244">
        <f t="shared" si="112"/>
        <v>3.3840455855508392E-2</v>
      </c>
      <c r="AV433" s="244">
        <f t="shared" si="113"/>
        <v>0</v>
      </c>
      <c r="AW433" s="244">
        <f t="shared" si="114"/>
        <v>3.3840455855508392E-2</v>
      </c>
      <c r="AX433" s="244">
        <f t="shared" si="115"/>
        <v>0</v>
      </c>
      <c r="AY433" s="244">
        <f t="shared" si="116"/>
        <v>0</v>
      </c>
      <c r="AZ433">
        <v>1.2161888896858361E-4</v>
      </c>
    </row>
    <row r="434" spans="1:52" ht="15.75" customHeight="1" x14ac:dyDescent="0.35">
      <c r="A434" s="145" t="s">
        <v>1212</v>
      </c>
      <c r="B434" s="78" t="s">
        <v>1213</v>
      </c>
      <c r="C434" s="147" t="s">
        <v>124</v>
      </c>
      <c r="D434" s="147" t="s">
        <v>124</v>
      </c>
      <c r="E434" s="145" t="s">
        <v>1237</v>
      </c>
      <c r="F434" s="145" t="s">
        <v>1238</v>
      </c>
      <c r="G434" s="78" t="s">
        <v>1020</v>
      </c>
      <c r="H434" s="145" t="s">
        <v>1239</v>
      </c>
      <c r="I434" s="145" t="s">
        <v>1240</v>
      </c>
      <c r="J434" s="98"/>
      <c r="K434" s="228">
        <v>26</v>
      </c>
      <c r="L434" s="269" t="s">
        <v>1236</v>
      </c>
      <c r="M434" s="269"/>
      <c r="N434" s="269"/>
      <c r="O434" s="269">
        <v>1</v>
      </c>
      <c r="P434" s="269"/>
      <c r="Q434" s="269"/>
      <c r="R434" s="269"/>
      <c r="S434" s="165" t="s">
        <v>1218</v>
      </c>
      <c r="T434" s="82"/>
      <c r="U434" s="238">
        <f t="shared" si="102"/>
        <v>7.9838702339303333E-2</v>
      </c>
      <c r="V434" s="238">
        <f t="shared" si="103"/>
        <v>0</v>
      </c>
      <c r="W434" s="238">
        <f t="shared" si="104"/>
        <v>7.9838702339303333E-2</v>
      </c>
      <c r="X434" s="238">
        <f t="shared" si="105"/>
        <v>0</v>
      </c>
      <c r="Y434" s="238">
        <f t="shared" si="106"/>
        <v>0</v>
      </c>
      <c r="Z434" s="158">
        <v>7.9838702339303333E-2</v>
      </c>
      <c r="AA434" s="70"/>
      <c r="AB434" s="70">
        <v>7.9838702339303333E-2</v>
      </c>
      <c r="AC434" s="70"/>
      <c r="AD434" s="71"/>
      <c r="AE434" s="81"/>
      <c r="AF434" s="84"/>
      <c r="AG434" s="172">
        <v>2.7450000000000001</v>
      </c>
      <c r="AH434" s="85">
        <v>0.21915723792138767</v>
      </c>
      <c r="AI434" s="85">
        <v>0</v>
      </c>
      <c r="AJ434" s="85">
        <v>0.21915723792138767</v>
      </c>
      <c r="AK434" s="85">
        <v>0</v>
      </c>
      <c r="AL434" s="133">
        <v>0</v>
      </c>
      <c r="AM434" s="202">
        <f t="shared" si="107"/>
        <v>1.3258873013133667E-5</v>
      </c>
      <c r="AN434" s="202">
        <f t="shared" si="108"/>
        <v>0</v>
      </c>
      <c r="AO434" s="202">
        <f t="shared" si="109"/>
        <v>1.3258873013133667E-5</v>
      </c>
      <c r="AP434" s="202">
        <f t="shared" si="110"/>
        <v>0</v>
      </c>
      <c r="AQ434" s="202">
        <f t="shared" si="111"/>
        <v>0</v>
      </c>
      <c r="AR434" s="213" t="s">
        <v>1212</v>
      </c>
      <c r="AS434" s="207" t="s">
        <v>1661</v>
      </c>
      <c r="AT434" s="234">
        <v>312140</v>
      </c>
      <c r="AU434" s="244">
        <f t="shared" si="112"/>
        <v>0.21915723792138767</v>
      </c>
      <c r="AV434" s="244">
        <f t="shared" si="113"/>
        <v>0</v>
      </c>
      <c r="AW434" s="244">
        <f t="shared" si="114"/>
        <v>0.21915723792138767</v>
      </c>
      <c r="AX434" s="244">
        <f t="shared" si="115"/>
        <v>0</v>
      </c>
      <c r="AY434" s="244">
        <f t="shared" si="116"/>
        <v>0</v>
      </c>
      <c r="AZ434">
        <v>7.8762709046320816E-4</v>
      </c>
    </row>
    <row r="435" spans="1:52" ht="15.75" customHeight="1" x14ac:dyDescent="0.35">
      <c r="A435" s="139" t="s">
        <v>1241</v>
      </c>
      <c r="B435" s="67" t="s">
        <v>1242</v>
      </c>
      <c r="C435" s="120" t="s">
        <v>149</v>
      </c>
      <c r="D435" s="120" t="s">
        <v>1243</v>
      </c>
      <c r="E435" s="120" t="s">
        <v>1243</v>
      </c>
      <c r="F435" s="139" t="s">
        <v>1244</v>
      </c>
      <c r="G435" s="67" t="s">
        <v>190</v>
      </c>
      <c r="H435" s="139" t="s">
        <v>975</v>
      </c>
      <c r="I435" s="139" t="s">
        <v>1245</v>
      </c>
      <c r="J435" s="143"/>
      <c r="K435" s="228">
        <f t="shared" si="101"/>
        <v>22</v>
      </c>
      <c r="L435" s="269">
        <v>22</v>
      </c>
      <c r="M435" s="269"/>
      <c r="N435" s="269"/>
      <c r="O435" s="269">
        <v>1</v>
      </c>
      <c r="P435" s="269"/>
      <c r="Q435" s="269"/>
      <c r="R435" s="269"/>
      <c r="S435" s="167" t="s">
        <v>1246</v>
      </c>
      <c r="T435" s="70"/>
      <c r="U435" s="238">
        <f t="shared" si="102"/>
        <v>1.1135159237676525E-2</v>
      </c>
      <c r="V435" s="238">
        <f t="shared" si="103"/>
        <v>0</v>
      </c>
      <c r="W435" s="238">
        <f t="shared" si="104"/>
        <v>1.1135159237676525E-2</v>
      </c>
      <c r="X435" s="238">
        <f t="shared" si="105"/>
        <v>0</v>
      </c>
      <c r="Y435" s="238">
        <f t="shared" si="106"/>
        <v>0</v>
      </c>
      <c r="Z435" s="239">
        <v>1.1135159237676525E-2</v>
      </c>
      <c r="AA435" s="82"/>
      <c r="AB435" s="82">
        <v>1.1135159237676525E-2</v>
      </c>
      <c r="AC435" s="82"/>
      <c r="AD435" s="83">
        <v>0</v>
      </c>
      <c r="AE435" s="233"/>
      <c r="AF435" s="72"/>
      <c r="AG435" s="170">
        <v>8.0419999999999998</v>
      </c>
      <c r="AH435" s="73">
        <v>8.9548950589394605E-2</v>
      </c>
      <c r="AI435" s="73">
        <v>0</v>
      </c>
      <c r="AJ435" s="73">
        <v>8.9548950589394605E-2</v>
      </c>
      <c r="AK435" s="73">
        <v>0</v>
      </c>
      <c r="AL435" s="125">
        <v>0</v>
      </c>
      <c r="AM435" s="202">
        <f t="shared" si="107"/>
        <v>5.4176543544049352E-6</v>
      </c>
      <c r="AN435" s="202">
        <f t="shared" si="108"/>
        <v>0</v>
      </c>
      <c r="AO435" s="202">
        <f t="shared" si="109"/>
        <v>5.4176543544049352E-6</v>
      </c>
      <c r="AP435" s="202">
        <f t="shared" si="110"/>
        <v>0</v>
      </c>
      <c r="AQ435" s="202">
        <f t="shared" si="111"/>
        <v>0</v>
      </c>
      <c r="AR435" s="217" t="s">
        <v>1241</v>
      </c>
      <c r="AS435" s="226" t="s">
        <v>1660</v>
      </c>
      <c r="AT435" s="234">
        <v>311421</v>
      </c>
      <c r="AU435" s="244">
        <f t="shared" si="112"/>
        <v>8.9548950589394605E-2</v>
      </c>
      <c r="AV435" s="244">
        <f t="shared" si="113"/>
        <v>0</v>
      </c>
      <c r="AW435" s="244">
        <f t="shared" si="114"/>
        <v>8.9548950589394605E-2</v>
      </c>
      <c r="AX435" s="244">
        <f t="shared" si="115"/>
        <v>0</v>
      </c>
      <c r="AY435" s="244">
        <f t="shared" si="116"/>
        <v>0</v>
      </c>
      <c r="AZ435">
        <v>6.9056449268860312E-5</v>
      </c>
    </row>
    <row r="436" spans="1:52" ht="15.75" customHeight="1" x14ac:dyDescent="0.35">
      <c r="A436" s="139" t="s">
        <v>1241</v>
      </c>
      <c r="B436" s="67" t="s">
        <v>1242</v>
      </c>
      <c r="C436" s="120" t="s">
        <v>149</v>
      </c>
      <c r="D436" s="120" t="s">
        <v>150</v>
      </c>
      <c r="E436" s="120" t="s">
        <v>150</v>
      </c>
      <c r="F436" s="139" t="s">
        <v>1247</v>
      </c>
      <c r="G436" s="67" t="s">
        <v>190</v>
      </c>
      <c r="H436" s="139" t="s">
        <v>621</v>
      </c>
      <c r="I436" s="139" t="s">
        <v>1248</v>
      </c>
      <c r="J436" s="143"/>
      <c r="K436" s="228">
        <f t="shared" si="101"/>
        <v>22</v>
      </c>
      <c r="L436" s="269">
        <v>22</v>
      </c>
      <c r="M436" s="269"/>
      <c r="N436" s="269"/>
      <c r="O436" s="269">
        <v>1</v>
      </c>
      <c r="P436" s="269"/>
      <c r="Q436" s="269"/>
      <c r="R436" s="269"/>
      <c r="S436" s="165" t="s">
        <v>1246</v>
      </c>
      <c r="T436" s="70"/>
      <c r="U436" s="238">
        <f t="shared" si="102"/>
        <v>0.63113116908484945</v>
      </c>
      <c r="V436" s="238">
        <f t="shared" si="103"/>
        <v>0</v>
      </c>
      <c r="W436" s="238">
        <f t="shared" si="104"/>
        <v>1.5589222932747136E-2</v>
      </c>
      <c r="X436" s="238">
        <f t="shared" si="105"/>
        <v>0</v>
      </c>
      <c r="Y436" s="238">
        <f t="shared" si="106"/>
        <v>0.61554194615210234</v>
      </c>
      <c r="Z436" s="70">
        <v>0.63113116908484945</v>
      </c>
      <c r="AA436" s="70"/>
      <c r="AB436" s="70">
        <v>1.5589222932747136E-2</v>
      </c>
      <c r="AC436" s="70"/>
      <c r="AD436" s="71">
        <v>0.61554194615210234</v>
      </c>
      <c r="AE436" s="233"/>
      <c r="AF436" s="72"/>
      <c r="AG436" s="170">
        <v>8.0419999999999998</v>
      </c>
      <c r="AH436" s="73">
        <v>5.0755568617803588</v>
      </c>
      <c r="AI436" s="73">
        <v>0</v>
      </c>
      <c r="AJ436" s="73">
        <v>0.12536853082515248</v>
      </c>
      <c r="AK436" s="73">
        <v>0</v>
      </c>
      <c r="AL436" s="129">
        <v>4.9501883309552071</v>
      </c>
      <c r="AM436" s="202">
        <f t="shared" si="107"/>
        <v>3.0706795057083321E-4</v>
      </c>
      <c r="AN436" s="202">
        <f t="shared" si="108"/>
        <v>0</v>
      </c>
      <c r="AO436" s="202">
        <f t="shared" si="109"/>
        <v>7.5847160961669107E-6</v>
      </c>
      <c r="AP436" s="202">
        <f t="shared" si="110"/>
        <v>0</v>
      </c>
      <c r="AQ436" s="202">
        <f t="shared" si="111"/>
        <v>2.9948323447466632E-4</v>
      </c>
      <c r="AR436" s="217" t="s">
        <v>1241</v>
      </c>
      <c r="AS436" s="226" t="s">
        <v>1660</v>
      </c>
      <c r="AT436" s="234">
        <v>311421</v>
      </c>
      <c r="AU436" s="244">
        <f t="shared" si="112"/>
        <v>5.0755568617803588</v>
      </c>
      <c r="AV436" s="244">
        <f t="shared" si="113"/>
        <v>0</v>
      </c>
      <c r="AW436" s="244">
        <f t="shared" si="114"/>
        <v>0.12536853082515248</v>
      </c>
      <c r="AX436" s="244">
        <f t="shared" si="115"/>
        <v>0</v>
      </c>
      <c r="AY436" s="244">
        <f t="shared" si="116"/>
        <v>4.9501883309552071</v>
      </c>
      <c r="AZ436">
        <v>3.9140596582073325E-3</v>
      </c>
    </row>
    <row r="437" spans="1:52" ht="15.75" customHeight="1" x14ac:dyDescent="0.35">
      <c r="A437" s="139" t="s">
        <v>1241</v>
      </c>
      <c r="B437" s="67" t="s">
        <v>1242</v>
      </c>
      <c r="C437" s="67" t="s">
        <v>99</v>
      </c>
      <c r="D437" s="120" t="s">
        <v>1133</v>
      </c>
      <c r="E437" s="120" t="s">
        <v>1249</v>
      </c>
      <c r="F437" s="139" t="s">
        <v>1250</v>
      </c>
      <c r="G437" s="67" t="s">
        <v>190</v>
      </c>
      <c r="H437" s="139" t="s">
        <v>1251</v>
      </c>
      <c r="I437" s="139" t="s">
        <v>1252</v>
      </c>
      <c r="J437" s="143" t="s">
        <v>1027</v>
      </c>
      <c r="K437" s="228">
        <f t="shared" si="101"/>
        <v>22</v>
      </c>
      <c r="L437" s="269">
        <v>22</v>
      </c>
      <c r="M437" s="269"/>
      <c r="N437" s="269"/>
      <c r="O437" s="269">
        <v>1</v>
      </c>
      <c r="P437" s="269"/>
      <c r="Q437" s="269"/>
      <c r="R437" s="269"/>
      <c r="S437" s="165" t="s">
        <v>1246</v>
      </c>
      <c r="T437" s="70"/>
      <c r="U437" s="238">
        <f t="shared" si="102"/>
        <v>2.6724382170423663E-2</v>
      </c>
      <c r="V437" s="238">
        <f t="shared" si="103"/>
        <v>0</v>
      </c>
      <c r="W437" s="238">
        <f t="shared" si="104"/>
        <v>2.6724382170423663E-2</v>
      </c>
      <c r="X437" s="238">
        <f t="shared" si="105"/>
        <v>0</v>
      </c>
      <c r="Y437" s="238">
        <f t="shared" si="106"/>
        <v>0</v>
      </c>
      <c r="Z437" s="70">
        <v>2.6724382170423663E-2</v>
      </c>
      <c r="AA437" s="70"/>
      <c r="AB437" s="70">
        <v>2.6724382170423663E-2</v>
      </c>
      <c r="AC437" s="70"/>
      <c r="AD437" s="71">
        <v>0</v>
      </c>
      <c r="AE437" s="233"/>
      <c r="AF437" s="72"/>
      <c r="AG437" s="170">
        <v>8.0419999999999998</v>
      </c>
      <c r="AH437" s="73">
        <v>0.21491748141454708</v>
      </c>
      <c r="AI437" s="73">
        <v>0</v>
      </c>
      <c r="AJ437" s="73">
        <v>0.21491748141454708</v>
      </c>
      <c r="AK437" s="73">
        <v>0</v>
      </c>
      <c r="AL437" s="129">
        <v>0</v>
      </c>
      <c r="AM437" s="202">
        <f t="shared" si="107"/>
        <v>1.3002370450571847E-5</v>
      </c>
      <c r="AN437" s="202">
        <f t="shared" si="108"/>
        <v>0</v>
      </c>
      <c r="AO437" s="202">
        <f t="shared" si="109"/>
        <v>1.3002370450571847E-5</v>
      </c>
      <c r="AP437" s="202">
        <f t="shared" si="110"/>
        <v>0</v>
      </c>
      <c r="AQ437" s="202">
        <f t="shared" si="111"/>
        <v>0</v>
      </c>
      <c r="AR437" s="217" t="s">
        <v>1241</v>
      </c>
      <c r="AS437" s="226" t="s">
        <v>1660</v>
      </c>
      <c r="AT437" s="234">
        <v>311421</v>
      </c>
      <c r="AU437" s="244">
        <f t="shared" si="112"/>
        <v>0.21491748141454708</v>
      </c>
      <c r="AV437" s="244">
        <f t="shared" si="113"/>
        <v>0</v>
      </c>
      <c r="AW437" s="244">
        <f t="shared" si="114"/>
        <v>0.21491748141454708</v>
      </c>
      <c r="AX437" s="244">
        <f t="shared" si="115"/>
        <v>0</v>
      </c>
      <c r="AY437" s="244">
        <f t="shared" si="116"/>
        <v>0</v>
      </c>
      <c r="AZ437">
        <v>1.6573547824526476E-4</v>
      </c>
    </row>
    <row r="438" spans="1:52" ht="15.75" customHeight="1" x14ac:dyDescent="0.35">
      <c r="A438" s="139" t="s">
        <v>1241</v>
      </c>
      <c r="B438" s="67" t="s">
        <v>1242</v>
      </c>
      <c r="C438" s="120" t="s">
        <v>92</v>
      </c>
      <c r="D438" s="120" t="s">
        <v>229</v>
      </c>
      <c r="E438" s="120" t="s">
        <v>1253</v>
      </c>
      <c r="F438" s="139" t="s">
        <v>1254</v>
      </c>
      <c r="G438" s="67" t="s">
        <v>190</v>
      </c>
      <c r="H438" s="139" t="s">
        <v>1255</v>
      </c>
      <c r="I438" s="139" t="s">
        <v>1256</v>
      </c>
      <c r="J438" s="143"/>
      <c r="K438" s="228">
        <f>AVERAGE(71,100)</f>
        <v>85.5</v>
      </c>
      <c r="L438" s="269" t="s">
        <v>1257</v>
      </c>
      <c r="M438" s="269"/>
      <c r="N438" s="269"/>
      <c r="O438" s="269">
        <v>1</v>
      </c>
      <c r="P438" s="269"/>
      <c r="Q438" s="269"/>
      <c r="R438" s="269"/>
      <c r="S438" s="165" t="s">
        <v>1246</v>
      </c>
      <c r="T438" s="70"/>
      <c r="U438" s="238">
        <f t="shared" si="102"/>
        <v>0.56731976603880407</v>
      </c>
      <c r="V438" s="238">
        <f t="shared" si="103"/>
        <v>0</v>
      </c>
      <c r="W438" s="238">
        <f t="shared" si="104"/>
        <v>0</v>
      </c>
      <c r="X438" s="238">
        <f t="shared" si="105"/>
        <v>0</v>
      </c>
      <c r="Y438" s="238">
        <f t="shared" si="106"/>
        <v>0.56731976603880407</v>
      </c>
      <c r="Z438" s="70">
        <v>0.56731976603880407</v>
      </c>
      <c r="AA438" s="70"/>
      <c r="AB438" s="70">
        <v>0</v>
      </c>
      <c r="AC438" s="70"/>
      <c r="AD438" s="71">
        <v>0.56731976603880407</v>
      </c>
      <c r="AE438" s="120" t="s">
        <v>1099</v>
      </c>
      <c r="AF438" s="121">
        <v>1</v>
      </c>
      <c r="AG438" s="170">
        <v>8.0419999999999998</v>
      </c>
      <c r="AH438" s="73">
        <v>4.5623855584840625</v>
      </c>
      <c r="AI438" s="73">
        <v>0</v>
      </c>
      <c r="AJ438" s="73">
        <v>0</v>
      </c>
      <c r="AK438" s="73">
        <v>0</v>
      </c>
      <c r="AL438" s="129">
        <v>4.5623855584840625</v>
      </c>
      <c r="AM438" s="202">
        <f t="shared" si="107"/>
        <v>2.7602141426236534E-4</v>
      </c>
      <c r="AN438" s="202">
        <f t="shared" si="108"/>
        <v>0</v>
      </c>
      <c r="AO438" s="202">
        <f t="shared" si="109"/>
        <v>0</v>
      </c>
      <c r="AP438" s="202">
        <f t="shared" si="110"/>
        <v>0</v>
      </c>
      <c r="AQ438" s="202">
        <f t="shared" si="111"/>
        <v>2.7602141426236534E-4</v>
      </c>
      <c r="AR438" s="217" t="s">
        <v>1241</v>
      </c>
      <c r="AS438" s="226" t="s">
        <v>1660</v>
      </c>
      <c r="AT438" s="234">
        <v>311421</v>
      </c>
      <c r="AU438" s="244">
        <f t="shared" si="112"/>
        <v>4.5623855584840625</v>
      </c>
      <c r="AV438" s="244">
        <f t="shared" si="113"/>
        <v>0</v>
      </c>
      <c r="AW438" s="244">
        <f t="shared" si="114"/>
        <v>0</v>
      </c>
      <c r="AX438" s="244">
        <f t="shared" si="115"/>
        <v>0</v>
      </c>
      <c r="AY438" s="244">
        <f t="shared" si="116"/>
        <v>4.5623855584840625</v>
      </c>
      <c r="AZ438">
        <v>3.5183231605815019E-3</v>
      </c>
    </row>
    <row r="439" spans="1:52" ht="15.75" customHeight="1" x14ac:dyDescent="0.35">
      <c r="A439" s="139" t="s">
        <v>1241</v>
      </c>
      <c r="B439" s="67" t="s">
        <v>1242</v>
      </c>
      <c r="C439" s="67" t="s">
        <v>99</v>
      </c>
      <c r="D439" s="120" t="s">
        <v>1258</v>
      </c>
      <c r="E439" s="120" t="s">
        <v>1258</v>
      </c>
      <c r="F439" s="139" t="s">
        <v>1259</v>
      </c>
      <c r="G439" s="67" t="s">
        <v>190</v>
      </c>
      <c r="H439" s="139" t="s">
        <v>1260</v>
      </c>
      <c r="I439" s="139" t="s">
        <v>1261</v>
      </c>
      <c r="J439" s="143"/>
      <c r="K439" s="228">
        <f t="shared" si="101"/>
        <v>22</v>
      </c>
      <c r="L439" s="269">
        <v>22</v>
      </c>
      <c r="M439" s="269"/>
      <c r="N439" s="269"/>
      <c r="O439" s="269">
        <v>1</v>
      </c>
      <c r="P439" s="269"/>
      <c r="Q439" s="269"/>
      <c r="R439" s="269"/>
      <c r="S439" s="165" t="s">
        <v>1246</v>
      </c>
      <c r="T439" s="70"/>
      <c r="U439" s="238">
        <f t="shared" si="102"/>
        <v>1.5589222932747136E-2</v>
      </c>
      <c r="V439" s="238">
        <f t="shared" si="103"/>
        <v>0</v>
      </c>
      <c r="W439" s="238">
        <f t="shared" si="104"/>
        <v>1.5589222932747136E-2</v>
      </c>
      <c r="X439" s="238">
        <f t="shared" si="105"/>
        <v>0</v>
      </c>
      <c r="Y439" s="238">
        <f t="shared" si="106"/>
        <v>0</v>
      </c>
      <c r="Z439" s="70">
        <v>1.5589222932747136E-2</v>
      </c>
      <c r="AA439" s="70"/>
      <c r="AB439" s="70">
        <v>1.5589222932747136E-2</v>
      </c>
      <c r="AC439" s="70"/>
      <c r="AD439" s="71">
        <v>0</v>
      </c>
      <c r="AE439" s="233"/>
      <c r="AF439" s="72"/>
      <c r="AG439" s="170">
        <v>8.0419999999999998</v>
      </c>
      <c r="AH439" s="73">
        <v>0.12536853082515248</v>
      </c>
      <c r="AI439" s="73">
        <v>0</v>
      </c>
      <c r="AJ439" s="73">
        <v>0.12536853082515248</v>
      </c>
      <c r="AK439" s="73">
        <v>0</v>
      </c>
      <c r="AL439" s="129">
        <v>0</v>
      </c>
      <c r="AM439" s="202">
        <f t="shared" si="107"/>
        <v>7.5847160961669107E-6</v>
      </c>
      <c r="AN439" s="202">
        <f t="shared" si="108"/>
        <v>0</v>
      </c>
      <c r="AO439" s="202">
        <f t="shared" si="109"/>
        <v>7.5847160961669107E-6</v>
      </c>
      <c r="AP439" s="202">
        <f t="shared" si="110"/>
        <v>0</v>
      </c>
      <c r="AQ439" s="202">
        <f t="shared" si="111"/>
        <v>0</v>
      </c>
      <c r="AR439" s="217" t="s">
        <v>1241</v>
      </c>
      <c r="AS439" s="226" t="s">
        <v>1660</v>
      </c>
      <c r="AT439" s="234">
        <v>311421</v>
      </c>
      <c r="AU439" s="244">
        <f t="shared" si="112"/>
        <v>0.12536853082515248</v>
      </c>
      <c r="AV439" s="244">
        <f t="shared" si="113"/>
        <v>0</v>
      </c>
      <c r="AW439" s="244">
        <f t="shared" si="114"/>
        <v>0.12536853082515248</v>
      </c>
      <c r="AX439" s="244">
        <f t="shared" si="115"/>
        <v>0</v>
      </c>
      <c r="AY439" s="244">
        <f t="shared" si="116"/>
        <v>0</v>
      </c>
      <c r="AZ439">
        <v>9.6679028976404461E-5</v>
      </c>
    </row>
    <row r="440" spans="1:52" ht="15.75" customHeight="1" x14ac:dyDescent="0.35">
      <c r="A440" s="139" t="s">
        <v>1241</v>
      </c>
      <c r="B440" s="67" t="s">
        <v>1242</v>
      </c>
      <c r="C440" s="67" t="s">
        <v>99</v>
      </c>
      <c r="D440" s="120" t="s">
        <v>593</v>
      </c>
      <c r="E440" s="120" t="s">
        <v>593</v>
      </c>
      <c r="F440" s="139" t="s">
        <v>1262</v>
      </c>
      <c r="G440" s="67" t="s">
        <v>190</v>
      </c>
      <c r="H440" s="139" t="s">
        <v>1263</v>
      </c>
      <c r="I440" s="139" t="s">
        <v>1263</v>
      </c>
      <c r="J440" s="143"/>
      <c r="K440" s="228">
        <f t="shared" si="101"/>
        <v>22</v>
      </c>
      <c r="L440" s="269">
        <v>22</v>
      </c>
      <c r="M440" s="269"/>
      <c r="N440" s="269"/>
      <c r="O440" s="269">
        <v>1</v>
      </c>
      <c r="P440" s="269"/>
      <c r="Q440" s="269"/>
      <c r="R440" s="269"/>
      <c r="S440" s="165" t="s">
        <v>1246</v>
      </c>
      <c r="T440" s="70"/>
      <c r="U440" s="238">
        <f t="shared" si="102"/>
        <v>1.5589222932747136E-2</v>
      </c>
      <c r="V440" s="238">
        <f t="shared" si="103"/>
        <v>0</v>
      </c>
      <c r="W440" s="238">
        <f t="shared" si="104"/>
        <v>1.5589222932747136E-2</v>
      </c>
      <c r="X440" s="238">
        <f t="shared" si="105"/>
        <v>0</v>
      </c>
      <c r="Y440" s="238">
        <f t="shared" si="106"/>
        <v>0</v>
      </c>
      <c r="Z440" s="70">
        <v>1.5589222932747136E-2</v>
      </c>
      <c r="AA440" s="70"/>
      <c r="AB440" s="70">
        <v>1.5589222932747136E-2</v>
      </c>
      <c r="AC440" s="70"/>
      <c r="AD440" s="71">
        <v>0</v>
      </c>
      <c r="AE440" s="233"/>
      <c r="AF440" s="72"/>
      <c r="AG440" s="170">
        <v>8.0419999999999998</v>
      </c>
      <c r="AH440" s="73">
        <v>0.12536853082515248</v>
      </c>
      <c r="AI440" s="73">
        <v>0</v>
      </c>
      <c r="AJ440" s="73">
        <v>0.12536853082515248</v>
      </c>
      <c r="AK440" s="73">
        <v>0</v>
      </c>
      <c r="AL440" s="129">
        <v>0</v>
      </c>
      <c r="AM440" s="202">
        <f t="shared" si="107"/>
        <v>7.5847160961669107E-6</v>
      </c>
      <c r="AN440" s="202">
        <f t="shared" si="108"/>
        <v>0</v>
      </c>
      <c r="AO440" s="202">
        <f t="shared" si="109"/>
        <v>7.5847160961669107E-6</v>
      </c>
      <c r="AP440" s="202">
        <f t="shared" si="110"/>
        <v>0</v>
      </c>
      <c r="AQ440" s="202">
        <f t="shared" si="111"/>
        <v>0</v>
      </c>
      <c r="AR440" s="217" t="s">
        <v>1241</v>
      </c>
      <c r="AS440" s="226" t="s">
        <v>1660</v>
      </c>
      <c r="AT440" s="234">
        <v>311421</v>
      </c>
      <c r="AU440" s="244">
        <f t="shared" si="112"/>
        <v>0.12536853082515248</v>
      </c>
      <c r="AV440" s="244">
        <f t="shared" si="113"/>
        <v>0</v>
      </c>
      <c r="AW440" s="244">
        <f t="shared" si="114"/>
        <v>0.12536853082515248</v>
      </c>
      <c r="AX440" s="244">
        <f t="shared" si="115"/>
        <v>0</v>
      </c>
      <c r="AY440" s="244">
        <f t="shared" si="116"/>
        <v>0</v>
      </c>
      <c r="AZ440">
        <v>9.6679028976404461E-5</v>
      </c>
    </row>
    <row r="441" spans="1:52" ht="15.75" customHeight="1" x14ac:dyDescent="0.35">
      <c r="A441" s="139" t="s">
        <v>1241</v>
      </c>
      <c r="B441" s="67" t="s">
        <v>1242</v>
      </c>
      <c r="C441" s="120" t="s">
        <v>48</v>
      </c>
      <c r="D441" s="120" t="s">
        <v>1264</v>
      </c>
      <c r="E441" s="120" t="s">
        <v>1264</v>
      </c>
      <c r="F441" s="139" t="s">
        <v>1265</v>
      </c>
      <c r="G441" s="67" t="s">
        <v>190</v>
      </c>
      <c r="H441" s="139" t="s">
        <v>1191</v>
      </c>
      <c r="I441" s="139" t="s">
        <v>1266</v>
      </c>
      <c r="J441" s="143"/>
      <c r="K441" s="228">
        <f t="shared" si="101"/>
        <v>118</v>
      </c>
      <c r="L441" s="269">
        <v>118</v>
      </c>
      <c r="M441" s="269"/>
      <c r="N441" s="269"/>
      <c r="O441" s="269">
        <v>1</v>
      </c>
      <c r="P441" s="269"/>
      <c r="Q441" s="269"/>
      <c r="R441" s="269"/>
      <c r="S441" s="165" t="s">
        <v>1246</v>
      </c>
      <c r="T441" s="70"/>
      <c r="U441" s="238">
        <f t="shared" si="102"/>
        <v>0.56731976603880407</v>
      </c>
      <c r="V441" s="238">
        <f t="shared" si="103"/>
        <v>0</v>
      </c>
      <c r="W441" s="238">
        <f t="shared" si="104"/>
        <v>0</v>
      </c>
      <c r="X441" s="238">
        <f t="shared" si="105"/>
        <v>0</v>
      </c>
      <c r="Y441" s="238">
        <f t="shared" si="106"/>
        <v>0.56731976603880407</v>
      </c>
      <c r="Z441" s="70">
        <v>0.56731976603880407</v>
      </c>
      <c r="AA441" s="70"/>
      <c r="AB441" s="70">
        <v>0</v>
      </c>
      <c r="AC441" s="70"/>
      <c r="AD441" s="71">
        <v>0.56731976603880407</v>
      </c>
      <c r="AE441" s="233"/>
      <c r="AF441" s="72"/>
      <c r="AG441" s="170">
        <v>8.0419999999999998</v>
      </c>
      <c r="AH441" s="73">
        <v>4.5623855584840625</v>
      </c>
      <c r="AI441" s="73">
        <v>0</v>
      </c>
      <c r="AJ441" s="73">
        <v>0</v>
      </c>
      <c r="AK441" s="73">
        <v>0</v>
      </c>
      <c r="AL441" s="129">
        <v>4.5623855584840625</v>
      </c>
      <c r="AM441" s="202">
        <f t="shared" si="107"/>
        <v>2.7602141426236534E-4</v>
      </c>
      <c r="AN441" s="202">
        <f t="shared" si="108"/>
        <v>0</v>
      </c>
      <c r="AO441" s="202">
        <f t="shared" si="109"/>
        <v>0</v>
      </c>
      <c r="AP441" s="202">
        <f t="shared" si="110"/>
        <v>0</v>
      </c>
      <c r="AQ441" s="202">
        <f t="shared" si="111"/>
        <v>2.7602141426236534E-4</v>
      </c>
      <c r="AR441" s="217" t="s">
        <v>1241</v>
      </c>
      <c r="AS441" s="226" t="s">
        <v>1660</v>
      </c>
      <c r="AT441" s="234">
        <v>311421</v>
      </c>
      <c r="AU441" s="244">
        <f t="shared" si="112"/>
        <v>4.5623855584840625</v>
      </c>
      <c r="AV441" s="244">
        <f t="shared" si="113"/>
        <v>0</v>
      </c>
      <c r="AW441" s="244">
        <f t="shared" si="114"/>
        <v>0</v>
      </c>
      <c r="AX441" s="244">
        <f t="shared" si="115"/>
        <v>0</v>
      </c>
      <c r="AY441" s="244">
        <f t="shared" si="116"/>
        <v>4.5623855584840625</v>
      </c>
      <c r="AZ441">
        <v>3.5183231605815019E-3</v>
      </c>
    </row>
    <row r="442" spans="1:52" s="155" customFormat="1" ht="15.75" customHeight="1" x14ac:dyDescent="0.35">
      <c r="A442" s="139" t="s">
        <v>1241</v>
      </c>
      <c r="B442" s="67" t="s">
        <v>1242</v>
      </c>
      <c r="C442" s="120" t="s">
        <v>92</v>
      </c>
      <c r="D442" s="120" t="s">
        <v>229</v>
      </c>
      <c r="E442" s="120" t="s">
        <v>286</v>
      </c>
      <c r="F442" s="139" t="s">
        <v>1267</v>
      </c>
      <c r="G442" s="67" t="s">
        <v>190</v>
      </c>
      <c r="H442" s="139" t="s">
        <v>95</v>
      </c>
      <c r="I442" s="139" t="s">
        <v>1268</v>
      </c>
      <c r="J442" s="143"/>
      <c r="K442" s="228">
        <v>85</v>
      </c>
      <c r="L442" s="269"/>
      <c r="M442" s="269"/>
      <c r="N442" s="269"/>
      <c r="O442" s="269">
        <v>1</v>
      </c>
      <c r="P442" s="269"/>
      <c r="Q442" s="269"/>
      <c r="R442" s="269"/>
      <c r="S442" s="165" t="s">
        <v>1246</v>
      </c>
      <c r="T442" s="70"/>
      <c r="U442" s="238">
        <f t="shared" si="102"/>
        <v>0.28365988301940204</v>
      </c>
      <c r="V442" s="238">
        <f t="shared" si="103"/>
        <v>0</v>
      </c>
      <c r="W442" s="238">
        <f t="shared" si="104"/>
        <v>0</v>
      </c>
      <c r="X442" s="238">
        <f t="shared" si="105"/>
        <v>0</v>
      </c>
      <c r="Y442" s="238">
        <f t="shared" si="106"/>
        <v>0.28365988301940204</v>
      </c>
      <c r="Z442" s="70">
        <v>0.28365988301940204</v>
      </c>
      <c r="AA442" s="70"/>
      <c r="AB442" s="70">
        <v>0</v>
      </c>
      <c r="AC442" s="70"/>
      <c r="AD442" s="71">
        <v>0.28365988301940204</v>
      </c>
      <c r="AE442" s="120" t="s">
        <v>1099</v>
      </c>
      <c r="AF442" s="121">
        <v>1</v>
      </c>
      <c r="AG442" s="170">
        <v>8.0419999999999998</v>
      </c>
      <c r="AH442" s="73">
        <v>2.2811927792420312</v>
      </c>
      <c r="AI442" s="73">
        <v>0</v>
      </c>
      <c r="AJ442" s="73">
        <v>0</v>
      </c>
      <c r="AK442" s="73">
        <v>0</v>
      </c>
      <c r="AL442" s="129">
        <v>2.2811927792420312</v>
      </c>
      <c r="AM442" s="202">
        <f t="shared" si="107"/>
        <v>1.3801070713118267E-4</v>
      </c>
      <c r="AN442" s="202">
        <f t="shared" si="108"/>
        <v>0</v>
      </c>
      <c r="AO442" s="202">
        <f t="shared" si="109"/>
        <v>0</v>
      </c>
      <c r="AP442" s="202">
        <f t="shared" si="110"/>
        <v>0</v>
      </c>
      <c r="AQ442" s="202">
        <f t="shared" si="111"/>
        <v>1.3801070713118267E-4</v>
      </c>
      <c r="AR442" s="217" t="s">
        <v>1241</v>
      </c>
      <c r="AS442" s="226" t="s">
        <v>1660</v>
      </c>
      <c r="AT442" s="234">
        <v>311421</v>
      </c>
      <c r="AU442" s="244">
        <f t="shared" si="112"/>
        <v>2.2811927792420312</v>
      </c>
      <c r="AV442" s="244">
        <f t="shared" si="113"/>
        <v>0</v>
      </c>
      <c r="AW442" s="244">
        <f t="shared" si="114"/>
        <v>0</v>
      </c>
      <c r="AX442" s="244">
        <f t="shared" si="115"/>
        <v>0</v>
      </c>
      <c r="AY442" s="244">
        <f t="shared" si="116"/>
        <v>2.2811927792420312</v>
      </c>
      <c r="AZ442" s="155">
        <v>1.759161580290751E-3</v>
      </c>
    </row>
    <row r="443" spans="1:52" ht="15.5" customHeight="1" x14ac:dyDescent="0.35">
      <c r="A443" s="139" t="s">
        <v>1241</v>
      </c>
      <c r="B443" s="67" t="s">
        <v>1242</v>
      </c>
      <c r="C443" s="120" t="s">
        <v>67</v>
      </c>
      <c r="D443" s="120" t="s">
        <v>67</v>
      </c>
      <c r="E443" s="120" t="s">
        <v>1269</v>
      </c>
      <c r="F443" s="139" t="s">
        <v>1270</v>
      </c>
      <c r="G443" s="67" t="s">
        <v>190</v>
      </c>
      <c r="H443" s="139" t="s">
        <v>582</v>
      </c>
      <c r="I443" s="139" t="s">
        <v>1271</v>
      </c>
      <c r="J443" s="143" t="s">
        <v>1272</v>
      </c>
      <c r="K443" s="228">
        <v>20</v>
      </c>
      <c r="L443" s="269"/>
      <c r="M443" s="269"/>
      <c r="N443" s="269"/>
      <c r="O443" s="269">
        <v>1</v>
      </c>
      <c r="P443" s="269"/>
      <c r="Q443" s="269"/>
      <c r="R443" s="269"/>
      <c r="S443" s="165" t="s">
        <v>1246</v>
      </c>
      <c r="T443" s="70"/>
      <c r="U443" s="238">
        <f t="shared" si="102"/>
        <v>1.5589222932747136E-2</v>
      </c>
      <c r="V443" s="238">
        <f t="shared" si="103"/>
        <v>0</v>
      </c>
      <c r="W443" s="238">
        <f t="shared" si="104"/>
        <v>1.5589222932747136E-2</v>
      </c>
      <c r="X443" s="238">
        <f t="shared" si="105"/>
        <v>0</v>
      </c>
      <c r="Y443" s="238">
        <f t="shared" si="106"/>
        <v>0</v>
      </c>
      <c r="Z443" s="70">
        <v>1.5589222932747136E-2</v>
      </c>
      <c r="AA443" s="70"/>
      <c r="AB443" s="70">
        <v>1.5589222932747136E-2</v>
      </c>
      <c r="AC443" s="70"/>
      <c r="AD443" s="71">
        <v>0</v>
      </c>
      <c r="AE443" s="233"/>
      <c r="AF443" s="72"/>
      <c r="AG443" s="170">
        <v>8.0419999999999998</v>
      </c>
      <c r="AH443" s="73">
        <v>0.12536853082515248</v>
      </c>
      <c r="AI443" s="73">
        <v>0</v>
      </c>
      <c r="AJ443" s="73">
        <v>0.12536853082515248</v>
      </c>
      <c r="AK443" s="73">
        <v>0</v>
      </c>
      <c r="AL443" s="129">
        <v>0</v>
      </c>
      <c r="AM443" s="202">
        <f t="shared" si="107"/>
        <v>7.5847160961669107E-6</v>
      </c>
      <c r="AN443" s="202">
        <f t="shared" si="108"/>
        <v>0</v>
      </c>
      <c r="AO443" s="202">
        <f t="shared" si="109"/>
        <v>7.5847160961669107E-6</v>
      </c>
      <c r="AP443" s="202">
        <f t="shared" si="110"/>
        <v>0</v>
      </c>
      <c r="AQ443" s="202">
        <f t="shared" si="111"/>
        <v>0</v>
      </c>
      <c r="AR443" s="217" t="s">
        <v>1241</v>
      </c>
      <c r="AS443" s="226" t="s">
        <v>1660</v>
      </c>
      <c r="AT443" s="234">
        <v>311421</v>
      </c>
      <c r="AU443" s="244">
        <f t="shared" si="112"/>
        <v>0.12536853082515248</v>
      </c>
      <c r="AV443" s="244">
        <f t="shared" si="113"/>
        <v>0</v>
      </c>
      <c r="AW443" s="244">
        <f t="shared" si="114"/>
        <v>0.12536853082515248</v>
      </c>
      <c r="AX443" s="244">
        <f t="shared" si="115"/>
        <v>0</v>
      </c>
      <c r="AY443" s="244">
        <f t="shared" si="116"/>
        <v>0</v>
      </c>
      <c r="AZ443">
        <v>9.6679028976404461E-5</v>
      </c>
    </row>
    <row r="444" spans="1:52" ht="15.75" customHeight="1" x14ac:dyDescent="0.35">
      <c r="A444" s="139" t="s">
        <v>1241</v>
      </c>
      <c r="B444" s="67" t="s">
        <v>1242</v>
      </c>
      <c r="C444" s="120" t="s">
        <v>149</v>
      </c>
      <c r="D444" s="120" t="s">
        <v>150</v>
      </c>
      <c r="E444" s="120" t="s">
        <v>1273</v>
      </c>
      <c r="F444" s="139" t="s">
        <v>1274</v>
      </c>
      <c r="G444" s="67" t="s">
        <v>1020</v>
      </c>
      <c r="H444" s="139" t="s">
        <v>621</v>
      </c>
      <c r="I444" s="139" t="s">
        <v>1275</v>
      </c>
      <c r="J444" s="143"/>
      <c r="K444" s="228">
        <v>55</v>
      </c>
      <c r="L444" s="269"/>
      <c r="M444" s="269"/>
      <c r="N444" s="269"/>
      <c r="O444" s="269">
        <v>1</v>
      </c>
      <c r="P444" s="269"/>
      <c r="Q444" s="269"/>
      <c r="R444" s="269"/>
      <c r="S444" s="165" t="s">
        <v>1246</v>
      </c>
      <c r="T444" s="70"/>
      <c r="U444" s="238">
        <f t="shared" si="102"/>
        <v>0.12197374969834286</v>
      </c>
      <c r="V444" s="238">
        <f t="shared" si="103"/>
        <v>0</v>
      </c>
      <c r="W444" s="238">
        <f t="shared" si="104"/>
        <v>0</v>
      </c>
      <c r="X444" s="238">
        <f t="shared" si="105"/>
        <v>0</v>
      </c>
      <c r="Y444" s="238">
        <f t="shared" si="106"/>
        <v>0.12197374969834286</v>
      </c>
      <c r="Z444" s="70">
        <v>0.12197374969834286</v>
      </c>
      <c r="AA444" s="70"/>
      <c r="AB444" s="70">
        <v>0</v>
      </c>
      <c r="AC444" s="70"/>
      <c r="AD444" s="71">
        <v>0.12197374969834286</v>
      </c>
      <c r="AE444" s="233"/>
      <c r="AF444" s="72"/>
      <c r="AG444" s="170">
        <v>8.0419999999999998</v>
      </c>
      <c r="AH444" s="73">
        <v>0.98091289507407331</v>
      </c>
      <c r="AI444" s="73">
        <v>0</v>
      </c>
      <c r="AJ444" s="73">
        <v>0</v>
      </c>
      <c r="AK444" s="73">
        <v>0</v>
      </c>
      <c r="AL444" s="129">
        <v>0.98091289507407331</v>
      </c>
      <c r="AM444" s="202">
        <f t="shared" si="107"/>
        <v>5.934460406640854E-5</v>
      </c>
      <c r="AN444" s="202">
        <f t="shared" si="108"/>
        <v>0</v>
      </c>
      <c r="AO444" s="202">
        <f t="shared" si="109"/>
        <v>0</v>
      </c>
      <c r="AP444" s="202">
        <f t="shared" si="110"/>
        <v>0</v>
      </c>
      <c r="AQ444" s="202">
        <f t="shared" si="111"/>
        <v>5.934460406640854E-5</v>
      </c>
      <c r="AR444" s="217" t="s">
        <v>1241</v>
      </c>
      <c r="AS444" s="226" t="s">
        <v>1660</v>
      </c>
      <c r="AT444" s="234">
        <v>311421</v>
      </c>
      <c r="AU444" s="244">
        <f t="shared" si="112"/>
        <v>0.98091289507407331</v>
      </c>
      <c r="AV444" s="244">
        <f t="shared" si="113"/>
        <v>0</v>
      </c>
      <c r="AW444" s="244">
        <f t="shared" si="114"/>
        <v>0</v>
      </c>
      <c r="AX444" s="244">
        <f t="shared" si="115"/>
        <v>0</v>
      </c>
      <c r="AY444" s="244">
        <f t="shared" si="116"/>
        <v>0.98091289507407331</v>
      </c>
      <c r="AZ444">
        <v>7.564394795250228E-4</v>
      </c>
    </row>
    <row r="445" spans="1:52" ht="15.75" customHeight="1" x14ac:dyDescent="0.35">
      <c r="A445" s="139" t="s">
        <v>1241</v>
      </c>
      <c r="B445" s="67" t="s">
        <v>1242</v>
      </c>
      <c r="C445" s="120" t="s">
        <v>88</v>
      </c>
      <c r="D445" s="120" t="s">
        <v>1276</v>
      </c>
      <c r="E445" s="120" t="s">
        <v>1277</v>
      </c>
      <c r="F445" s="139" t="s">
        <v>1278</v>
      </c>
      <c r="G445" s="67" t="s">
        <v>1020</v>
      </c>
      <c r="H445" s="139" t="s">
        <v>1279</v>
      </c>
      <c r="I445" s="139" t="s">
        <v>1280</v>
      </c>
      <c r="J445" s="143"/>
      <c r="K445" s="228">
        <v>80</v>
      </c>
      <c r="L445" s="269"/>
      <c r="M445" s="269"/>
      <c r="N445" s="269"/>
      <c r="O445" s="269">
        <v>1</v>
      </c>
      <c r="P445" s="269"/>
      <c r="Q445" s="269"/>
      <c r="R445" s="269"/>
      <c r="S445" s="165" t="s">
        <v>1246</v>
      </c>
      <c r="T445" s="70"/>
      <c r="U445" s="238">
        <f t="shared" si="102"/>
        <v>2.2270318475353049E-2</v>
      </c>
      <c r="V445" s="238">
        <f t="shared" si="103"/>
        <v>0</v>
      </c>
      <c r="W445" s="238">
        <f t="shared" si="104"/>
        <v>2.2270318475353049E-2</v>
      </c>
      <c r="X445" s="238">
        <f t="shared" si="105"/>
        <v>0</v>
      </c>
      <c r="Y445" s="238">
        <f t="shared" si="106"/>
        <v>0</v>
      </c>
      <c r="Z445" s="70">
        <v>2.2270318475353049E-2</v>
      </c>
      <c r="AA445" s="70"/>
      <c r="AB445" s="70">
        <v>2.2270318475353049E-2</v>
      </c>
      <c r="AC445" s="70"/>
      <c r="AD445" s="71">
        <v>0</v>
      </c>
      <c r="AE445" s="233"/>
      <c r="AF445" s="72"/>
      <c r="AG445" s="170">
        <v>8.0419999999999998</v>
      </c>
      <c r="AH445" s="73">
        <v>0.17909790117878921</v>
      </c>
      <c r="AI445" s="73">
        <v>0</v>
      </c>
      <c r="AJ445" s="73">
        <v>0.17909790117878921</v>
      </c>
      <c r="AK445" s="73">
        <v>0</v>
      </c>
      <c r="AL445" s="129">
        <v>0</v>
      </c>
      <c r="AM445" s="202">
        <f t="shared" si="107"/>
        <v>1.083530870880987E-5</v>
      </c>
      <c r="AN445" s="202">
        <f t="shared" si="108"/>
        <v>0</v>
      </c>
      <c r="AO445" s="202">
        <f t="shared" si="109"/>
        <v>1.083530870880987E-5</v>
      </c>
      <c r="AP445" s="202">
        <f t="shared" si="110"/>
        <v>0</v>
      </c>
      <c r="AQ445" s="202">
        <f t="shared" si="111"/>
        <v>0</v>
      </c>
      <c r="AR445" s="217" t="s">
        <v>1241</v>
      </c>
      <c r="AS445" s="226" t="s">
        <v>1660</v>
      </c>
      <c r="AT445" s="234">
        <v>311421</v>
      </c>
      <c r="AU445" s="244">
        <f t="shared" si="112"/>
        <v>0.17909790117878921</v>
      </c>
      <c r="AV445" s="244">
        <f t="shared" si="113"/>
        <v>0</v>
      </c>
      <c r="AW445" s="244">
        <f t="shared" si="114"/>
        <v>0.17909790117878921</v>
      </c>
      <c r="AX445" s="244">
        <f t="shared" si="115"/>
        <v>0</v>
      </c>
      <c r="AY445" s="244">
        <f t="shared" si="116"/>
        <v>0</v>
      </c>
      <c r="AZ445">
        <v>1.3811289853772062E-4</v>
      </c>
    </row>
    <row r="446" spans="1:52" ht="15.75" customHeight="1" x14ac:dyDescent="0.35">
      <c r="A446" s="139" t="s">
        <v>1241</v>
      </c>
      <c r="B446" s="67" t="s">
        <v>1242</v>
      </c>
      <c r="C446" s="120" t="s">
        <v>124</v>
      </c>
      <c r="D446" s="120" t="s">
        <v>1281</v>
      </c>
      <c r="E446" s="120" t="s">
        <v>1282</v>
      </c>
      <c r="F446" s="139" t="s">
        <v>1283</v>
      </c>
      <c r="G446" s="67" t="s">
        <v>1020</v>
      </c>
      <c r="H446" s="139" t="s">
        <v>1284</v>
      </c>
      <c r="I446" s="139" t="s">
        <v>1285</v>
      </c>
      <c r="J446" s="143"/>
      <c r="K446" s="228">
        <v>80</v>
      </c>
      <c r="L446" s="269"/>
      <c r="M446" s="269"/>
      <c r="N446" s="269"/>
      <c r="O446" s="269">
        <v>1</v>
      </c>
      <c r="P446" s="269"/>
      <c r="Q446" s="269"/>
      <c r="R446" s="269"/>
      <c r="S446" s="165" t="s">
        <v>1246</v>
      </c>
      <c r="T446" s="70"/>
      <c r="U446" s="238">
        <f t="shared" si="102"/>
        <v>0.28365988301940204</v>
      </c>
      <c r="V446" s="238">
        <f t="shared" si="103"/>
        <v>0</v>
      </c>
      <c r="W446" s="238">
        <f t="shared" si="104"/>
        <v>0</v>
      </c>
      <c r="X446" s="238">
        <f t="shared" si="105"/>
        <v>0</v>
      </c>
      <c r="Y446" s="238">
        <f t="shared" si="106"/>
        <v>0.28365988301940204</v>
      </c>
      <c r="Z446" s="70">
        <v>0.28365988301940204</v>
      </c>
      <c r="AA446" s="70"/>
      <c r="AB446" s="70">
        <v>0</v>
      </c>
      <c r="AC446" s="70"/>
      <c r="AD446" s="71">
        <v>0.28365988301940204</v>
      </c>
      <c r="AE446" s="233"/>
      <c r="AF446" s="72"/>
      <c r="AG446" s="170">
        <v>8.0419999999999998</v>
      </c>
      <c r="AH446" s="73">
        <v>2.2811927792420312</v>
      </c>
      <c r="AI446" s="73">
        <v>0</v>
      </c>
      <c r="AJ446" s="73">
        <v>0</v>
      </c>
      <c r="AK446" s="73">
        <v>0</v>
      </c>
      <c r="AL446" s="129">
        <v>2.2811927792420312</v>
      </c>
      <c r="AM446" s="202">
        <f t="shared" si="107"/>
        <v>1.3801070713118267E-4</v>
      </c>
      <c r="AN446" s="202">
        <f t="shared" si="108"/>
        <v>0</v>
      </c>
      <c r="AO446" s="202">
        <f t="shared" si="109"/>
        <v>0</v>
      </c>
      <c r="AP446" s="202">
        <f t="shared" si="110"/>
        <v>0</v>
      </c>
      <c r="AQ446" s="202">
        <f t="shared" si="111"/>
        <v>1.3801070713118267E-4</v>
      </c>
      <c r="AR446" s="217" t="s">
        <v>1241</v>
      </c>
      <c r="AS446" s="226" t="s">
        <v>1660</v>
      </c>
      <c r="AT446" s="234">
        <v>311421</v>
      </c>
      <c r="AU446" s="244">
        <f t="shared" si="112"/>
        <v>2.2811927792420312</v>
      </c>
      <c r="AV446" s="244">
        <f t="shared" si="113"/>
        <v>0</v>
      </c>
      <c r="AW446" s="244">
        <f t="shared" si="114"/>
        <v>0</v>
      </c>
      <c r="AX446" s="244">
        <f t="shared" si="115"/>
        <v>0</v>
      </c>
      <c r="AY446" s="244">
        <f t="shared" si="116"/>
        <v>2.2811927792420312</v>
      </c>
      <c r="AZ446">
        <v>1.759161580290751E-3</v>
      </c>
    </row>
    <row r="447" spans="1:52" ht="15.75" customHeight="1" x14ac:dyDescent="0.35">
      <c r="A447" s="139" t="s">
        <v>1241</v>
      </c>
      <c r="B447" s="67" t="s">
        <v>1242</v>
      </c>
      <c r="C447" s="120" t="s">
        <v>124</v>
      </c>
      <c r="D447" s="120" t="s">
        <v>1286</v>
      </c>
      <c r="E447" s="120" t="s">
        <v>1287</v>
      </c>
      <c r="F447" s="139" t="s">
        <v>1283</v>
      </c>
      <c r="G447" s="67" t="s">
        <v>1020</v>
      </c>
      <c r="H447" s="139" t="s">
        <v>1288</v>
      </c>
      <c r="I447" s="139" t="s">
        <v>1289</v>
      </c>
      <c r="J447" s="143"/>
      <c r="K447" s="228">
        <v>80</v>
      </c>
      <c r="L447" s="269"/>
      <c r="M447" s="269"/>
      <c r="N447" s="269"/>
      <c r="O447" s="269"/>
      <c r="P447" s="269"/>
      <c r="Q447" s="269"/>
      <c r="R447" s="269"/>
      <c r="S447" s="165" t="s">
        <v>1246</v>
      </c>
      <c r="T447" s="70"/>
      <c r="U447" s="238">
        <f t="shared" si="102"/>
        <v>0.1158780798717557</v>
      </c>
      <c r="V447" s="238">
        <f t="shared" si="103"/>
        <v>0</v>
      </c>
      <c r="W447" s="238">
        <f t="shared" si="104"/>
        <v>2.2270318475353049E-2</v>
      </c>
      <c r="X447" s="238">
        <f t="shared" si="105"/>
        <v>0</v>
      </c>
      <c r="Y447" s="238">
        <f t="shared" si="106"/>
        <v>9.3607761396402658E-2</v>
      </c>
      <c r="Z447" s="70">
        <v>0.1158780798717557</v>
      </c>
      <c r="AA447" s="70"/>
      <c r="AB447" s="70">
        <v>2.2270318475353049E-2</v>
      </c>
      <c r="AC447" s="70"/>
      <c r="AD447" s="71">
        <v>9.3607761396402658E-2</v>
      </c>
      <c r="AE447" s="233"/>
      <c r="AF447" s="72"/>
      <c r="AG447" s="170">
        <v>8.0419999999999998</v>
      </c>
      <c r="AH447" s="73">
        <v>0.93189151832865935</v>
      </c>
      <c r="AI447" s="73">
        <v>0</v>
      </c>
      <c r="AJ447" s="73">
        <v>0.17909790117878921</v>
      </c>
      <c r="AK447" s="73">
        <v>0</v>
      </c>
      <c r="AL447" s="129">
        <v>0.75279361714987014</v>
      </c>
      <c r="AM447" s="202">
        <f t="shared" si="107"/>
        <v>5.6378842062100144E-5</v>
      </c>
      <c r="AN447" s="202">
        <f t="shared" si="108"/>
        <v>0</v>
      </c>
      <c r="AO447" s="202">
        <f t="shared" si="109"/>
        <v>1.083530870880987E-5</v>
      </c>
      <c r="AP447" s="202">
        <f t="shared" si="110"/>
        <v>0</v>
      </c>
      <c r="AQ447" s="202">
        <f t="shared" si="111"/>
        <v>4.5543533353290272E-5</v>
      </c>
      <c r="AR447" s="217" t="s">
        <v>1241</v>
      </c>
      <c r="AS447" s="226" t="s">
        <v>1660</v>
      </c>
      <c r="AT447" s="234">
        <v>311421</v>
      </c>
      <c r="AU447" s="244">
        <f t="shared" si="112"/>
        <v>0.93189151832865935</v>
      </c>
      <c r="AV447" s="244">
        <f t="shared" si="113"/>
        <v>0</v>
      </c>
      <c r="AW447" s="244">
        <f t="shared" si="114"/>
        <v>0.17909790117878921</v>
      </c>
      <c r="AX447" s="244">
        <f t="shared" si="115"/>
        <v>0</v>
      </c>
      <c r="AY447" s="244">
        <f t="shared" si="116"/>
        <v>0.75279361714987014</v>
      </c>
      <c r="AZ447">
        <v>7.186362200336683E-4</v>
      </c>
    </row>
    <row r="448" spans="1:52" ht="15.75" customHeight="1" x14ac:dyDescent="0.35">
      <c r="A448" s="139" t="s">
        <v>1241</v>
      </c>
      <c r="B448" s="67" t="s">
        <v>1242</v>
      </c>
      <c r="C448" s="120" t="s">
        <v>92</v>
      </c>
      <c r="D448" s="120" t="s">
        <v>1290</v>
      </c>
      <c r="E448" s="120" t="s">
        <v>1290</v>
      </c>
      <c r="F448" s="139" t="s">
        <v>1291</v>
      </c>
      <c r="G448" s="67" t="s">
        <v>1020</v>
      </c>
      <c r="H448" s="139" t="s">
        <v>1292</v>
      </c>
      <c r="I448" s="139" t="s">
        <v>1293</v>
      </c>
      <c r="J448" s="143"/>
      <c r="K448" s="228">
        <f t="shared" si="101"/>
        <v>115.6</v>
      </c>
      <c r="L448" s="269">
        <v>115.6</v>
      </c>
      <c r="M448" s="269"/>
      <c r="N448" s="269"/>
      <c r="O448" s="269">
        <v>1</v>
      </c>
      <c r="P448" s="269"/>
      <c r="Q448" s="269"/>
      <c r="R448" s="269"/>
      <c r="S448" s="165" t="s">
        <v>1246</v>
      </c>
      <c r="T448" s="70"/>
      <c r="U448" s="238">
        <f t="shared" si="102"/>
        <v>0.61554194615210234</v>
      </c>
      <c r="V448" s="238">
        <f t="shared" si="103"/>
        <v>0</v>
      </c>
      <c r="W448" s="238">
        <f t="shared" si="104"/>
        <v>0</v>
      </c>
      <c r="X448" s="238">
        <f t="shared" si="105"/>
        <v>0</v>
      </c>
      <c r="Y448" s="238">
        <f t="shared" si="106"/>
        <v>0.61554194615210234</v>
      </c>
      <c r="Z448" s="70">
        <v>0.61554194615210234</v>
      </c>
      <c r="AA448" s="70"/>
      <c r="AB448" s="70">
        <v>0</v>
      </c>
      <c r="AC448" s="70"/>
      <c r="AD448" s="71">
        <v>0.61554194615210234</v>
      </c>
      <c r="AE448" s="120">
        <v>100</v>
      </c>
      <c r="AF448" s="121">
        <v>1</v>
      </c>
      <c r="AG448" s="170">
        <v>8.0419999999999998</v>
      </c>
      <c r="AH448" s="73">
        <v>4.9501883309552071</v>
      </c>
      <c r="AI448" s="73">
        <v>0</v>
      </c>
      <c r="AJ448" s="73">
        <v>0</v>
      </c>
      <c r="AK448" s="73">
        <v>0</v>
      </c>
      <c r="AL448" s="129">
        <v>4.9501883309552071</v>
      </c>
      <c r="AM448" s="202">
        <f t="shared" si="107"/>
        <v>2.9948323447466632E-4</v>
      </c>
      <c r="AN448" s="202">
        <f t="shared" si="108"/>
        <v>0</v>
      </c>
      <c r="AO448" s="202">
        <f t="shared" si="109"/>
        <v>0</v>
      </c>
      <c r="AP448" s="202">
        <f t="shared" si="110"/>
        <v>0</v>
      </c>
      <c r="AQ448" s="202">
        <f t="shared" si="111"/>
        <v>2.9948323447466632E-4</v>
      </c>
      <c r="AR448" s="217" t="s">
        <v>1241</v>
      </c>
      <c r="AS448" s="226" t="s">
        <v>1660</v>
      </c>
      <c r="AT448" s="234">
        <v>311421</v>
      </c>
      <c r="AU448" s="244">
        <f t="shared" si="112"/>
        <v>4.9501883309552071</v>
      </c>
      <c r="AV448" s="244">
        <f t="shared" si="113"/>
        <v>0</v>
      </c>
      <c r="AW448" s="244">
        <f t="shared" si="114"/>
        <v>0</v>
      </c>
      <c r="AX448" s="244">
        <f t="shared" si="115"/>
        <v>0</v>
      </c>
      <c r="AY448" s="244">
        <f t="shared" si="116"/>
        <v>4.9501883309552071</v>
      </c>
      <c r="AZ448">
        <v>3.8173806292309291E-3</v>
      </c>
    </row>
    <row r="449" spans="1:52" ht="15" customHeight="1" x14ac:dyDescent="0.35">
      <c r="A449" s="139" t="s">
        <v>1241</v>
      </c>
      <c r="B449" s="67" t="s">
        <v>1242</v>
      </c>
      <c r="C449" s="120" t="s">
        <v>67</v>
      </c>
      <c r="D449" s="120" t="s">
        <v>67</v>
      </c>
      <c r="E449" s="120" t="s">
        <v>67</v>
      </c>
      <c r="F449" s="139" t="s">
        <v>1294</v>
      </c>
      <c r="G449" s="67" t="s">
        <v>1020</v>
      </c>
      <c r="H449" s="139" t="s">
        <v>582</v>
      </c>
      <c r="I449" s="139" t="s">
        <v>1271</v>
      </c>
      <c r="J449" s="143" t="s">
        <v>1272</v>
      </c>
      <c r="K449" s="228">
        <v>10</v>
      </c>
      <c r="L449" s="269"/>
      <c r="M449" s="269"/>
      <c r="N449" s="269"/>
      <c r="O449" s="269">
        <v>1</v>
      </c>
      <c r="P449" s="269"/>
      <c r="Q449" s="269"/>
      <c r="R449" s="269"/>
      <c r="S449" s="165" t="s">
        <v>1246</v>
      </c>
      <c r="T449" s="70"/>
      <c r="U449" s="238">
        <f t="shared" si="102"/>
        <v>1.5589222932747136E-2</v>
      </c>
      <c r="V449" s="238">
        <f t="shared" si="103"/>
        <v>0</v>
      </c>
      <c r="W449" s="238">
        <f t="shared" si="104"/>
        <v>1.5589222932747136E-2</v>
      </c>
      <c r="X449" s="238">
        <f t="shared" si="105"/>
        <v>0</v>
      </c>
      <c r="Y449" s="238">
        <f t="shared" si="106"/>
        <v>0</v>
      </c>
      <c r="Z449" s="70">
        <v>1.5589222932747136E-2</v>
      </c>
      <c r="AA449" s="70"/>
      <c r="AB449" s="70">
        <v>1.5589222932747136E-2</v>
      </c>
      <c r="AC449" s="70"/>
      <c r="AD449" s="71">
        <v>0</v>
      </c>
      <c r="AE449" s="233"/>
      <c r="AF449" s="72"/>
      <c r="AG449" s="170">
        <v>8.0419999999999998</v>
      </c>
      <c r="AH449" s="73">
        <v>0.12536853082515248</v>
      </c>
      <c r="AI449" s="73">
        <v>0</v>
      </c>
      <c r="AJ449" s="73">
        <v>0.12536853082515248</v>
      </c>
      <c r="AK449" s="73">
        <v>0</v>
      </c>
      <c r="AL449" s="129">
        <v>0</v>
      </c>
      <c r="AM449" s="202">
        <f t="shared" si="107"/>
        <v>7.5847160961669107E-6</v>
      </c>
      <c r="AN449" s="202">
        <f t="shared" si="108"/>
        <v>0</v>
      </c>
      <c r="AO449" s="202">
        <f t="shared" si="109"/>
        <v>7.5847160961669107E-6</v>
      </c>
      <c r="AP449" s="202">
        <f t="shared" si="110"/>
        <v>0</v>
      </c>
      <c r="AQ449" s="202">
        <f t="shared" si="111"/>
        <v>0</v>
      </c>
      <c r="AR449" s="217" t="s">
        <v>1241</v>
      </c>
      <c r="AS449" s="226" t="s">
        <v>1660</v>
      </c>
      <c r="AT449" s="234">
        <v>311421</v>
      </c>
      <c r="AU449" s="244">
        <f t="shared" si="112"/>
        <v>0.12536853082515248</v>
      </c>
      <c r="AV449" s="244">
        <f t="shared" si="113"/>
        <v>0</v>
      </c>
      <c r="AW449" s="244">
        <f t="shared" si="114"/>
        <v>0.12536853082515248</v>
      </c>
      <c r="AX449" s="244">
        <f t="shared" si="115"/>
        <v>0</v>
      </c>
      <c r="AY449" s="244">
        <f t="shared" si="116"/>
        <v>0</v>
      </c>
      <c r="AZ449">
        <v>9.6679028976404461E-5</v>
      </c>
    </row>
    <row r="450" spans="1:52" ht="15.75" customHeight="1" x14ac:dyDescent="0.35">
      <c r="A450" s="145" t="s">
        <v>1241</v>
      </c>
      <c r="B450" s="78" t="s">
        <v>1242</v>
      </c>
      <c r="C450" s="147" t="s">
        <v>124</v>
      </c>
      <c r="D450" s="147" t="s">
        <v>124</v>
      </c>
      <c r="E450" s="145" t="s">
        <v>1295</v>
      </c>
      <c r="F450" s="145" t="s">
        <v>1278</v>
      </c>
      <c r="G450" s="78" t="s">
        <v>1020</v>
      </c>
      <c r="H450" s="145" t="s">
        <v>125</v>
      </c>
      <c r="I450" s="145" t="s">
        <v>125</v>
      </c>
      <c r="J450" s="146"/>
      <c r="K450" s="228">
        <f t="shared" si="101"/>
        <v>22</v>
      </c>
      <c r="L450" s="269">
        <v>22</v>
      </c>
      <c r="M450" s="269"/>
      <c r="N450" s="269"/>
      <c r="O450" s="269">
        <v>1</v>
      </c>
      <c r="P450" s="269"/>
      <c r="Q450" s="269"/>
      <c r="R450" s="269"/>
      <c r="S450" s="166" t="s">
        <v>1246</v>
      </c>
      <c r="T450" s="82"/>
      <c r="U450" s="238">
        <f t="shared" si="102"/>
        <v>2.2270318475353049E-2</v>
      </c>
      <c r="V450" s="238">
        <f t="shared" si="103"/>
        <v>0</v>
      </c>
      <c r="W450" s="238">
        <f t="shared" si="104"/>
        <v>2.2270318475353049E-2</v>
      </c>
      <c r="X450" s="238">
        <f t="shared" si="105"/>
        <v>0</v>
      </c>
      <c r="Y450" s="238">
        <f t="shared" si="106"/>
        <v>0</v>
      </c>
      <c r="Z450" s="70">
        <v>2.2270318475353049E-2</v>
      </c>
      <c r="AA450" s="70"/>
      <c r="AB450" s="70">
        <v>2.2270318475353049E-2</v>
      </c>
      <c r="AC450" s="70"/>
      <c r="AD450" s="71">
        <v>0</v>
      </c>
      <c r="AE450" s="81"/>
      <c r="AF450" s="84"/>
      <c r="AG450" s="172">
        <v>8.0419999999999998</v>
      </c>
      <c r="AH450" s="85">
        <v>0.17909790117878921</v>
      </c>
      <c r="AI450" s="85">
        <v>0</v>
      </c>
      <c r="AJ450" s="85">
        <v>0.17909790117878921</v>
      </c>
      <c r="AK450" s="85">
        <v>0</v>
      </c>
      <c r="AL450" s="133">
        <v>0</v>
      </c>
      <c r="AM450" s="202">
        <f t="shared" si="107"/>
        <v>1.083530870880987E-5</v>
      </c>
      <c r="AN450" s="202">
        <f t="shared" si="108"/>
        <v>0</v>
      </c>
      <c r="AO450" s="202">
        <f t="shared" si="109"/>
        <v>1.083530870880987E-5</v>
      </c>
      <c r="AP450" s="202">
        <f t="shared" si="110"/>
        <v>0</v>
      </c>
      <c r="AQ450" s="202">
        <f t="shared" si="111"/>
        <v>0</v>
      </c>
      <c r="AR450" s="213" t="s">
        <v>1241</v>
      </c>
      <c r="AS450" s="226" t="s">
        <v>1660</v>
      </c>
      <c r="AT450" s="234">
        <v>311421</v>
      </c>
      <c r="AU450" s="244">
        <f t="shared" si="112"/>
        <v>0.17909790117878921</v>
      </c>
      <c r="AV450" s="244">
        <f t="shared" si="113"/>
        <v>0</v>
      </c>
      <c r="AW450" s="244">
        <f t="shared" si="114"/>
        <v>0.17909790117878921</v>
      </c>
      <c r="AX450" s="244">
        <f t="shared" si="115"/>
        <v>0</v>
      </c>
      <c r="AY450" s="244">
        <f t="shared" si="116"/>
        <v>0</v>
      </c>
      <c r="AZ450">
        <v>1.3811289853772062E-4</v>
      </c>
    </row>
    <row r="451" spans="1:52" ht="15.75" customHeight="1" x14ac:dyDescent="0.35">
      <c r="A451" s="139" t="s">
        <v>1296</v>
      </c>
      <c r="B451" s="67" t="s">
        <v>1297</v>
      </c>
      <c r="C451" s="120" t="s">
        <v>149</v>
      </c>
      <c r="D451" s="120" t="s">
        <v>1243</v>
      </c>
      <c r="E451" s="120" t="s">
        <v>1243</v>
      </c>
      <c r="F451" s="139" t="s">
        <v>1298</v>
      </c>
      <c r="G451" s="67" t="s">
        <v>1020</v>
      </c>
      <c r="H451" s="139" t="s">
        <v>975</v>
      </c>
      <c r="I451" s="139" t="s">
        <v>1299</v>
      </c>
      <c r="J451" s="143"/>
      <c r="K451" s="228">
        <f t="shared" si="101"/>
        <v>22</v>
      </c>
      <c r="L451" s="269">
        <v>22</v>
      </c>
      <c r="M451" s="269"/>
      <c r="N451" s="269"/>
      <c r="O451" s="269">
        <v>1</v>
      </c>
      <c r="P451" s="269"/>
      <c r="Q451" s="269"/>
      <c r="R451" s="269"/>
      <c r="S451" s="167" t="s">
        <v>1300</v>
      </c>
      <c r="T451" s="70"/>
      <c r="U451" s="238">
        <f t="shared" si="102"/>
        <v>1.5589222932747136E-2</v>
      </c>
      <c r="V451" s="238">
        <f t="shared" si="103"/>
        <v>0</v>
      </c>
      <c r="W451" s="238">
        <f t="shared" si="104"/>
        <v>1.5589222932747136E-2</v>
      </c>
      <c r="X451" s="238">
        <f t="shared" si="105"/>
        <v>0</v>
      </c>
      <c r="Y451" s="238">
        <f t="shared" si="106"/>
        <v>0</v>
      </c>
      <c r="Z451" s="82">
        <v>1.5589222932747136E-2</v>
      </c>
      <c r="AA451" s="82"/>
      <c r="AB451" s="82">
        <v>1.5589222932747136E-2</v>
      </c>
      <c r="AC451" s="82"/>
      <c r="AD451" s="83">
        <v>0</v>
      </c>
      <c r="AE451" s="233"/>
      <c r="AF451" s="72"/>
      <c r="AG451" s="170">
        <v>0.38300000000000001</v>
      </c>
      <c r="AH451" s="73">
        <v>5.9706723832421531E-3</v>
      </c>
      <c r="AI451" s="73">
        <v>0</v>
      </c>
      <c r="AJ451" s="73">
        <v>5.9706723832421531E-3</v>
      </c>
      <c r="AK451" s="73">
        <v>0</v>
      </c>
      <c r="AL451" s="129">
        <v>0</v>
      </c>
      <c r="AM451" s="202">
        <f t="shared" si="107"/>
        <v>3.612218682954398E-7</v>
      </c>
      <c r="AN451" s="202">
        <f t="shared" si="108"/>
        <v>0</v>
      </c>
      <c r="AO451" s="202">
        <f t="shared" si="109"/>
        <v>3.612218682954398E-7</v>
      </c>
      <c r="AP451" s="202">
        <f t="shared" si="110"/>
        <v>0</v>
      </c>
      <c r="AQ451" s="202">
        <f t="shared" si="111"/>
        <v>0</v>
      </c>
      <c r="AR451" s="217" t="s">
        <v>1296</v>
      </c>
      <c r="AS451" s="226" t="s">
        <v>1660</v>
      </c>
      <c r="AT451" s="234">
        <v>311411</v>
      </c>
      <c r="AU451" s="244">
        <f t="shared" si="112"/>
        <v>5.9706723832421531E-3</v>
      </c>
      <c r="AV451" s="244">
        <f t="shared" si="113"/>
        <v>0</v>
      </c>
      <c r="AW451" s="244">
        <f t="shared" si="114"/>
        <v>5.9706723832421531E-3</v>
      </c>
      <c r="AX451" s="244">
        <f t="shared" si="115"/>
        <v>0</v>
      </c>
      <c r="AY451" s="244">
        <f t="shared" si="116"/>
        <v>0</v>
      </c>
      <c r="AZ451">
        <v>4.6043357495601718E-6</v>
      </c>
    </row>
    <row r="452" spans="1:52" ht="15.75" customHeight="1" x14ac:dyDescent="0.35">
      <c r="A452" s="139" t="s">
        <v>1296</v>
      </c>
      <c r="B452" s="67" t="s">
        <v>1297</v>
      </c>
      <c r="C452" s="120" t="s">
        <v>149</v>
      </c>
      <c r="D452" s="120" t="s">
        <v>150</v>
      </c>
      <c r="E452" s="120" t="s">
        <v>1301</v>
      </c>
      <c r="F452" s="139" t="s">
        <v>1302</v>
      </c>
      <c r="G452" s="67" t="s">
        <v>1020</v>
      </c>
      <c r="H452" s="139" t="s">
        <v>621</v>
      </c>
      <c r="I452" s="139" t="s">
        <v>1248</v>
      </c>
      <c r="J452" s="143"/>
      <c r="K452" s="228">
        <f t="shared" si="101"/>
        <v>22</v>
      </c>
      <c r="L452" s="269">
        <v>22</v>
      </c>
      <c r="M452" s="269"/>
      <c r="N452" s="269"/>
      <c r="O452" s="269">
        <v>1</v>
      </c>
      <c r="P452" s="269"/>
      <c r="Q452" s="269"/>
      <c r="R452" s="269"/>
      <c r="S452" s="165" t="s">
        <v>1300</v>
      </c>
      <c r="T452" s="70"/>
      <c r="U452" s="238">
        <f t="shared" si="102"/>
        <v>0.5346868088582527</v>
      </c>
      <c r="V452" s="238">
        <f t="shared" si="103"/>
        <v>0</v>
      </c>
      <c r="W452" s="238">
        <f t="shared" si="104"/>
        <v>1.5589222932747136E-2</v>
      </c>
      <c r="X452" s="238">
        <f t="shared" si="105"/>
        <v>0</v>
      </c>
      <c r="Y452" s="238">
        <f t="shared" si="106"/>
        <v>0.51909758592550559</v>
      </c>
      <c r="Z452" s="70">
        <v>0.5346868088582527</v>
      </c>
      <c r="AA452" s="70"/>
      <c r="AB452" s="70">
        <v>1.5589222932747136E-2</v>
      </c>
      <c r="AC452" s="70"/>
      <c r="AD452" s="71">
        <v>0.51909758592550559</v>
      </c>
      <c r="AE452" s="233"/>
      <c r="AF452" s="72"/>
      <c r="AG452" s="170">
        <v>0.38300000000000001</v>
      </c>
      <c r="AH452" s="73">
        <v>0.20478504779271078</v>
      </c>
      <c r="AI452" s="73">
        <v>0</v>
      </c>
      <c r="AJ452" s="73">
        <v>5.9706723832421531E-3</v>
      </c>
      <c r="AK452" s="73">
        <v>0</v>
      </c>
      <c r="AL452" s="129">
        <v>0.19881437540946864</v>
      </c>
      <c r="AM452" s="202">
        <f t="shared" si="107"/>
        <v>1.2389364683661591E-5</v>
      </c>
      <c r="AN452" s="202">
        <f t="shared" si="108"/>
        <v>0</v>
      </c>
      <c r="AO452" s="202">
        <f t="shared" si="109"/>
        <v>3.612218682954398E-7</v>
      </c>
      <c r="AP452" s="202">
        <f t="shared" si="110"/>
        <v>0</v>
      </c>
      <c r="AQ452" s="202">
        <f t="shared" si="111"/>
        <v>1.2028142815366152E-5</v>
      </c>
      <c r="AR452" s="217" t="s">
        <v>1296</v>
      </c>
      <c r="AS452" s="226" t="s">
        <v>1660</v>
      </c>
      <c r="AT452" s="234">
        <v>311411</v>
      </c>
      <c r="AU452" s="244">
        <f t="shared" si="112"/>
        <v>0.20478504779271078</v>
      </c>
      <c r="AV452" s="244">
        <f t="shared" si="113"/>
        <v>0</v>
      </c>
      <c r="AW452" s="244">
        <f t="shared" si="114"/>
        <v>5.9706723832421531E-3</v>
      </c>
      <c r="AX452" s="244">
        <f t="shared" si="115"/>
        <v>0</v>
      </c>
      <c r="AY452" s="244">
        <f t="shared" si="116"/>
        <v>0.19881437540946864</v>
      </c>
      <c r="AZ452">
        <v>1.5792176425117468E-4</v>
      </c>
    </row>
    <row r="453" spans="1:52" ht="15.75" customHeight="1" x14ac:dyDescent="0.35">
      <c r="A453" s="139" t="s">
        <v>1296</v>
      </c>
      <c r="B453" s="67" t="s">
        <v>1297</v>
      </c>
      <c r="C453" s="67" t="s">
        <v>99</v>
      </c>
      <c r="D453" s="120" t="s">
        <v>1258</v>
      </c>
      <c r="E453" s="120" t="s">
        <v>1258</v>
      </c>
      <c r="F453" s="139" t="s">
        <v>1303</v>
      </c>
      <c r="G453" s="67" t="s">
        <v>1020</v>
      </c>
      <c r="H453" s="139" t="s">
        <v>1260</v>
      </c>
      <c r="I453" s="139" t="s">
        <v>1261</v>
      </c>
      <c r="J453" s="143" t="s">
        <v>1027</v>
      </c>
      <c r="K453" s="228">
        <f t="shared" ref="K453:K516" si="119">L453*1</f>
        <v>22</v>
      </c>
      <c r="L453" s="269">
        <v>22</v>
      </c>
      <c r="M453" s="269"/>
      <c r="N453" s="269"/>
      <c r="O453" s="269">
        <v>1</v>
      </c>
      <c r="P453" s="269"/>
      <c r="Q453" s="269"/>
      <c r="R453" s="269"/>
      <c r="S453" s="165" t="s">
        <v>1300</v>
      </c>
      <c r="T453" s="70"/>
      <c r="U453" s="238">
        <f t="shared" ref="U453:U516" si="120">ABS(Z453)</f>
        <v>0.21415114104632854</v>
      </c>
      <c r="V453" s="238">
        <f t="shared" ref="V453:V516" si="121">ABS(AA453)</f>
        <v>0</v>
      </c>
      <c r="W453" s="238">
        <f t="shared" ref="W453:W516" si="122">ABS(AB453)</f>
        <v>1.5589222932747136E-2</v>
      </c>
      <c r="X453" s="238">
        <f t="shared" ref="X453:X516" si="123">ABS(AC453)</f>
        <v>0</v>
      </c>
      <c r="Y453" s="238">
        <f t="shared" ref="Y453:Y516" si="124">ABS(AD453)</f>
        <v>0.1985619181135814</v>
      </c>
      <c r="Z453" s="70">
        <v>0.21415114104632854</v>
      </c>
      <c r="AA453" s="70"/>
      <c r="AB453" s="70">
        <v>1.5589222932747136E-2</v>
      </c>
      <c r="AC453" s="70"/>
      <c r="AD453" s="71">
        <v>0.1985619181135814</v>
      </c>
      <c r="AE453" s="233"/>
      <c r="AF453" s="72"/>
      <c r="AG453" s="170">
        <v>0.38300000000000001</v>
      </c>
      <c r="AH453" s="73">
        <v>8.2019887020743837E-2</v>
      </c>
      <c r="AI453" s="73">
        <v>0</v>
      </c>
      <c r="AJ453" s="73">
        <v>5.9706723832421531E-3</v>
      </c>
      <c r="AK453" s="73">
        <v>0</v>
      </c>
      <c r="AL453" s="129">
        <v>7.604921463750168E-2</v>
      </c>
      <c r="AM453" s="202">
        <f t="shared" ref="AM453:AM516" si="125">AH453/16529.1</f>
        <v>4.9621508140639139E-6</v>
      </c>
      <c r="AN453" s="202">
        <f t="shared" ref="AN453:AN516" si="126">AI453/16529.1</f>
        <v>0</v>
      </c>
      <c r="AO453" s="202">
        <f t="shared" ref="AO453:AO516" si="127">AJ453/16529.1</f>
        <v>3.612218682954398E-7</v>
      </c>
      <c r="AP453" s="202">
        <f t="shared" ref="AP453:AP516" si="128">AK453/16529.1</f>
        <v>0</v>
      </c>
      <c r="AQ453" s="202">
        <f t="shared" ref="AQ453:AQ516" si="129">AL453/16529.1</f>
        <v>4.6009289457684746E-6</v>
      </c>
      <c r="AR453" s="217" t="s">
        <v>1296</v>
      </c>
      <c r="AS453" s="226" t="s">
        <v>1660</v>
      </c>
      <c r="AT453" s="234">
        <v>311411</v>
      </c>
      <c r="AU453" s="244">
        <f t="shared" ref="AU453:AU516" si="130">ABS(AH453)</f>
        <v>8.2019887020743837E-2</v>
      </c>
      <c r="AV453" s="244">
        <f t="shared" ref="AV453:AV516" si="131">ABS(AI453)</f>
        <v>0</v>
      </c>
      <c r="AW453" s="244">
        <f t="shared" ref="AW453:AW516" si="132">ABS(AJ453)</f>
        <v>5.9706723832421531E-3</v>
      </c>
      <c r="AX453" s="244">
        <f t="shared" ref="AX453:AX516" si="133">ABS(AK453)</f>
        <v>0</v>
      </c>
      <c r="AY453" s="244">
        <f t="shared" ref="AY453:AY516" si="134">ABS(AL453)</f>
        <v>7.604921463750168E-2</v>
      </c>
      <c r="AZ453">
        <v>6.3250346651817107E-5</v>
      </c>
    </row>
    <row r="454" spans="1:52" ht="15.75" customHeight="1" x14ac:dyDescent="0.35">
      <c r="A454" s="139" t="s">
        <v>1296</v>
      </c>
      <c r="B454" s="67" t="s">
        <v>1297</v>
      </c>
      <c r="C454" s="120" t="s">
        <v>149</v>
      </c>
      <c r="D454" s="120" t="s">
        <v>150</v>
      </c>
      <c r="E454" s="120" t="s">
        <v>1304</v>
      </c>
      <c r="F454" s="139" t="s">
        <v>1302</v>
      </c>
      <c r="G454" s="67" t="s">
        <v>1020</v>
      </c>
      <c r="H454" s="139" t="s">
        <v>621</v>
      </c>
      <c r="I454" s="139" t="s">
        <v>1248</v>
      </c>
      <c r="J454" s="143"/>
      <c r="K454" s="228">
        <f t="shared" si="119"/>
        <v>22</v>
      </c>
      <c r="L454" s="269">
        <v>22</v>
      </c>
      <c r="M454" s="269"/>
      <c r="N454" s="269"/>
      <c r="O454" s="269">
        <v>1</v>
      </c>
      <c r="P454" s="269"/>
      <c r="Q454" s="269"/>
      <c r="R454" s="269"/>
      <c r="S454" s="165" t="s">
        <v>1300</v>
      </c>
      <c r="T454" s="70"/>
      <c r="U454" s="238">
        <f t="shared" si="120"/>
        <v>0.5346868088582527</v>
      </c>
      <c r="V454" s="238">
        <f t="shared" si="121"/>
        <v>0</v>
      </c>
      <c r="W454" s="238">
        <f t="shared" si="122"/>
        <v>1.5589222932747136E-2</v>
      </c>
      <c r="X454" s="238">
        <f t="shared" si="123"/>
        <v>0</v>
      </c>
      <c r="Y454" s="238">
        <f t="shared" si="124"/>
        <v>0.51909758592550559</v>
      </c>
      <c r="Z454" s="70">
        <v>0.5346868088582527</v>
      </c>
      <c r="AA454" s="70"/>
      <c r="AB454" s="70">
        <v>1.5589222932747136E-2</v>
      </c>
      <c r="AC454" s="70"/>
      <c r="AD454" s="71">
        <v>0.51909758592550559</v>
      </c>
      <c r="AE454" s="233"/>
      <c r="AF454" s="72"/>
      <c r="AG454" s="170">
        <v>0.38300000000000001</v>
      </c>
      <c r="AH454" s="73">
        <v>0.20478504779271078</v>
      </c>
      <c r="AI454" s="73">
        <v>0</v>
      </c>
      <c r="AJ454" s="73">
        <v>5.9706723832421531E-3</v>
      </c>
      <c r="AK454" s="73">
        <v>0</v>
      </c>
      <c r="AL454" s="129">
        <v>0.19881437540946864</v>
      </c>
      <c r="AM454" s="202">
        <f t="shared" si="125"/>
        <v>1.2389364683661591E-5</v>
      </c>
      <c r="AN454" s="202">
        <f t="shared" si="126"/>
        <v>0</v>
      </c>
      <c r="AO454" s="202">
        <f t="shared" si="127"/>
        <v>3.612218682954398E-7</v>
      </c>
      <c r="AP454" s="202">
        <f t="shared" si="128"/>
        <v>0</v>
      </c>
      <c r="AQ454" s="202">
        <f t="shared" si="129"/>
        <v>1.2028142815366152E-5</v>
      </c>
      <c r="AR454" s="217" t="s">
        <v>1296</v>
      </c>
      <c r="AS454" s="226" t="s">
        <v>1660</v>
      </c>
      <c r="AT454" s="234">
        <v>311411</v>
      </c>
      <c r="AU454" s="244">
        <f t="shared" si="130"/>
        <v>0.20478504779271078</v>
      </c>
      <c r="AV454" s="244">
        <f t="shared" si="131"/>
        <v>0</v>
      </c>
      <c r="AW454" s="244">
        <f t="shared" si="132"/>
        <v>5.9706723832421531E-3</v>
      </c>
      <c r="AX454" s="244">
        <f t="shared" si="133"/>
        <v>0</v>
      </c>
      <c r="AY454" s="244">
        <f t="shared" si="134"/>
        <v>0.19881437540946864</v>
      </c>
      <c r="AZ454">
        <v>1.5792176425117468E-4</v>
      </c>
    </row>
    <row r="455" spans="1:52" ht="15.75" customHeight="1" x14ac:dyDescent="0.35">
      <c r="A455" s="139" t="s">
        <v>1296</v>
      </c>
      <c r="B455" s="67" t="s">
        <v>1297</v>
      </c>
      <c r="C455" s="67" t="s">
        <v>99</v>
      </c>
      <c r="D455" s="120" t="s">
        <v>1133</v>
      </c>
      <c r="E455" s="120" t="s">
        <v>394</v>
      </c>
      <c r="F455" s="139" t="s">
        <v>1305</v>
      </c>
      <c r="G455" s="67" t="s">
        <v>1020</v>
      </c>
      <c r="H455" s="139" t="s">
        <v>1251</v>
      </c>
      <c r="I455" s="139" t="s">
        <v>1306</v>
      </c>
      <c r="J455" s="143" t="s">
        <v>1027</v>
      </c>
      <c r="K455" s="228">
        <f t="shared" si="119"/>
        <v>22</v>
      </c>
      <c r="L455" s="269">
        <v>22</v>
      </c>
      <c r="M455" s="269"/>
      <c r="N455" s="269"/>
      <c r="O455" s="269">
        <v>1</v>
      </c>
      <c r="P455" s="269"/>
      <c r="Q455" s="269"/>
      <c r="R455" s="269"/>
      <c r="S455" s="165" t="s">
        <v>1300</v>
      </c>
      <c r="T455" s="70"/>
      <c r="U455" s="238">
        <f t="shared" si="120"/>
        <v>2.6724382170423663E-2</v>
      </c>
      <c r="V455" s="238">
        <f t="shared" si="121"/>
        <v>0</v>
      </c>
      <c r="W455" s="238">
        <f t="shared" si="122"/>
        <v>2.6724382170423663E-2</v>
      </c>
      <c r="X455" s="238">
        <f t="shared" si="123"/>
        <v>0</v>
      </c>
      <c r="Y455" s="238">
        <f t="shared" si="124"/>
        <v>0</v>
      </c>
      <c r="Z455" s="70">
        <v>2.6724382170423663E-2</v>
      </c>
      <c r="AA455" s="70"/>
      <c r="AB455" s="70">
        <v>2.6724382170423663E-2</v>
      </c>
      <c r="AC455" s="70"/>
      <c r="AD455" s="71">
        <v>0</v>
      </c>
      <c r="AE455" s="233"/>
      <c r="AF455" s="72"/>
      <c r="AG455" s="170">
        <v>0.38300000000000001</v>
      </c>
      <c r="AH455" s="73">
        <v>1.0235438371272262E-2</v>
      </c>
      <c r="AI455" s="73">
        <v>0</v>
      </c>
      <c r="AJ455" s="73">
        <v>1.0235438371272262E-2</v>
      </c>
      <c r="AK455" s="73">
        <v>0</v>
      </c>
      <c r="AL455" s="129">
        <v>0</v>
      </c>
      <c r="AM455" s="202">
        <f t="shared" si="125"/>
        <v>6.1923748850646818E-7</v>
      </c>
      <c r="AN455" s="202">
        <f t="shared" si="126"/>
        <v>0</v>
      </c>
      <c r="AO455" s="202">
        <f t="shared" si="127"/>
        <v>6.1923748850646818E-7</v>
      </c>
      <c r="AP455" s="202">
        <f t="shared" si="128"/>
        <v>0</v>
      </c>
      <c r="AQ455" s="202">
        <f t="shared" si="129"/>
        <v>0</v>
      </c>
      <c r="AR455" s="217" t="s">
        <v>1296</v>
      </c>
      <c r="AS455" s="226" t="s">
        <v>1660</v>
      </c>
      <c r="AT455" s="234">
        <v>311411</v>
      </c>
      <c r="AU455" s="244">
        <f t="shared" si="130"/>
        <v>1.0235438371272262E-2</v>
      </c>
      <c r="AV455" s="244">
        <f t="shared" si="131"/>
        <v>0</v>
      </c>
      <c r="AW455" s="244">
        <f t="shared" si="132"/>
        <v>1.0235438371272262E-2</v>
      </c>
      <c r="AX455" s="244">
        <f t="shared" si="133"/>
        <v>0</v>
      </c>
      <c r="AY455" s="244">
        <f t="shared" si="134"/>
        <v>0</v>
      </c>
      <c r="AZ455">
        <v>7.8931469992460095E-6</v>
      </c>
    </row>
    <row r="456" spans="1:52" ht="15.75" customHeight="1" x14ac:dyDescent="0.35">
      <c r="A456" s="139" t="s">
        <v>1296</v>
      </c>
      <c r="B456" s="67" t="s">
        <v>1297</v>
      </c>
      <c r="C456" s="120" t="s">
        <v>92</v>
      </c>
      <c r="D456" s="120" t="s">
        <v>229</v>
      </c>
      <c r="E456" s="120" t="s">
        <v>1253</v>
      </c>
      <c r="F456" s="139" t="s">
        <v>1307</v>
      </c>
      <c r="G456" s="67" t="s">
        <v>1020</v>
      </c>
      <c r="H456" s="139" t="s">
        <v>1255</v>
      </c>
      <c r="I456" s="139" t="s">
        <v>1256</v>
      </c>
      <c r="J456" s="143"/>
      <c r="K456" s="228">
        <v>85.5</v>
      </c>
      <c r="L456" s="269" t="s">
        <v>1257</v>
      </c>
      <c r="M456" s="269"/>
      <c r="N456" s="269"/>
      <c r="O456" s="269">
        <v>1</v>
      </c>
      <c r="P456" s="269"/>
      <c r="Q456" s="269"/>
      <c r="R456" s="269"/>
      <c r="S456" s="165" t="s">
        <v>1300</v>
      </c>
      <c r="T456" s="70"/>
      <c r="U456" s="238">
        <f t="shared" si="120"/>
        <v>0.45101921400084916</v>
      </c>
      <c r="V456" s="238">
        <f t="shared" si="121"/>
        <v>0</v>
      </c>
      <c r="W456" s="238">
        <f t="shared" si="122"/>
        <v>0</v>
      </c>
      <c r="X456" s="238">
        <f t="shared" si="123"/>
        <v>0</v>
      </c>
      <c r="Y456" s="238">
        <f t="shared" si="124"/>
        <v>0.45101921400084916</v>
      </c>
      <c r="Z456" s="70">
        <v>0.45101921400084916</v>
      </c>
      <c r="AA456" s="70"/>
      <c r="AB456" s="70">
        <v>0</v>
      </c>
      <c r="AC456" s="70"/>
      <c r="AD456" s="71">
        <v>0.45101921400084916</v>
      </c>
      <c r="AE456" s="120">
        <v>100</v>
      </c>
      <c r="AF456" s="121">
        <v>1</v>
      </c>
      <c r="AG456" s="170">
        <v>0.38300000000000001</v>
      </c>
      <c r="AH456" s="73">
        <v>0.17274035896232523</v>
      </c>
      <c r="AI456" s="73">
        <v>0</v>
      </c>
      <c r="AJ456" s="73">
        <v>0</v>
      </c>
      <c r="AK456" s="73">
        <v>0</v>
      </c>
      <c r="AL456" s="129">
        <v>0.17274035896232523</v>
      </c>
      <c r="AM456" s="202">
        <f t="shared" si="125"/>
        <v>1.0450681462531248E-5</v>
      </c>
      <c r="AN456" s="202">
        <f t="shared" si="126"/>
        <v>0</v>
      </c>
      <c r="AO456" s="202">
        <f t="shared" si="127"/>
        <v>0</v>
      </c>
      <c r="AP456" s="202">
        <f t="shared" si="128"/>
        <v>0</v>
      </c>
      <c r="AQ456" s="202">
        <f t="shared" si="129"/>
        <v>1.0450681462531248E-5</v>
      </c>
      <c r="AR456" s="217" t="s">
        <v>1296</v>
      </c>
      <c r="AS456" s="226" t="s">
        <v>1660</v>
      </c>
      <c r="AT456" s="234">
        <v>311411</v>
      </c>
      <c r="AU456" s="244">
        <f t="shared" si="130"/>
        <v>0.17274035896232523</v>
      </c>
      <c r="AV456" s="244">
        <f t="shared" si="131"/>
        <v>0</v>
      </c>
      <c r="AW456" s="244">
        <f t="shared" si="132"/>
        <v>0</v>
      </c>
      <c r="AX456" s="244">
        <f t="shared" si="133"/>
        <v>0</v>
      </c>
      <c r="AY456" s="244">
        <f t="shared" si="134"/>
        <v>0.17274035896232523</v>
      </c>
      <c r="AZ456">
        <v>1.3321022476369789E-4</v>
      </c>
    </row>
    <row r="457" spans="1:52" ht="15.75" customHeight="1" x14ac:dyDescent="0.35">
      <c r="A457" s="139" t="s">
        <v>1296</v>
      </c>
      <c r="B457" s="67" t="s">
        <v>1297</v>
      </c>
      <c r="C457" s="120" t="s">
        <v>124</v>
      </c>
      <c r="D457" s="120" t="s">
        <v>124</v>
      </c>
      <c r="E457" s="120" t="s">
        <v>124</v>
      </c>
      <c r="F457" s="139" t="s">
        <v>1308</v>
      </c>
      <c r="G457" s="67" t="s">
        <v>1020</v>
      </c>
      <c r="H457" s="139" t="s">
        <v>1309</v>
      </c>
      <c r="I457" s="171" t="s">
        <v>1310</v>
      </c>
      <c r="J457" s="143"/>
      <c r="K457" s="228">
        <f t="shared" si="119"/>
        <v>22</v>
      </c>
      <c r="L457" s="269">
        <v>22</v>
      </c>
      <c r="M457" s="269"/>
      <c r="N457" s="269"/>
      <c r="O457" s="269">
        <v>1</v>
      </c>
      <c r="P457" s="269"/>
      <c r="Q457" s="269"/>
      <c r="R457" s="269"/>
      <c r="S457" s="165" t="s">
        <v>1300</v>
      </c>
      <c r="T457" s="70"/>
      <c r="U457" s="238">
        <f t="shared" si="120"/>
        <v>6.6810955426059157E-3</v>
      </c>
      <c r="V457" s="238">
        <f t="shared" si="121"/>
        <v>0</v>
      </c>
      <c r="W457" s="238">
        <f t="shared" si="122"/>
        <v>6.6810955426059157E-3</v>
      </c>
      <c r="X457" s="238">
        <f t="shared" si="123"/>
        <v>0</v>
      </c>
      <c r="Y457" s="238">
        <f t="shared" si="124"/>
        <v>0</v>
      </c>
      <c r="Z457" s="70">
        <v>6.6810955426059157E-3</v>
      </c>
      <c r="AA457" s="70"/>
      <c r="AB457" s="70">
        <v>6.6810955426059157E-3</v>
      </c>
      <c r="AC457" s="70"/>
      <c r="AD457" s="71">
        <v>0</v>
      </c>
      <c r="AE457" s="233"/>
      <c r="AF457" s="72"/>
      <c r="AG457" s="170">
        <v>0.38300000000000001</v>
      </c>
      <c r="AH457" s="73">
        <v>2.5588595928180656E-3</v>
      </c>
      <c r="AI457" s="73">
        <v>0</v>
      </c>
      <c r="AJ457" s="73">
        <v>2.5588595928180656E-3</v>
      </c>
      <c r="AK457" s="73">
        <v>0</v>
      </c>
      <c r="AL457" s="129">
        <v>0</v>
      </c>
      <c r="AM457" s="202">
        <f t="shared" si="125"/>
        <v>1.5480937212661705E-7</v>
      </c>
      <c r="AN457" s="202">
        <f t="shared" si="126"/>
        <v>0</v>
      </c>
      <c r="AO457" s="202">
        <f t="shared" si="127"/>
        <v>1.5480937212661705E-7</v>
      </c>
      <c r="AP457" s="202">
        <f t="shared" si="128"/>
        <v>0</v>
      </c>
      <c r="AQ457" s="202">
        <f t="shared" si="129"/>
        <v>0</v>
      </c>
      <c r="AR457" s="217" t="s">
        <v>1296</v>
      </c>
      <c r="AS457" s="226" t="s">
        <v>1660</v>
      </c>
      <c r="AT457" s="234">
        <v>311411</v>
      </c>
      <c r="AU457" s="244">
        <f t="shared" si="130"/>
        <v>2.5588595928180656E-3</v>
      </c>
      <c r="AV457" s="244">
        <f t="shared" si="131"/>
        <v>0</v>
      </c>
      <c r="AW457" s="244">
        <f t="shared" si="132"/>
        <v>2.5588595928180656E-3</v>
      </c>
      <c r="AX457" s="244">
        <f t="shared" si="133"/>
        <v>0</v>
      </c>
      <c r="AY457" s="244">
        <f t="shared" si="134"/>
        <v>0</v>
      </c>
      <c r="AZ457">
        <v>1.9732867498115024E-6</v>
      </c>
    </row>
    <row r="458" spans="1:52" ht="15.75" customHeight="1" x14ac:dyDescent="0.35">
      <c r="A458" s="139" t="s">
        <v>1296</v>
      </c>
      <c r="B458" s="67" t="s">
        <v>1297</v>
      </c>
      <c r="C458" s="120" t="s">
        <v>67</v>
      </c>
      <c r="D458" s="120" t="s">
        <v>67</v>
      </c>
      <c r="E458" s="120" t="s">
        <v>1311</v>
      </c>
      <c r="F458" s="139" t="s">
        <v>1297</v>
      </c>
      <c r="G458" s="67" t="s">
        <v>1020</v>
      </c>
      <c r="H458" s="139" t="s">
        <v>1030</v>
      </c>
      <c r="I458" s="139" t="s">
        <v>1312</v>
      </c>
      <c r="J458" s="143" t="s">
        <v>1158</v>
      </c>
      <c r="K458" s="228">
        <f t="shared" si="119"/>
        <v>-18</v>
      </c>
      <c r="L458" s="269">
        <v>-18</v>
      </c>
      <c r="M458" s="269"/>
      <c r="N458" s="269"/>
      <c r="O458" s="269">
        <v>1</v>
      </c>
      <c r="P458" s="269"/>
      <c r="Q458" s="269"/>
      <c r="R458" s="269"/>
      <c r="S458" s="165" t="s">
        <v>1300</v>
      </c>
      <c r="T458" s="70"/>
      <c r="U458" s="238">
        <f t="shared" si="120"/>
        <v>1.305040662655689</v>
      </c>
      <c r="V458" s="238">
        <f t="shared" si="121"/>
        <v>0</v>
      </c>
      <c r="W458" s="238">
        <f t="shared" si="122"/>
        <v>1.305040662655689</v>
      </c>
      <c r="X458" s="238">
        <f t="shared" si="123"/>
        <v>0</v>
      </c>
      <c r="Y458" s="238">
        <f t="shared" si="124"/>
        <v>0</v>
      </c>
      <c r="Z458" s="70">
        <v>1.305040662655689</v>
      </c>
      <c r="AA458" s="70"/>
      <c r="AB458" s="70">
        <v>1.305040662655689</v>
      </c>
      <c r="AC458" s="70"/>
      <c r="AD458" s="71">
        <v>0</v>
      </c>
      <c r="AE458" s="233"/>
      <c r="AF458" s="72"/>
      <c r="AG458" s="170">
        <v>0.38300000000000001</v>
      </c>
      <c r="AH458" s="73">
        <v>0.49983057379712886</v>
      </c>
      <c r="AI458" s="73">
        <v>0</v>
      </c>
      <c r="AJ458" s="73">
        <v>0.49983057379712886</v>
      </c>
      <c r="AK458" s="73">
        <v>0</v>
      </c>
      <c r="AL458" s="129">
        <v>0</v>
      </c>
      <c r="AM458" s="202">
        <f t="shared" si="125"/>
        <v>3.0239430688732531E-5</v>
      </c>
      <c r="AN458" s="202">
        <f t="shared" si="126"/>
        <v>0</v>
      </c>
      <c r="AO458" s="202">
        <f t="shared" si="127"/>
        <v>3.0239430688732531E-5</v>
      </c>
      <c r="AP458" s="202">
        <f t="shared" si="128"/>
        <v>0</v>
      </c>
      <c r="AQ458" s="202">
        <f t="shared" si="129"/>
        <v>0</v>
      </c>
      <c r="AR458" s="217" t="s">
        <v>1296</v>
      </c>
      <c r="AS458" s="226" t="s">
        <v>1660</v>
      </c>
      <c r="AT458" s="234">
        <v>311411</v>
      </c>
      <c r="AU458" s="244">
        <f t="shared" si="130"/>
        <v>0.49983057379712886</v>
      </c>
      <c r="AV458" s="244">
        <f t="shared" si="131"/>
        <v>0</v>
      </c>
      <c r="AW458" s="244">
        <f t="shared" si="132"/>
        <v>0.49983057379712886</v>
      </c>
      <c r="AX458" s="244">
        <f t="shared" si="133"/>
        <v>0</v>
      </c>
      <c r="AY458" s="244">
        <f t="shared" si="134"/>
        <v>0</v>
      </c>
      <c r="AZ458">
        <v>3.8544867846318015E-4</v>
      </c>
    </row>
    <row r="459" spans="1:52" ht="15.75" customHeight="1" x14ac:dyDescent="0.35">
      <c r="A459" s="145" t="s">
        <v>1296</v>
      </c>
      <c r="B459" s="78" t="s">
        <v>1297</v>
      </c>
      <c r="C459" s="147" t="s">
        <v>124</v>
      </c>
      <c r="D459" s="147" t="s">
        <v>124</v>
      </c>
      <c r="E459" s="145" t="s">
        <v>1054</v>
      </c>
      <c r="F459" s="145" t="s">
        <v>1297</v>
      </c>
      <c r="G459" s="78" t="s">
        <v>1020</v>
      </c>
      <c r="H459" s="145" t="s">
        <v>125</v>
      </c>
      <c r="I459" s="145" t="s">
        <v>125</v>
      </c>
      <c r="J459" s="146"/>
      <c r="K459" s="228">
        <f t="shared" si="119"/>
        <v>-18</v>
      </c>
      <c r="L459" s="269">
        <v>-18</v>
      </c>
      <c r="M459" s="269"/>
      <c r="N459" s="269"/>
      <c r="O459" s="269">
        <v>1</v>
      </c>
      <c r="P459" s="269"/>
      <c r="Q459" s="269"/>
      <c r="R459" s="269"/>
      <c r="S459" s="165" t="s">
        <v>1300</v>
      </c>
      <c r="T459" s="82"/>
      <c r="U459" s="238">
        <f t="shared" si="120"/>
        <v>3.3405477713029576E-2</v>
      </c>
      <c r="V459" s="238">
        <f t="shared" si="121"/>
        <v>0</v>
      </c>
      <c r="W459" s="238">
        <f t="shared" si="122"/>
        <v>3.3405477713029576E-2</v>
      </c>
      <c r="X459" s="238">
        <f t="shared" si="123"/>
        <v>0</v>
      </c>
      <c r="Y459" s="238">
        <f t="shared" si="124"/>
        <v>0</v>
      </c>
      <c r="Z459" s="70">
        <v>3.3405477713029576E-2</v>
      </c>
      <c r="AA459" s="70"/>
      <c r="AB459" s="70">
        <v>3.3405477713029576E-2</v>
      </c>
      <c r="AC459" s="70"/>
      <c r="AD459" s="71">
        <v>0</v>
      </c>
      <c r="AE459" s="81"/>
      <c r="AF459" s="84"/>
      <c r="AG459" s="172">
        <v>0.38300000000000001</v>
      </c>
      <c r="AH459" s="85">
        <v>1.2794297964090328E-2</v>
      </c>
      <c r="AI459" s="85">
        <v>0</v>
      </c>
      <c r="AJ459" s="85">
        <v>1.2794297964090328E-2</v>
      </c>
      <c r="AK459" s="85">
        <v>0</v>
      </c>
      <c r="AL459" s="133">
        <v>0</v>
      </c>
      <c r="AM459" s="202">
        <f t="shared" si="125"/>
        <v>7.740468606330852E-7</v>
      </c>
      <c r="AN459" s="202">
        <f t="shared" si="126"/>
        <v>0</v>
      </c>
      <c r="AO459" s="202">
        <f t="shared" si="127"/>
        <v>7.740468606330852E-7</v>
      </c>
      <c r="AP459" s="202">
        <f t="shared" si="128"/>
        <v>0</v>
      </c>
      <c r="AQ459" s="202">
        <f t="shared" si="129"/>
        <v>0</v>
      </c>
      <c r="AR459" s="213" t="s">
        <v>1296</v>
      </c>
      <c r="AS459" s="226" t="s">
        <v>1660</v>
      </c>
      <c r="AT459" s="234">
        <v>311411</v>
      </c>
      <c r="AU459" s="244">
        <f t="shared" si="130"/>
        <v>1.2794297964090328E-2</v>
      </c>
      <c r="AV459" s="244">
        <f t="shared" si="131"/>
        <v>0</v>
      </c>
      <c r="AW459" s="244">
        <f t="shared" si="132"/>
        <v>1.2794297964090328E-2</v>
      </c>
      <c r="AX459" s="244">
        <f t="shared" si="133"/>
        <v>0</v>
      </c>
      <c r="AY459" s="244">
        <f t="shared" si="134"/>
        <v>0</v>
      </c>
      <c r="AZ459">
        <v>9.8664337490575114E-6</v>
      </c>
    </row>
    <row r="460" spans="1:52" ht="15.75" customHeight="1" x14ac:dyDescent="0.35">
      <c r="A460" s="139" t="s">
        <v>1296</v>
      </c>
      <c r="B460" s="67" t="s">
        <v>1313</v>
      </c>
      <c r="C460" s="120" t="s">
        <v>149</v>
      </c>
      <c r="D460" s="120" t="s">
        <v>1314</v>
      </c>
      <c r="E460" s="120" t="s">
        <v>1314</v>
      </c>
      <c r="F460" s="139" t="s">
        <v>1315</v>
      </c>
      <c r="G460" s="67" t="s">
        <v>1020</v>
      </c>
      <c r="H460" s="139" t="s">
        <v>975</v>
      </c>
      <c r="I460" s="139" t="s">
        <v>1299</v>
      </c>
      <c r="J460" s="143"/>
      <c r="K460" s="228">
        <f t="shared" si="119"/>
        <v>22</v>
      </c>
      <c r="L460" s="269">
        <v>22</v>
      </c>
      <c r="M460" s="269"/>
      <c r="N460" s="269"/>
      <c r="O460" s="269">
        <v>1</v>
      </c>
      <c r="P460" s="269"/>
      <c r="Q460" s="269"/>
      <c r="R460" s="269"/>
      <c r="S460" s="167" t="s">
        <v>1300</v>
      </c>
      <c r="T460" s="70"/>
      <c r="U460" s="238">
        <f t="shared" si="120"/>
        <v>1.1135159237676525E-2</v>
      </c>
      <c r="V460" s="238">
        <f t="shared" si="121"/>
        <v>0</v>
      </c>
      <c r="W460" s="238">
        <f t="shared" si="122"/>
        <v>1.1135159237676525E-2</v>
      </c>
      <c r="X460" s="238">
        <f t="shared" si="123"/>
        <v>0</v>
      </c>
      <c r="Y460" s="238">
        <f t="shared" si="124"/>
        <v>0</v>
      </c>
      <c r="Z460" s="82">
        <v>1.1135159237676525E-2</v>
      </c>
      <c r="AA460" s="82"/>
      <c r="AB460" s="82">
        <v>1.1135159237676525E-2</v>
      </c>
      <c r="AC460" s="82"/>
      <c r="AD460" s="83">
        <v>0</v>
      </c>
      <c r="AE460" s="233"/>
      <c r="AF460" s="72"/>
      <c r="AG460" s="170">
        <v>5.45</v>
      </c>
      <c r="AH460" s="73">
        <v>6.0686617845337062E-2</v>
      </c>
      <c r="AI460" s="73">
        <v>0</v>
      </c>
      <c r="AJ460" s="73">
        <v>6.0686617845337062E-2</v>
      </c>
      <c r="AK460" s="73">
        <v>0</v>
      </c>
      <c r="AL460" s="129">
        <v>0</v>
      </c>
      <c r="AM460" s="202">
        <f t="shared" si="125"/>
        <v>3.6715016453005348E-6</v>
      </c>
      <c r="AN460" s="202">
        <f t="shared" si="126"/>
        <v>0</v>
      </c>
      <c r="AO460" s="202">
        <f t="shared" si="127"/>
        <v>3.6715016453005348E-6</v>
      </c>
      <c r="AP460" s="202">
        <f t="shared" si="128"/>
        <v>0</v>
      </c>
      <c r="AQ460" s="202">
        <f t="shared" si="129"/>
        <v>0</v>
      </c>
      <c r="AR460" s="217" t="s">
        <v>1296</v>
      </c>
      <c r="AS460" s="226" t="s">
        <v>1660</v>
      </c>
      <c r="AT460" s="234">
        <v>311411</v>
      </c>
      <c r="AU460" s="244">
        <f t="shared" si="130"/>
        <v>6.0686617845337062E-2</v>
      </c>
      <c r="AV460" s="244">
        <f t="shared" si="131"/>
        <v>0</v>
      </c>
      <c r="AW460" s="244">
        <f t="shared" si="132"/>
        <v>6.0686617845337062E-2</v>
      </c>
      <c r="AX460" s="244">
        <f t="shared" si="133"/>
        <v>0</v>
      </c>
      <c r="AY460" s="244">
        <f t="shared" si="134"/>
        <v>0</v>
      </c>
      <c r="AZ460">
        <v>4.6799011255320661E-5</v>
      </c>
    </row>
    <row r="461" spans="1:52" ht="15.75" customHeight="1" x14ac:dyDescent="0.35">
      <c r="A461" s="139" t="s">
        <v>1296</v>
      </c>
      <c r="B461" s="67" t="s">
        <v>1313</v>
      </c>
      <c r="C461" s="120" t="s">
        <v>149</v>
      </c>
      <c r="D461" s="120" t="s">
        <v>150</v>
      </c>
      <c r="E461" s="120" t="s">
        <v>150</v>
      </c>
      <c r="F461" s="139" t="s">
        <v>1316</v>
      </c>
      <c r="G461" s="67" t="s">
        <v>1020</v>
      </c>
      <c r="H461" s="139" t="s">
        <v>621</v>
      </c>
      <c r="I461" s="139" t="s">
        <v>1248</v>
      </c>
      <c r="J461" s="143"/>
      <c r="K461" s="228">
        <f t="shared" si="119"/>
        <v>22</v>
      </c>
      <c r="L461" s="269">
        <v>22</v>
      </c>
      <c r="M461" s="269"/>
      <c r="N461" s="269"/>
      <c r="O461" s="269">
        <v>1</v>
      </c>
      <c r="P461" s="269"/>
      <c r="Q461" s="269"/>
      <c r="R461" s="269"/>
      <c r="S461" s="165" t="s">
        <v>1300</v>
      </c>
      <c r="T461" s="70"/>
      <c r="U461" s="238">
        <f t="shared" si="120"/>
        <v>0.5040937887087773</v>
      </c>
      <c r="V461" s="238">
        <f t="shared" si="121"/>
        <v>0</v>
      </c>
      <c r="W461" s="238">
        <f t="shared" si="122"/>
        <v>1.3362191085211831E-2</v>
      </c>
      <c r="X461" s="238">
        <f t="shared" si="123"/>
        <v>0</v>
      </c>
      <c r="Y461" s="238">
        <f t="shared" si="124"/>
        <v>0.49073159762356544</v>
      </c>
      <c r="Z461" s="70">
        <v>0.5040937887087773</v>
      </c>
      <c r="AA461" s="70"/>
      <c r="AB461" s="70">
        <v>1.3362191085211831E-2</v>
      </c>
      <c r="AC461" s="70"/>
      <c r="AD461" s="71">
        <v>0.49073159762356544</v>
      </c>
      <c r="AE461" s="120">
        <v>100</v>
      </c>
      <c r="AF461" s="121">
        <v>1</v>
      </c>
      <c r="AG461" s="170">
        <v>5.45</v>
      </c>
      <c r="AH461" s="73">
        <v>2.7473111484628365</v>
      </c>
      <c r="AI461" s="73">
        <v>0</v>
      </c>
      <c r="AJ461" s="73">
        <v>7.2823941414404486E-2</v>
      </c>
      <c r="AK461" s="73">
        <v>0</v>
      </c>
      <c r="AL461" s="129">
        <v>2.6744872070484318</v>
      </c>
      <c r="AM461" s="202">
        <f t="shared" si="125"/>
        <v>1.66210570960478E-4</v>
      </c>
      <c r="AN461" s="202">
        <f t="shared" si="126"/>
        <v>0</v>
      </c>
      <c r="AO461" s="202">
        <f t="shared" si="127"/>
        <v>4.4058019743606421E-6</v>
      </c>
      <c r="AP461" s="202">
        <f t="shared" si="128"/>
        <v>0</v>
      </c>
      <c r="AQ461" s="202">
        <f t="shared" si="129"/>
        <v>1.6180476898611733E-4</v>
      </c>
      <c r="AR461" s="217" t="s">
        <v>1296</v>
      </c>
      <c r="AS461" s="226" t="s">
        <v>1660</v>
      </c>
      <c r="AT461" s="234">
        <v>311411</v>
      </c>
      <c r="AU461" s="244">
        <f t="shared" si="130"/>
        <v>2.7473111484628365</v>
      </c>
      <c r="AV461" s="244">
        <f t="shared" si="131"/>
        <v>0</v>
      </c>
      <c r="AW461" s="244">
        <f t="shared" si="132"/>
        <v>7.2823941414404486E-2</v>
      </c>
      <c r="AX461" s="244">
        <f t="shared" si="133"/>
        <v>0</v>
      </c>
      <c r="AY461" s="244">
        <f t="shared" si="134"/>
        <v>2.6744872070484318</v>
      </c>
      <c r="AZ461">
        <v>2.1186128000484569E-3</v>
      </c>
    </row>
    <row r="462" spans="1:52" ht="15.75" customHeight="1" x14ac:dyDescent="0.35">
      <c r="A462" s="139" t="s">
        <v>1296</v>
      </c>
      <c r="B462" s="67" t="s">
        <v>1313</v>
      </c>
      <c r="C462" s="67" t="s">
        <v>99</v>
      </c>
      <c r="D462" s="120" t="s">
        <v>1258</v>
      </c>
      <c r="E462" s="120" t="s">
        <v>1258</v>
      </c>
      <c r="F462" s="139" t="s">
        <v>1317</v>
      </c>
      <c r="G462" s="67" t="s">
        <v>1020</v>
      </c>
      <c r="H462" s="139" t="s">
        <v>1260</v>
      </c>
      <c r="I462" s="139" t="s">
        <v>1261</v>
      </c>
      <c r="J462" s="143"/>
      <c r="K462" s="228">
        <f t="shared" si="119"/>
        <v>22</v>
      </c>
      <c r="L462" s="269">
        <v>22</v>
      </c>
      <c r="M462" s="269"/>
      <c r="N462" s="269"/>
      <c r="O462" s="269">
        <v>1</v>
      </c>
      <c r="P462" s="269"/>
      <c r="Q462" s="269"/>
      <c r="R462" s="269"/>
      <c r="S462" s="165" t="s">
        <v>1300</v>
      </c>
      <c r="T462" s="70"/>
      <c r="U462" s="238">
        <f t="shared" si="120"/>
        <v>1.3362191085211831E-2</v>
      </c>
      <c r="V462" s="238">
        <f t="shared" si="121"/>
        <v>0</v>
      </c>
      <c r="W462" s="238">
        <f t="shared" si="122"/>
        <v>1.3362191085211831E-2</v>
      </c>
      <c r="X462" s="238">
        <f t="shared" si="123"/>
        <v>0</v>
      </c>
      <c r="Y462" s="238">
        <f t="shared" si="124"/>
        <v>0</v>
      </c>
      <c r="Z462" s="70">
        <v>1.3362191085211831E-2</v>
      </c>
      <c r="AA462" s="70"/>
      <c r="AB462" s="70">
        <v>1.3362191085211831E-2</v>
      </c>
      <c r="AC462" s="70"/>
      <c r="AD462" s="71">
        <v>0</v>
      </c>
      <c r="AE462" s="233"/>
      <c r="AF462" s="72"/>
      <c r="AG462" s="170">
        <v>5.45</v>
      </c>
      <c r="AH462" s="73">
        <v>7.2823941414404486E-2</v>
      </c>
      <c r="AI462" s="73">
        <v>0</v>
      </c>
      <c r="AJ462" s="73">
        <v>7.2823941414404486E-2</v>
      </c>
      <c r="AK462" s="73">
        <v>0</v>
      </c>
      <c r="AL462" s="129">
        <v>0</v>
      </c>
      <c r="AM462" s="202">
        <f t="shared" si="125"/>
        <v>4.4058019743606421E-6</v>
      </c>
      <c r="AN462" s="202">
        <f t="shared" si="126"/>
        <v>0</v>
      </c>
      <c r="AO462" s="202">
        <f t="shared" si="127"/>
        <v>4.4058019743606421E-6</v>
      </c>
      <c r="AP462" s="202">
        <f t="shared" si="128"/>
        <v>0</v>
      </c>
      <c r="AQ462" s="202">
        <f t="shared" si="129"/>
        <v>0</v>
      </c>
      <c r="AR462" s="217" t="s">
        <v>1296</v>
      </c>
      <c r="AS462" s="226" t="s">
        <v>1660</v>
      </c>
      <c r="AT462" s="234">
        <v>311411</v>
      </c>
      <c r="AU462" s="244">
        <f t="shared" si="130"/>
        <v>7.2823941414404486E-2</v>
      </c>
      <c r="AV462" s="244">
        <f t="shared" si="131"/>
        <v>0</v>
      </c>
      <c r="AW462" s="244">
        <f t="shared" si="132"/>
        <v>7.2823941414404486E-2</v>
      </c>
      <c r="AX462" s="244">
        <f t="shared" si="133"/>
        <v>0</v>
      </c>
      <c r="AY462" s="244">
        <f t="shared" si="134"/>
        <v>0</v>
      </c>
      <c r="AZ462">
        <v>5.6158813506384794E-5</v>
      </c>
    </row>
    <row r="463" spans="1:52" ht="15.75" customHeight="1" x14ac:dyDescent="0.35">
      <c r="A463" s="139" t="s">
        <v>1296</v>
      </c>
      <c r="B463" s="67" t="s">
        <v>1313</v>
      </c>
      <c r="C463" s="67" t="s">
        <v>99</v>
      </c>
      <c r="D463" s="120" t="s">
        <v>1133</v>
      </c>
      <c r="E463" s="120" t="s">
        <v>394</v>
      </c>
      <c r="F463" s="139" t="s">
        <v>1318</v>
      </c>
      <c r="G463" s="67" t="s">
        <v>1020</v>
      </c>
      <c r="H463" s="139" t="s">
        <v>1251</v>
      </c>
      <c r="I463" s="139" t="s">
        <v>1306</v>
      </c>
      <c r="J463" s="143" t="s">
        <v>1027</v>
      </c>
      <c r="K463" s="228">
        <f t="shared" si="119"/>
        <v>22</v>
      </c>
      <c r="L463" s="269">
        <v>22</v>
      </c>
      <c r="M463" s="269"/>
      <c r="N463" s="269"/>
      <c r="O463" s="269">
        <v>1</v>
      </c>
      <c r="P463" s="269"/>
      <c r="Q463" s="269"/>
      <c r="R463" s="269"/>
      <c r="S463" s="165" t="s">
        <v>1300</v>
      </c>
      <c r="T463" s="70"/>
      <c r="U463" s="238">
        <f t="shared" si="120"/>
        <v>2.4497350322888353E-2</v>
      </c>
      <c r="V463" s="238">
        <f t="shared" si="121"/>
        <v>0</v>
      </c>
      <c r="W463" s="238">
        <f t="shared" si="122"/>
        <v>2.4497350322888353E-2</v>
      </c>
      <c r="X463" s="238">
        <f t="shared" si="123"/>
        <v>0</v>
      </c>
      <c r="Y463" s="238">
        <f t="shared" si="124"/>
        <v>0</v>
      </c>
      <c r="Z463" s="70">
        <v>2.4497350322888353E-2</v>
      </c>
      <c r="AA463" s="70"/>
      <c r="AB463" s="70">
        <v>2.4497350322888353E-2</v>
      </c>
      <c r="AC463" s="70"/>
      <c r="AD463" s="71">
        <v>0</v>
      </c>
      <c r="AE463" s="233"/>
      <c r="AF463" s="72"/>
      <c r="AG463" s="170">
        <v>5.45</v>
      </c>
      <c r="AH463" s="73">
        <v>0.13351055925974153</v>
      </c>
      <c r="AI463" s="73">
        <v>0</v>
      </c>
      <c r="AJ463" s="73">
        <v>0.13351055925974153</v>
      </c>
      <c r="AK463" s="73">
        <v>0</v>
      </c>
      <c r="AL463" s="129">
        <v>0</v>
      </c>
      <c r="AM463" s="202">
        <f t="shared" si="125"/>
        <v>8.0773036196611755E-6</v>
      </c>
      <c r="AN463" s="202">
        <f t="shared" si="126"/>
        <v>0</v>
      </c>
      <c r="AO463" s="202">
        <f t="shared" si="127"/>
        <v>8.0773036196611755E-6</v>
      </c>
      <c r="AP463" s="202">
        <f t="shared" si="128"/>
        <v>0</v>
      </c>
      <c r="AQ463" s="202">
        <f t="shared" si="129"/>
        <v>0</v>
      </c>
      <c r="AR463" s="217" t="s">
        <v>1296</v>
      </c>
      <c r="AS463" s="226" t="s">
        <v>1660</v>
      </c>
      <c r="AT463" s="234">
        <v>311411</v>
      </c>
      <c r="AU463" s="244">
        <f t="shared" si="130"/>
        <v>0.13351055925974153</v>
      </c>
      <c r="AV463" s="244">
        <f t="shared" si="131"/>
        <v>0</v>
      </c>
      <c r="AW463" s="244">
        <f t="shared" si="132"/>
        <v>0.13351055925974153</v>
      </c>
      <c r="AX463" s="244">
        <f t="shared" si="133"/>
        <v>0</v>
      </c>
      <c r="AY463" s="244">
        <f t="shared" si="134"/>
        <v>0</v>
      </c>
      <c r="AZ463">
        <v>1.0295782476170545E-4</v>
      </c>
    </row>
    <row r="464" spans="1:52" ht="15.75" customHeight="1" x14ac:dyDescent="0.35">
      <c r="A464" s="139" t="s">
        <v>1296</v>
      </c>
      <c r="B464" s="67" t="s">
        <v>1313</v>
      </c>
      <c r="C464" s="120" t="s">
        <v>92</v>
      </c>
      <c r="D464" s="120" t="s">
        <v>229</v>
      </c>
      <c r="E464" s="120" t="s">
        <v>1253</v>
      </c>
      <c r="F464" s="139" t="s">
        <v>1319</v>
      </c>
      <c r="G464" s="67" t="s">
        <v>1020</v>
      </c>
      <c r="H464" s="139" t="s">
        <v>1255</v>
      </c>
      <c r="I464" s="139" t="s">
        <v>1256</v>
      </c>
      <c r="J464" s="143"/>
      <c r="K464" s="228">
        <v>85.5</v>
      </c>
      <c r="L464" s="269" t="s">
        <v>1257</v>
      </c>
      <c r="M464" s="269"/>
      <c r="N464" s="269"/>
      <c r="O464" s="269">
        <v>1</v>
      </c>
      <c r="P464" s="269"/>
      <c r="Q464" s="269"/>
      <c r="R464" s="269"/>
      <c r="S464" s="165" t="s">
        <v>1300</v>
      </c>
      <c r="T464" s="70"/>
      <c r="U464" s="238">
        <f t="shared" si="120"/>
        <v>0.4538558128310432</v>
      </c>
      <c r="V464" s="238">
        <f t="shared" si="121"/>
        <v>0</v>
      </c>
      <c r="W464" s="238">
        <f t="shared" si="122"/>
        <v>0</v>
      </c>
      <c r="X464" s="238">
        <f t="shared" si="123"/>
        <v>0</v>
      </c>
      <c r="Y464" s="238">
        <f t="shared" si="124"/>
        <v>0.4538558128310432</v>
      </c>
      <c r="Z464" s="70">
        <v>0.4538558128310432</v>
      </c>
      <c r="AA464" s="70"/>
      <c r="AB464" s="70">
        <v>0</v>
      </c>
      <c r="AC464" s="70"/>
      <c r="AD464" s="71">
        <v>0.4538558128310432</v>
      </c>
      <c r="AE464" s="120">
        <v>100</v>
      </c>
      <c r="AF464" s="121">
        <v>1</v>
      </c>
      <c r="AG464" s="170">
        <v>5.45</v>
      </c>
      <c r="AH464" s="73">
        <v>2.4735141799291855</v>
      </c>
      <c r="AI464" s="73">
        <v>0</v>
      </c>
      <c r="AJ464" s="73">
        <v>0</v>
      </c>
      <c r="AK464" s="73">
        <v>0</v>
      </c>
      <c r="AL464" s="129">
        <v>2.4735141799291855</v>
      </c>
      <c r="AM464" s="202">
        <f t="shared" si="125"/>
        <v>1.4964602912010853E-4</v>
      </c>
      <c r="AN464" s="202">
        <f t="shared" si="126"/>
        <v>0</v>
      </c>
      <c r="AO464" s="202">
        <f t="shared" si="127"/>
        <v>0</v>
      </c>
      <c r="AP464" s="202">
        <f t="shared" si="128"/>
        <v>0</v>
      </c>
      <c r="AQ464" s="202">
        <f t="shared" si="129"/>
        <v>1.4964602912010853E-4</v>
      </c>
      <c r="AR464" s="217" t="s">
        <v>1296</v>
      </c>
      <c r="AS464" s="226" t="s">
        <v>1660</v>
      </c>
      <c r="AT464" s="234">
        <v>311411</v>
      </c>
      <c r="AU464" s="244">
        <f t="shared" si="130"/>
        <v>2.4735141799291855</v>
      </c>
      <c r="AV464" s="244">
        <f t="shared" si="131"/>
        <v>0</v>
      </c>
      <c r="AW464" s="244">
        <f t="shared" si="132"/>
        <v>0</v>
      </c>
      <c r="AX464" s="244">
        <f t="shared" si="133"/>
        <v>0</v>
      </c>
      <c r="AY464" s="244">
        <f t="shared" si="134"/>
        <v>2.4735141799291855</v>
      </c>
      <c r="AZ464">
        <v>1.9074718950678122E-3</v>
      </c>
    </row>
    <row r="465" spans="1:52" ht="15.75" customHeight="1" x14ac:dyDescent="0.35">
      <c r="A465" s="139" t="s">
        <v>1296</v>
      </c>
      <c r="B465" s="67" t="s">
        <v>1313</v>
      </c>
      <c r="C465" s="120" t="s">
        <v>48</v>
      </c>
      <c r="D465" s="120" t="s">
        <v>1264</v>
      </c>
      <c r="E465" s="120" t="s">
        <v>1320</v>
      </c>
      <c r="F465" s="139" t="s">
        <v>1321</v>
      </c>
      <c r="G465" s="67" t="s">
        <v>1020</v>
      </c>
      <c r="H465" s="139" t="s">
        <v>1191</v>
      </c>
      <c r="I465" s="139" t="s">
        <v>1322</v>
      </c>
      <c r="J465" s="143"/>
      <c r="K465" s="228">
        <f>AVERAGE(175,190)</f>
        <v>182.5</v>
      </c>
      <c r="L465" s="269" t="s">
        <v>1323</v>
      </c>
      <c r="M465" s="269"/>
      <c r="N465" s="269"/>
      <c r="O465" s="269">
        <v>1</v>
      </c>
      <c r="P465" s="269"/>
      <c r="Q465" s="269"/>
      <c r="R465" s="269"/>
      <c r="S465" s="165" t="s">
        <v>1300</v>
      </c>
      <c r="T465" s="70"/>
      <c r="U465" s="238">
        <f t="shared" si="120"/>
        <v>0.64532623386913956</v>
      </c>
      <c r="V465" s="238">
        <f t="shared" si="121"/>
        <v>0</v>
      </c>
      <c r="W465" s="238">
        <f t="shared" si="122"/>
        <v>0</v>
      </c>
      <c r="X465" s="238">
        <f t="shared" si="123"/>
        <v>0.64532623386913956</v>
      </c>
      <c r="Y465" s="238">
        <f t="shared" si="124"/>
        <v>0</v>
      </c>
      <c r="Z465" s="70">
        <v>0.64532623386913956</v>
      </c>
      <c r="AA465" s="70"/>
      <c r="AB465" s="70">
        <v>0</v>
      </c>
      <c r="AC465" s="70">
        <v>0.64532623386913956</v>
      </c>
      <c r="AD465" s="71">
        <v>0</v>
      </c>
      <c r="AE465" s="233"/>
      <c r="AF465" s="72"/>
      <c r="AG465" s="170">
        <v>5.45</v>
      </c>
      <c r="AH465" s="73">
        <v>3.5170279745868109</v>
      </c>
      <c r="AI465" s="73">
        <v>0</v>
      </c>
      <c r="AJ465" s="73">
        <v>0</v>
      </c>
      <c r="AK465" s="73">
        <v>3.5170279745868109</v>
      </c>
      <c r="AL465" s="129">
        <v>0</v>
      </c>
      <c r="AM465" s="202">
        <f t="shared" si="125"/>
        <v>2.1277794765515431E-4</v>
      </c>
      <c r="AN465" s="202">
        <f t="shared" si="126"/>
        <v>0</v>
      </c>
      <c r="AO465" s="202">
        <f t="shared" si="127"/>
        <v>0</v>
      </c>
      <c r="AP465" s="202">
        <f t="shared" si="128"/>
        <v>2.1277794765515431E-4</v>
      </c>
      <c r="AQ465" s="202">
        <f t="shared" si="129"/>
        <v>0</v>
      </c>
      <c r="AR465" s="217" t="s">
        <v>1296</v>
      </c>
      <c r="AS465" s="226" t="s">
        <v>1660</v>
      </c>
      <c r="AT465" s="234">
        <v>311411</v>
      </c>
      <c r="AU465" s="244">
        <f t="shared" si="130"/>
        <v>3.5170279745868109</v>
      </c>
      <c r="AV465" s="244">
        <f t="shared" si="131"/>
        <v>0</v>
      </c>
      <c r="AW465" s="244">
        <f t="shared" si="132"/>
        <v>0</v>
      </c>
      <c r="AX465" s="244">
        <f t="shared" si="133"/>
        <v>3.5170279745868109</v>
      </c>
      <c r="AY465" s="244">
        <f t="shared" si="134"/>
        <v>0</v>
      </c>
      <c r="AZ465">
        <v>2.7121866007995456E-3</v>
      </c>
    </row>
    <row r="466" spans="1:52" ht="15.75" customHeight="1" x14ac:dyDescent="0.35">
      <c r="A466" s="139" t="s">
        <v>1296</v>
      </c>
      <c r="B466" s="67" t="s">
        <v>1313</v>
      </c>
      <c r="C466" s="120" t="s">
        <v>67</v>
      </c>
      <c r="D466" s="120" t="s">
        <v>67</v>
      </c>
      <c r="E466" s="120" t="s">
        <v>67</v>
      </c>
      <c r="F466" s="139" t="s">
        <v>1324</v>
      </c>
      <c r="G466" s="67" t="s">
        <v>1020</v>
      </c>
      <c r="H466" s="139" t="s">
        <v>1030</v>
      </c>
      <c r="I466" s="139" t="s">
        <v>1312</v>
      </c>
      <c r="J466" s="143" t="s">
        <v>1158</v>
      </c>
      <c r="K466" s="228">
        <f t="shared" si="119"/>
        <v>-18</v>
      </c>
      <c r="L466" s="269">
        <v>-18</v>
      </c>
      <c r="M466" s="269"/>
      <c r="N466" s="269"/>
      <c r="O466" s="269">
        <v>1</v>
      </c>
      <c r="P466" s="269"/>
      <c r="Q466" s="269"/>
      <c r="R466" s="269"/>
      <c r="S466" s="165" t="s">
        <v>1300</v>
      </c>
      <c r="T466" s="70"/>
      <c r="U466" s="238">
        <f t="shared" si="120"/>
        <v>1.3362191085211831E-2</v>
      </c>
      <c r="V466" s="238">
        <f t="shared" si="121"/>
        <v>0</v>
      </c>
      <c r="W466" s="238">
        <f t="shared" si="122"/>
        <v>1.3362191085211831E-2</v>
      </c>
      <c r="X466" s="238">
        <f t="shared" si="123"/>
        <v>0</v>
      </c>
      <c r="Y466" s="238">
        <f t="shared" si="124"/>
        <v>0</v>
      </c>
      <c r="Z466" s="70">
        <v>1.3362191085211831E-2</v>
      </c>
      <c r="AA466" s="70"/>
      <c r="AB466" s="70">
        <v>1.3362191085211831E-2</v>
      </c>
      <c r="AC466" s="70"/>
      <c r="AD466" s="71">
        <v>0</v>
      </c>
      <c r="AE466" s="233"/>
      <c r="AF466" s="72"/>
      <c r="AG466" s="170">
        <v>5.45</v>
      </c>
      <c r="AH466" s="73">
        <v>7.2823941414404486E-2</v>
      </c>
      <c r="AI466" s="73">
        <v>0</v>
      </c>
      <c r="AJ466" s="73">
        <v>7.2823941414404486E-2</v>
      </c>
      <c r="AK466" s="73">
        <v>0</v>
      </c>
      <c r="AL466" s="129">
        <v>0</v>
      </c>
      <c r="AM466" s="202">
        <f t="shared" si="125"/>
        <v>4.4058019743606421E-6</v>
      </c>
      <c r="AN466" s="202">
        <f t="shared" si="126"/>
        <v>0</v>
      </c>
      <c r="AO466" s="202">
        <f t="shared" si="127"/>
        <v>4.4058019743606421E-6</v>
      </c>
      <c r="AP466" s="202">
        <f t="shared" si="128"/>
        <v>0</v>
      </c>
      <c r="AQ466" s="202">
        <f t="shared" si="129"/>
        <v>0</v>
      </c>
      <c r="AR466" s="217" t="s">
        <v>1296</v>
      </c>
      <c r="AS466" s="226" t="s">
        <v>1660</v>
      </c>
      <c r="AT466" s="234">
        <v>311411</v>
      </c>
      <c r="AU466" s="244">
        <f t="shared" si="130"/>
        <v>7.2823941414404486E-2</v>
      </c>
      <c r="AV466" s="244">
        <f t="shared" si="131"/>
        <v>0</v>
      </c>
      <c r="AW466" s="244">
        <f t="shared" si="132"/>
        <v>7.2823941414404486E-2</v>
      </c>
      <c r="AX466" s="244">
        <f t="shared" si="133"/>
        <v>0</v>
      </c>
      <c r="AY466" s="244">
        <f t="shared" si="134"/>
        <v>0</v>
      </c>
      <c r="AZ466">
        <v>5.6158813506384794E-5</v>
      </c>
    </row>
    <row r="467" spans="1:52" ht="15.75" customHeight="1" x14ac:dyDescent="0.35">
      <c r="A467" s="139" t="s">
        <v>1296</v>
      </c>
      <c r="B467" s="67" t="s">
        <v>1313</v>
      </c>
      <c r="C467" s="120" t="s">
        <v>67</v>
      </c>
      <c r="D467" s="120" t="s">
        <v>67</v>
      </c>
      <c r="E467" s="120" t="s">
        <v>1311</v>
      </c>
      <c r="F467" s="139" t="s">
        <v>1325</v>
      </c>
      <c r="G467" s="67" t="s">
        <v>1020</v>
      </c>
      <c r="H467" s="139" t="s">
        <v>1030</v>
      </c>
      <c r="I467" s="139" t="s">
        <v>1312</v>
      </c>
      <c r="J467" s="143" t="s">
        <v>1158</v>
      </c>
      <c r="K467" s="228">
        <f t="shared" si="119"/>
        <v>-18</v>
      </c>
      <c r="L467" s="269">
        <v>-18</v>
      </c>
      <c r="M467" s="269"/>
      <c r="N467" s="269"/>
      <c r="O467" s="269">
        <v>1</v>
      </c>
      <c r="P467" s="269"/>
      <c r="Q467" s="269"/>
      <c r="R467" s="269"/>
      <c r="S467" s="165" t="s">
        <v>1300</v>
      </c>
      <c r="T467" s="70"/>
      <c r="U467" s="238">
        <f t="shared" si="120"/>
        <v>1.305040662655689</v>
      </c>
      <c r="V467" s="238">
        <f t="shared" si="121"/>
        <v>0</v>
      </c>
      <c r="W467" s="238">
        <f t="shared" si="122"/>
        <v>1.305040662655689</v>
      </c>
      <c r="X467" s="238">
        <f t="shared" si="123"/>
        <v>0</v>
      </c>
      <c r="Y467" s="238">
        <f t="shared" si="124"/>
        <v>0</v>
      </c>
      <c r="Z467" s="70">
        <v>1.305040662655689</v>
      </c>
      <c r="AA467" s="70"/>
      <c r="AB467" s="70">
        <v>1.305040662655689</v>
      </c>
      <c r="AC467" s="70"/>
      <c r="AD467" s="71">
        <v>0</v>
      </c>
      <c r="AE467" s="233"/>
      <c r="AF467" s="72"/>
      <c r="AG467" s="170">
        <v>5.45</v>
      </c>
      <c r="AH467" s="73">
        <v>7.1124716114735049</v>
      </c>
      <c r="AI467" s="73">
        <v>0</v>
      </c>
      <c r="AJ467" s="73">
        <v>7.1124716114735049</v>
      </c>
      <c r="AK467" s="73">
        <v>0</v>
      </c>
      <c r="AL467" s="129">
        <v>0</v>
      </c>
      <c r="AM467" s="202">
        <f t="shared" si="125"/>
        <v>4.3029999282922273E-4</v>
      </c>
      <c r="AN467" s="202">
        <f t="shared" si="126"/>
        <v>0</v>
      </c>
      <c r="AO467" s="202">
        <f t="shared" si="127"/>
        <v>4.3029999282922273E-4</v>
      </c>
      <c r="AP467" s="202">
        <f t="shared" si="128"/>
        <v>0</v>
      </c>
      <c r="AQ467" s="202">
        <f t="shared" si="129"/>
        <v>0</v>
      </c>
      <c r="AR467" s="217" t="s">
        <v>1296</v>
      </c>
      <c r="AS467" s="226" t="s">
        <v>1660</v>
      </c>
      <c r="AT467" s="234">
        <v>311411</v>
      </c>
      <c r="AU467" s="244">
        <f t="shared" si="130"/>
        <v>7.1124716114735049</v>
      </c>
      <c r="AV467" s="244">
        <f t="shared" si="131"/>
        <v>0</v>
      </c>
      <c r="AW467" s="244">
        <f t="shared" si="132"/>
        <v>7.1124716114735049</v>
      </c>
      <c r="AX467" s="244">
        <f t="shared" si="133"/>
        <v>0</v>
      </c>
      <c r="AY467" s="244">
        <f t="shared" si="134"/>
        <v>0</v>
      </c>
      <c r="AZ467">
        <v>5.4848441191235817E-3</v>
      </c>
    </row>
    <row r="468" spans="1:52" ht="15.75" customHeight="1" x14ac:dyDescent="0.35">
      <c r="A468" s="145" t="s">
        <v>1296</v>
      </c>
      <c r="B468" s="78" t="s">
        <v>1313</v>
      </c>
      <c r="C468" s="147" t="s">
        <v>124</v>
      </c>
      <c r="D468" s="147" t="s">
        <v>124</v>
      </c>
      <c r="E468" s="145" t="s">
        <v>1054</v>
      </c>
      <c r="F468" s="145" t="s">
        <v>1325</v>
      </c>
      <c r="G468" s="78" t="s">
        <v>1020</v>
      </c>
      <c r="H468" s="145" t="s">
        <v>125</v>
      </c>
      <c r="I468" s="145" t="s">
        <v>125</v>
      </c>
      <c r="J468" s="146"/>
      <c r="K468" s="228">
        <f t="shared" si="119"/>
        <v>-18</v>
      </c>
      <c r="L468" s="269">
        <v>-18</v>
      </c>
      <c r="M468" s="269"/>
      <c r="N468" s="269"/>
      <c r="O468" s="269">
        <v>1</v>
      </c>
      <c r="P468" s="269"/>
      <c r="Q468" s="269"/>
      <c r="R468" s="269"/>
      <c r="S468" s="166" t="s">
        <v>1300</v>
      </c>
      <c r="T468" s="82"/>
      <c r="U468" s="238">
        <f t="shared" si="120"/>
        <v>3.3405477713029576E-2</v>
      </c>
      <c r="V468" s="238">
        <f t="shared" si="121"/>
        <v>0</v>
      </c>
      <c r="W468" s="238">
        <f t="shared" si="122"/>
        <v>3.3405477713029576E-2</v>
      </c>
      <c r="X468" s="238">
        <f t="shared" si="123"/>
        <v>0</v>
      </c>
      <c r="Y468" s="238">
        <f t="shared" si="124"/>
        <v>0</v>
      </c>
      <c r="Z468" s="70">
        <v>3.3405477713029576E-2</v>
      </c>
      <c r="AA468" s="70"/>
      <c r="AB468" s="70">
        <v>3.3405477713029576E-2</v>
      </c>
      <c r="AC468" s="70"/>
      <c r="AD468" s="71">
        <v>0</v>
      </c>
      <c r="AE468" s="81"/>
      <c r="AF468" s="84"/>
      <c r="AG468" s="172">
        <v>5.45</v>
      </c>
      <c r="AH468" s="85">
        <v>0.1820598535360112</v>
      </c>
      <c r="AI468" s="85">
        <v>0</v>
      </c>
      <c r="AJ468" s="85">
        <v>0.1820598535360112</v>
      </c>
      <c r="AK468" s="85">
        <v>0</v>
      </c>
      <c r="AL468" s="133">
        <v>0</v>
      </c>
      <c r="AM468" s="202">
        <f t="shared" si="125"/>
        <v>1.1014504935901605E-5</v>
      </c>
      <c r="AN468" s="202">
        <f t="shared" si="126"/>
        <v>0</v>
      </c>
      <c r="AO468" s="202">
        <f t="shared" si="127"/>
        <v>1.1014504935901605E-5</v>
      </c>
      <c r="AP468" s="202">
        <f t="shared" si="128"/>
        <v>0</v>
      </c>
      <c r="AQ468" s="202">
        <f t="shared" si="129"/>
        <v>0</v>
      </c>
      <c r="AR468" s="213" t="s">
        <v>1296</v>
      </c>
      <c r="AS468" s="226" t="s">
        <v>1660</v>
      </c>
      <c r="AT468" s="234">
        <v>311411</v>
      </c>
      <c r="AU468" s="244">
        <f t="shared" si="130"/>
        <v>0.1820598535360112</v>
      </c>
      <c r="AV468" s="244">
        <f t="shared" si="131"/>
        <v>0</v>
      </c>
      <c r="AW468" s="244">
        <f t="shared" si="132"/>
        <v>0.1820598535360112</v>
      </c>
      <c r="AX468" s="244">
        <f t="shared" si="133"/>
        <v>0</v>
      </c>
      <c r="AY468" s="244">
        <f t="shared" si="134"/>
        <v>0</v>
      </c>
      <c r="AZ468">
        <v>1.4039703376596198E-4</v>
      </c>
    </row>
    <row r="469" spans="1:52" ht="15.75" customHeight="1" x14ac:dyDescent="0.35">
      <c r="A469" s="139" t="s">
        <v>1296</v>
      </c>
      <c r="B469" s="67" t="s">
        <v>1326</v>
      </c>
      <c r="C469" s="120" t="s">
        <v>149</v>
      </c>
      <c r="D469" s="120" t="s">
        <v>1327</v>
      </c>
      <c r="E469" s="120" t="s">
        <v>1327</v>
      </c>
      <c r="F469" s="139" t="s">
        <v>1328</v>
      </c>
      <c r="G469" s="67" t="s">
        <v>1020</v>
      </c>
      <c r="H469" s="139" t="s">
        <v>975</v>
      </c>
      <c r="I469" s="139" t="s">
        <v>1329</v>
      </c>
      <c r="J469" s="143"/>
      <c r="K469" s="228">
        <f t="shared" si="119"/>
        <v>22</v>
      </c>
      <c r="L469" s="269">
        <v>22</v>
      </c>
      <c r="M469" s="269"/>
      <c r="N469" s="269"/>
      <c r="O469" s="269">
        <v>1</v>
      </c>
      <c r="P469" s="269"/>
      <c r="Q469" s="269"/>
      <c r="R469" s="269"/>
      <c r="S469" s="167" t="s">
        <v>1330</v>
      </c>
      <c r="T469" s="70"/>
      <c r="U469" s="238">
        <f t="shared" si="120"/>
        <v>1.5589201404169568E-2</v>
      </c>
      <c r="V469" s="238">
        <f t="shared" si="121"/>
        <v>0</v>
      </c>
      <c r="W469" s="238">
        <f t="shared" si="122"/>
        <v>1.5589201404169568E-2</v>
      </c>
      <c r="X469" s="238">
        <f t="shared" si="123"/>
        <v>0</v>
      </c>
      <c r="Y469" s="238">
        <f t="shared" si="124"/>
        <v>0</v>
      </c>
      <c r="Z469" s="82">
        <v>1.5589201404169568E-2</v>
      </c>
      <c r="AA469" s="82"/>
      <c r="AB469" s="82">
        <v>1.5589201404169568E-2</v>
      </c>
      <c r="AC469" s="82">
        <v>0</v>
      </c>
      <c r="AD469" s="83">
        <v>0</v>
      </c>
      <c r="AE469" s="233"/>
      <c r="AF469" s="72"/>
      <c r="AG469" s="170">
        <v>7.3860000000000001</v>
      </c>
      <c r="AH469" s="73">
        <v>0.11514184157119643</v>
      </c>
      <c r="AI469" s="170"/>
      <c r="AJ469" s="73">
        <v>0.11514184157119643</v>
      </c>
      <c r="AK469" s="170">
        <v>0</v>
      </c>
      <c r="AL469" s="125">
        <v>0</v>
      </c>
      <c r="AM469" s="202">
        <f t="shared" si="125"/>
        <v>6.9660079236737901E-6</v>
      </c>
      <c r="AN469" s="202">
        <f t="shared" si="126"/>
        <v>0</v>
      </c>
      <c r="AO469" s="202">
        <f t="shared" si="127"/>
        <v>6.9660079236737901E-6</v>
      </c>
      <c r="AP469" s="202">
        <f t="shared" si="128"/>
        <v>0</v>
      </c>
      <c r="AQ469" s="202">
        <f t="shared" si="129"/>
        <v>0</v>
      </c>
      <c r="AR469" s="217" t="s">
        <v>1296</v>
      </c>
      <c r="AS469" s="226" t="s">
        <v>1660</v>
      </c>
      <c r="AT469" s="234">
        <v>311411</v>
      </c>
      <c r="AU469" s="244">
        <f t="shared" si="130"/>
        <v>0.11514184157119643</v>
      </c>
      <c r="AV469" s="244">
        <f t="shared" si="131"/>
        <v>0</v>
      </c>
      <c r="AW469" s="244">
        <f t="shared" si="132"/>
        <v>0.11514184157119643</v>
      </c>
      <c r="AX469" s="244">
        <f t="shared" si="133"/>
        <v>0</v>
      </c>
      <c r="AY469" s="244">
        <f t="shared" si="134"/>
        <v>0</v>
      </c>
      <c r="AZ469">
        <v>8.8792628934795777E-5</v>
      </c>
    </row>
    <row r="470" spans="1:52" ht="15.75" customHeight="1" x14ac:dyDescent="0.35">
      <c r="A470" s="139" t="s">
        <v>1296</v>
      </c>
      <c r="B470" s="67" t="s">
        <v>1326</v>
      </c>
      <c r="C470" s="120" t="s">
        <v>149</v>
      </c>
      <c r="D470" s="120" t="s">
        <v>150</v>
      </c>
      <c r="E470" s="120" t="s">
        <v>150</v>
      </c>
      <c r="F470" s="139" t="s">
        <v>1331</v>
      </c>
      <c r="G470" s="67" t="s">
        <v>1020</v>
      </c>
      <c r="H470" s="139" t="s">
        <v>621</v>
      </c>
      <c r="I470" s="139" t="s">
        <v>1248</v>
      </c>
      <c r="J470" s="143"/>
      <c r="K470" s="228">
        <f t="shared" si="119"/>
        <v>22</v>
      </c>
      <c r="L470" s="269">
        <v>22</v>
      </c>
      <c r="M470" s="269"/>
      <c r="N470" s="269"/>
      <c r="O470" s="269">
        <v>1</v>
      </c>
      <c r="P470" s="269"/>
      <c r="Q470" s="269"/>
      <c r="R470" s="269"/>
      <c r="S470" s="165" t="s">
        <v>1330</v>
      </c>
      <c r="T470" s="70"/>
      <c r="U470" s="238">
        <f t="shared" si="120"/>
        <v>0.63113029749834459</v>
      </c>
      <c r="V470" s="238">
        <f t="shared" si="121"/>
        <v>0</v>
      </c>
      <c r="W470" s="238">
        <f t="shared" si="122"/>
        <v>1.5589201404169568E-2</v>
      </c>
      <c r="X470" s="238">
        <f t="shared" si="123"/>
        <v>0</v>
      </c>
      <c r="Y470" s="238">
        <f t="shared" si="124"/>
        <v>0.61554109609417507</v>
      </c>
      <c r="Z470" s="70">
        <v>0.63113029749834459</v>
      </c>
      <c r="AA470" s="70"/>
      <c r="AB470" s="70">
        <v>1.5589201404169568E-2</v>
      </c>
      <c r="AC470" s="70">
        <v>0</v>
      </c>
      <c r="AD470" s="61">
        <v>0.61554109609417507</v>
      </c>
      <c r="AE470" s="120">
        <v>100</v>
      </c>
      <c r="AF470" s="121">
        <v>1</v>
      </c>
      <c r="AG470" s="173">
        <v>7.3860000000000001</v>
      </c>
      <c r="AH470" s="73">
        <v>4.6615283773227736</v>
      </c>
      <c r="AI470" s="170"/>
      <c r="AJ470" s="73">
        <v>0.11514184157119643</v>
      </c>
      <c r="AK470" s="170">
        <v>0</v>
      </c>
      <c r="AL470" s="129">
        <v>4.5463865357515774</v>
      </c>
      <c r="AM470" s="202">
        <f t="shared" si="125"/>
        <v>2.8201949152239228E-4</v>
      </c>
      <c r="AN470" s="202">
        <f t="shared" si="126"/>
        <v>0</v>
      </c>
      <c r="AO470" s="202">
        <f t="shared" si="127"/>
        <v>6.9660079236737901E-6</v>
      </c>
      <c r="AP470" s="202">
        <f t="shared" si="128"/>
        <v>0</v>
      </c>
      <c r="AQ470" s="202">
        <f t="shared" si="129"/>
        <v>2.7505348359871851E-4</v>
      </c>
      <c r="AR470" s="217" t="s">
        <v>1296</v>
      </c>
      <c r="AS470" s="226" t="s">
        <v>1660</v>
      </c>
      <c r="AT470" s="234">
        <v>311411</v>
      </c>
      <c r="AU470" s="244">
        <f t="shared" si="130"/>
        <v>4.6615283773227736</v>
      </c>
      <c r="AV470" s="244">
        <f t="shared" si="131"/>
        <v>0</v>
      </c>
      <c r="AW470" s="244">
        <f t="shared" si="132"/>
        <v>0.11514184157119643</v>
      </c>
      <c r="AX470" s="244">
        <f t="shared" si="133"/>
        <v>0</v>
      </c>
      <c r="AY470" s="244">
        <f t="shared" si="134"/>
        <v>4.5463865357515774</v>
      </c>
      <c r="AZ470">
        <v>3.5947780044902821E-3</v>
      </c>
    </row>
    <row r="471" spans="1:52" ht="15.75" customHeight="1" x14ac:dyDescent="0.35">
      <c r="A471" s="139" t="s">
        <v>1296</v>
      </c>
      <c r="B471" s="67" t="s">
        <v>1326</v>
      </c>
      <c r="C471" s="67" t="s">
        <v>99</v>
      </c>
      <c r="D471" s="120" t="s">
        <v>593</v>
      </c>
      <c r="E471" s="120" t="s">
        <v>1332</v>
      </c>
      <c r="F471" s="139" t="s">
        <v>1333</v>
      </c>
      <c r="G471" s="67" t="s">
        <v>1020</v>
      </c>
      <c r="H471" s="139" t="s">
        <v>1263</v>
      </c>
      <c r="I471" s="139" t="s">
        <v>1263</v>
      </c>
      <c r="J471" s="143" t="s">
        <v>1027</v>
      </c>
      <c r="K471" s="228">
        <f t="shared" si="119"/>
        <v>22</v>
      </c>
      <c r="L471" s="269">
        <v>22</v>
      </c>
      <c r="M471" s="269"/>
      <c r="N471" s="269"/>
      <c r="O471" s="269">
        <v>1</v>
      </c>
      <c r="P471" s="269"/>
      <c r="Q471" s="269"/>
      <c r="R471" s="269"/>
      <c r="S471" s="165" t="s">
        <v>1330</v>
      </c>
      <c r="T471" s="70"/>
      <c r="U471" s="238">
        <f t="shared" si="120"/>
        <v>2.6724345264290687E-2</v>
      </c>
      <c r="V471" s="238">
        <f t="shared" si="121"/>
        <v>0</v>
      </c>
      <c r="W471" s="238">
        <f t="shared" si="122"/>
        <v>2.6724345264290687E-2</v>
      </c>
      <c r="X471" s="238">
        <f t="shared" si="123"/>
        <v>0</v>
      </c>
      <c r="Y471" s="238">
        <f t="shared" si="124"/>
        <v>0</v>
      </c>
      <c r="Z471" s="70">
        <v>2.6724345264290687E-2</v>
      </c>
      <c r="AA471" s="70"/>
      <c r="AB471" s="70">
        <v>2.6724345264290687E-2</v>
      </c>
      <c r="AC471" s="70">
        <v>0</v>
      </c>
      <c r="AD471" s="71">
        <v>0</v>
      </c>
      <c r="AE471" s="233"/>
      <c r="AF471" s="72"/>
      <c r="AG471" s="170">
        <v>7.3860000000000001</v>
      </c>
      <c r="AH471" s="73">
        <v>0.19738601412205101</v>
      </c>
      <c r="AI471" s="170"/>
      <c r="AJ471" s="73">
        <v>0.19738601412205101</v>
      </c>
      <c r="AK471" s="170">
        <v>0</v>
      </c>
      <c r="AL471" s="129">
        <v>0</v>
      </c>
      <c r="AM471" s="202">
        <f t="shared" si="125"/>
        <v>1.1941727869155068E-5</v>
      </c>
      <c r="AN471" s="202">
        <f t="shared" si="126"/>
        <v>0</v>
      </c>
      <c r="AO471" s="202">
        <f t="shared" si="127"/>
        <v>1.1941727869155068E-5</v>
      </c>
      <c r="AP471" s="202">
        <f t="shared" si="128"/>
        <v>0</v>
      </c>
      <c r="AQ471" s="202">
        <f t="shared" si="129"/>
        <v>0</v>
      </c>
      <c r="AR471" s="217" t="s">
        <v>1296</v>
      </c>
      <c r="AS471" s="226" t="s">
        <v>1660</v>
      </c>
      <c r="AT471" s="234">
        <v>311411</v>
      </c>
      <c r="AU471" s="244">
        <f t="shared" si="130"/>
        <v>0.19738601412205101</v>
      </c>
      <c r="AV471" s="244">
        <f t="shared" si="131"/>
        <v>0</v>
      </c>
      <c r="AW471" s="244">
        <f t="shared" si="132"/>
        <v>0.19738601412205101</v>
      </c>
      <c r="AX471" s="244">
        <f t="shared" si="133"/>
        <v>0</v>
      </c>
      <c r="AY471" s="244">
        <f t="shared" si="134"/>
        <v>0</v>
      </c>
      <c r="AZ471">
        <v>1.5221593531679274E-4</v>
      </c>
    </row>
    <row r="472" spans="1:52" ht="15.75" customHeight="1" x14ac:dyDescent="0.35">
      <c r="A472" s="139" t="s">
        <v>1296</v>
      </c>
      <c r="B472" s="67" t="s">
        <v>1326</v>
      </c>
      <c r="C472" s="120" t="s">
        <v>124</v>
      </c>
      <c r="D472" s="120" t="s">
        <v>1281</v>
      </c>
      <c r="E472" s="120" t="s">
        <v>1334</v>
      </c>
      <c r="F472" s="139" t="s">
        <v>1335</v>
      </c>
      <c r="G472" s="67" t="s">
        <v>1020</v>
      </c>
      <c r="H472" s="139" t="s">
        <v>1336</v>
      </c>
      <c r="I472" s="139" t="s">
        <v>1337</v>
      </c>
      <c r="J472" s="143"/>
      <c r="K472" s="228">
        <f t="shared" si="119"/>
        <v>22</v>
      </c>
      <c r="L472" s="269">
        <v>22</v>
      </c>
      <c r="M472" s="269"/>
      <c r="N472" s="269"/>
      <c r="O472" s="269">
        <v>1</v>
      </c>
      <c r="P472" s="269"/>
      <c r="Q472" s="269"/>
      <c r="R472" s="269"/>
      <c r="S472" s="165" t="s">
        <v>1330</v>
      </c>
      <c r="T472" s="70"/>
      <c r="U472" s="238">
        <f t="shared" si="120"/>
        <v>2.8951374036314911E-2</v>
      </c>
      <c r="V472" s="238">
        <f t="shared" si="121"/>
        <v>0</v>
      </c>
      <c r="W472" s="238">
        <f t="shared" si="122"/>
        <v>2.8951374036314911E-2</v>
      </c>
      <c r="X472" s="238">
        <f t="shared" si="123"/>
        <v>0</v>
      </c>
      <c r="Y472" s="238">
        <f t="shared" si="124"/>
        <v>0</v>
      </c>
      <c r="Z472" s="70">
        <v>2.8951374036314911E-2</v>
      </c>
      <c r="AA472" s="70"/>
      <c r="AB472" s="70">
        <v>2.8951374036314911E-2</v>
      </c>
      <c r="AC472" s="70">
        <v>0</v>
      </c>
      <c r="AD472" s="71">
        <v>0</v>
      </c>
      <c r="AE472" s="233"/>
      <c r="AF472" s="72"/>
      <c r="AG472" s="170">
        <v>7.3860000000000001</v>
      </c>
      <c r="AH472" s="73">
        <v>0.21383484863222194</v>
      </c>
      <c r="AI472" s="170"/>
      <c r="AJ472" s="73">
        <v>0.21383484863222194</v>
      </c>
      <c r="AK472" s="170">
        <v>0</v>
      </c>
      <c r="AL472" s="129">
        <v>0</v>
      </c>
      <c r="AM472" s="202">
        <f t="shared" si="125"/>
        <v>1.2936871858251323E-5</v>
      </c>
      <c r="AN472" s="202">
        <f t="shared" si="126"/>
        <v>0</v>
      </c>
      <c r="AO472" s="202">
        <f t="shared" si="127"/>
        <v>1.2936871858251323E-5</v>
      </c>
      <c r="AP472" s="202">
        <f t="shared" si="128"/>
        <v>0</v>
      </c>
      <c r="AQ472" s="202">
        <f t="shared" si="129"/>
        <v>0</v>
      </c>
      <c r="AR472" s="217" t="s">
        <v>1296</v>
      </c>
      <c r="AS472" s="226" t="s">
        <v>1660</v>
      </c>
      <c r="AT472" s="234">
        <v>311411</v>
      </c>
      <c r="AU472" s="244">
        <f t="shared" si="130"/>
        <v>0.21383484863222194</v>
      </c>
      <c r="AV472" s="244">
        <f t="shared" si="131"/>
        <v>0</v>
      </c>
      <c r="AW472" s="244">
        <f t="shared" si="132"/>
        <v>0.21383484863222194</v>
      </c>
      <c r="AX472" s="244">
        <f t="shared" si="133"/>
        <v>0</v>
      </c>
      <c r="AY472" s="244">
        <f t="shared" si="134"/>
        <v>0</v>
      </c>
      <c r="AZ472">
        <v>1.6490059659319216E-4</v>
      </c>
    </row>
    <row r="473" spans="1:52" ht="15.75" customHeight="1" x14ac:dyDescent="0.35">
      <c r="A473" s="139" t="s">
        <v>1296</v>
      </c>
      <c r="B473" s="67" t="s">
        <v>1326</v>
      </c>
      <c r="C473" s="120" t="s">
        <v>92</v>
      </c>
      <c r="D473" s="120" t="s">
        <v>217</v>
      </c>
      <c r="E473" s="120" t="s">
        <v>217</v>
      </c>
      <c r="F473" s="139" t="s">
        <v>1338</v>
      </c>
      <c r="G473" s="67" t="s">
        <v>1020</v>
      </c>
      <c r="H473" s="139" t="s">
        <v>1339</v>
      </c>
      <c r="I473" s="139" t="s">
        <v>1340</v>
      </c>
      <c r="J473" s="143"/>
      <c r="K473" s="228">
        <f t="shared" si="119"/>
        <v>71</v>
      </c>
      <c r="L473" s="269">
        <v>71</v>
      </c>
      <c r="M473" s="269"/>
      <c r="N473" s="269"/>
      <c r="O473" s="269">
        <v>1</v>
      </c>
      <c r="P473" s="269"/>
      <c r="Q473" s="269"/>
      <c r="R473" s="269">
        <v>6</v>
      </c>
      <c r="S473" s="165" t="s">
        <v>1330</v>
      </c>
      <c r="T473" s="70"/>
      <c r="U473" s="238">
        <f t="shared" si="120"/>
        <v>0.37726712341255891</v>
      </c>
      <c r="V473" s="238">
        <f t="shared" si="121"/>
        <v>0</v>
      </c>
      <c r="W473" s="238">
        <f t="shared" si="122"/>
        <v>0</v>
      </c>
      <c r="X473" s="238">
        <f t="shared" si="123"/>
        <v>0</v>
      </c>
      <c r="Y473" s="238">
        <f t="shared" si="124"/>
        <v>0.37726712341255891</v>
      </c>
      <c r="Z473" s="70">
        <v>0.37726712341255891</v>
      </c>
      <c r="AA473" s="70"/>
      <c r="AB473" s="70">
        <v>0</v>
      </c>
      <c r="AC473" s="70">
        <v>0</v>
      </c>
      <c r="AD473" s="71">
        <v>0.37726712341255891</v>
      </c>
      <c r="AE473" s="120">
        <v>100</v>
      </c>
      <c r="AF473" s="121">
        <v>1</v>
      </c>
      <c r="AG473" s="170">
        <v>7.3860000000000001</v>
      </c>
      <c r="AH473" s="73">
        <v>2.7864949735251603</v>
      </c>
      <c r="AI473" s="170"/>
      <c r="AJ473" s="73">
        <v>0</v>
      </c>
      <c r="AK473" s="170">
        <v>0</v>
      </c>
      <c r="AL473" s="129">
        <v>2.7864949735251603</v>
      </c>
      <c r="AM473" s="202">
        <f t="shared" si="125"/>
        <v>1.6858116736695648E-4</v>
      </c>
      <c r="AN473" s="202">
        <f t="shared" si="126"/>
        <v>0</v>
      </c>
      <c r="AO473" s="202">
        <f t="shared" si="127"/>
        <v>0</v>
      </c>
      <c r="AP473" s="202">
        <f t="shared" si="128"/>
        <v>0</v>
      </c>
      <c r="AQ473" s="202">
        <f t="shared" si="129"/>
        <v>1.6858116736695648E-4</v>
      </c>
      <c r="AR473" s="217" t="s">
        <v>1296</v>
      </c>
      <c r="AS473" s="226" t="s">
        <v>1660</v>
      </c>
      <c r="AT473" s="234">
        <v>311411</v>
      </c>
      <c r="AU473" s="244">
        <f t="shared" si="130"/>
        <v>2.7864949735251603</v>
      </c>
      <c r="AV473" s="244">
        <f t="shared" si="131"/>
        <v>0</v>
      </c>
      <c r="AW473" s="244">
        <f t="shared" si="132"/>
        <v>0</v>
      </c>
      <c r="AX473" s="244">
        <f t="shared" si="133"/>
        <v>0</v>
      </c>
      <c r="AY473" s="244">
        <f t="shared" si="134"/>
        <v>2.7864949735251603</v>
      </c>
      <c r="AZ473">
        <v>2.1488297463082015E-3</v>
      </c>
    </row>
    <row r="474" spans="1:52" ht="15.75" customHeight="1" x14ac:dyDescent="0.35">
      <c r="A474" s="139" t="s">
        <v>1296</v>
      </c>
      <c r="B474" s="67" t="s">
        <v>1326</v>
      </c>
      <c r="C474" s="120" t="s">
        <v>149</v>
      </c>
      <c r="D474" s="120" t="s">
        <v>150</v>
      </c>
      <c r="E474" s="120" t="s">
        <v>1273</v>
      </c>
      <c r="F474" s="139" t="s">
        <v>1341</v>
      </c>
      <c r="G474" s="67" t="s">
        <v>1020</v>
      </c>
      <c r="H474" s="139" t="s">
        <v>621</v>
      </c>
      <c r="I474" s="139" t="s">
        <v>1342</v>
      </c>
      <c r="J474" s="143"/>
      <c r="K474" s="228">
        <v>20</v>
      </c>
      <c r="L474" s="269"/>
      <c r="M474" s="269"/>
      <c r="N474" s="269"/>
      <c r="O474" s="269">
        <v>1</v>
      </c>
      <c r="P474" s="269"/>
      <c r="Q474" s="269"/>
      <c r="R474" s="269"/>
      <c r="S474" s="165" t="s">
        <v>1330</v>
      </c>
      <c r="T474" s="70"/>
      <c r="U474" s="238">
        <f t="shared" si="120"/>
        <v>0</v>
      </c>
      <c r="V474" s="238">
        <f t="shared" si="121"/>
        <v>0</v>
      </c>
      <c r="W474" s="238">
        <f t="shared" si="122"/>
        <v>0</v>
      </c>
      <c r="X474" s="238">
        <f t="shared" si="123"/>
        <v>0</v>
      </c>
      <c r="Y474" s="238">
        <f t="shared" si="124"/>
        <v>0</v>
      </c>
      <c r="Z474" s="70">
        <v>0</v>
      </c>
      <c r="AA474" s="70"/>
      <c r="AB474" s="70">
        <v>0</v>
      </c>
      <c r="AC474" s="70">
        <v>0</v>
      </c>
      <c r="AD474" s="71">
        <v>0</v>
      </c>
      <c r="AE474" s="233"/>
      <c r="AF474" s="72"/>
      <c r="AG474" s="170">
        <v>7.3860000000000001</v>
      </c>
      <c r="AH474" s="73">
        <v>0</v>
      </c>
      <c r="AI474" s="170"/>
      <c r="AJ474" s="73">
        <v>0</v>
      </c>
      <c r="AK474" s="170">
        <v>0</v>
      </c>
      <c r="AL474" s="129">
        <v>0</v>
      </c>
      <c r="AM474" s="202">
        <f t="shared" si="125"/>
        <v>0</v>
      </c>
      <c r="AN474" s="202">
        <f t="shared" si="126"/>
        <v>0</v>
      </c>
      <c r="AO474" s="202">
        <f t="shared" si="127"/>
        <v>0</v>
      </c>
      <c r="AP474" s="202">
        <f t="shared" si="128"/>
        <v>0</v>
      </c>
      <c r="AQ474" s="202">
        <f t="shared" si="129"/>
        <v>0</v>
      </c>
      <c r="AR474" s="217" t="s">
        <v>1296</v>
      </c>
      <c r="AS474" s="226" t="s">
        <v>1660</v>
      </c>
      <c r="AT474" s="234">
        <v>311411</v>
      </c>
      <c r="AU474" s="244">
        <f t="shared" si="130"/>
        <v>0</v>
      </c>
      <c r="AV474" s="244">
        <f t="shared" si="131"/>
        <v>0</v>
      </c>
      <c r="AW474" s="244">
        <f t="shared" si="132"/>
        <v>0</v>
      </c>
      <c r="AX474" s="244">
        <f t="shared" si="133"/>
        <v>0</v>
      </c>
      <c r="AY474" s="244">
        <f t="shared" si="134"/>
        <v>0</v>
      </c>
      <c r="AZ474">
        <v>0</v>
      </c>
    </row>
    <row r="475" spans="1:52" ht="15.75" customHeight="1" x14ac:dyDescent="0.35">
      <c r="A475" s="139" t="s">
        <v>1296</v>
      </c>
      <c r="B475" s="67" t="s">
        <v>1326</v>
      </c>
      <c r="C475" s="120" t="s">
        <v>88</v>
      </c>
      <c r="D475" s="120" t="s">
        <v>1276</v>
      </c>
      <c r="E475" s="120" t="s">
        <v>1343</v>
      </c>
      <c r="F475" s="139" t="s">
        <v>1344</v>
      </c>
      <c r="G475" s="67" t="s">
        <v>1020</v>
      </c>
      <c r="H475" s="139" t="s">
        <v>1345</v>
      </c>
      <c r="I475" s="139" t="s">
        <v>1346</v>
      </c>
      <c r="J475" s="143"/>
      <c r="K475" s="228">
        <v>20</v>
      </c>
      <c r="L475" s="269"/>
      <c r="M475" s="269"/>
      <c r="N475" s="269"/>
      <c r="O475" s="269">
        <v>1</v>
      </c>
      <c r="P475" s="269"/>
      <c r="Q475" s="269"/>
      <c r="R475" s="269"/>
      <c r="S475" s="165" t="s">
        <v>1330</v>
      </c>
      <c r="T475" s="70"/>
      <c r="U475" s="238">
        <f t="shared" si="120"/>
        <v>0</v>
      </c>
      <c r="V475" s="238">
        <f t="shared" si="121"/>
        <v>0</v>
      </c>
      <c r="W475" s="238">
        <f t="shared" si="122"/>
        <v>0</v>
      </c>
      <c r="X475" s="238">
        <f t="shared" si="123"/>
        <v>0</v>
      </c>
      <c r="Y475" s="238">
        <f t="shared" si="124"/>
        <v>0</v>
      </c>
      <c r="Z475" s="70">
        <v>0</v>
      </c>
      <c r="AA475" s="70"/>
      <c r="AB475" s="70">
        <v>0</v>
      </c>
      <c r="AC475" s="70">
        <v>0</v>
      </c>
      <c r="AD475" s="71">
        <v>0</v>
      </c>
      <c r="AE475" s="233"/>
      <c r="AF475" s="72"/>
      <c r="AG475" s="170">
        <v>7.3860000000000001</v>
      </c>
      <c r="AH475" s="73">
        <v>0</v>
      </c>
      <c r="AI475" s="170"/>
      <c r="AJ475" s="73">
        <v>0</v>
      </c>
      <c r="AK475" s="170">
        <v>0</v>
      </c>
      <c r="AL475" s="129">
        <v>0</v>
      </c>
      <c r="AM475" s="202">
        <f t="shared" si="125"/>
        <v>0</v>
      </c>
      <c r="AN475" s="202">
        <f t="shared" si="126"/>
        <v>0</v>
      </c>
      <c r="AO475" s="202">
        <f t="shared" si="127"/>
        <v>0</v>
      </c>
      <c r="AP475" s="202">
        <f t="shared" si="128"/>
        <v>0</v>
      </c>
      <c r="AQ475" s="202">
        <f t="shared" si="129"/>
        <v>0</v>
      </c>
      <c r="AR475" s="217" t="s">
        <v>1296</v>
      </c>
      <c r="AS475" s="226" t="s">
        <v>1660</v>
      </c>
      <c r="AT475" s="234">
        <v>311411</v>
      </c>
      <c r="AU475" s="244">
        <f t="shared" si="130"/>
        <v>0</v>
      </c>
      <c r="AV475" s="244">
        <f t="shared" si="131"/>
        <v>0</v>
      </c>
      <c r="AW475" s="244">
        <f t="shared" si="132"/>
        <v>0</v>
      </c>
      <c r="AX475" s="244">
        <f t="shared" si="133"/>
        <v>0</v>
      </c>
      <c r="AY475" s="244">
        <f t="shared" si="134"/>
        <v>0</v>
      </c>
      <c r="AZ475">
        <v>0</v>
      </c>
    </row>
    <row r="476" spans="1:52" ht="15.75" customHeight="1" x14ac:dyDescent="0.35">
      <c r="A476" s="139" t="s">
        <v>1296</v>
      </c>
      <c r="B476" s="67" t="s">
        <v>1326</v>
      </c>
      <c r="C476" s="120" t="s">
        <v>124</v>
      </c>
      <c r="D476" s="120" t="s">
        <v>1287</v>
      </c>
      <c r="E476" s="120" t="s">
        <v>1287</v>
      </c>
      <c r="F476" s="139" t="s">
        <v>1344</v>
      </c>
      <c r="G476" s="67" t="s">
        <v>1020</v>
      </c>
      <c r="H476" s="139" t="s">
        <v>1288</v>
      </c>
      <c r="I476" s="139" t="s">
        <v>1289</v>
      </c>
      <c r="J476" s="143"/>
      <c r="K476" s="228">
        <v>20</v>
      </c>
      <c r="L476" s="269"/>
      <c r="M476" s="269"/>
      <c r="N476" s="269"/>
      <c r="O476" s="269">
        <v>1</v>
      </c>
      <c r="P476" s="269"/>
      <c r="Q476" s="269"/>
      <c r="R476" s="269"/>
      <c r="S476" s="165" t="s">
        <v>1330</v>
      </c>
      <c r="T476" s="70"/>
      <c r="U476" s="238">
        <f t="shared" si="120"/>
        <v>0</v>
      </c>
      <c r="V476" s="238">
        <f t="shared" si="121"/>
        <v>0</v>
      </c>
      <c r="W476" s="238">
        <f t="shared" si="122"/>
        <v>0</v>
      </c>
      <c r="X476" s="238">
        <f t="shared" si="123"/>
        <v>0</v>
      </c>
      <c r="Y476" s="238">
        <f t="shared" si="124"/>
        <v>0</v>
      </c>
      <c r="Z476" s="70">
        <v>0</v>
      </c>
      <c r="AA476" s="70"/>
      <c r="AB476" s="70">
        <v>0</v>
      </c>
      <c r="AC476" s="70">
        <v>0</v>
      </c>
      <c r="AD476" s="71">
        <v>0</v>
      </c>
      <c r="AE476" s="233"/>
      <c r="AF476" s="72"/>
      <c r="AG476" s="170">
        <v>7.3860000000000001</v>
      </c>
      <c r="AH476" s="73">
        <v>0</v>
      </c>
      <c r="AI476" s="170"/>
      <c r="AJ476" s="73">
        <v>0</v>
      </c>
      <c r="AK476" s="170">
        <v>0</v>
      </c>
      <c r="AL476" s="129">
        <v>0</v>
      </c>
      <c r="AM476" s="202">
        <f t="shared" si="125"/>
        <v>0</v>
      </c>
      <c r="AN476" s="202">
        <f t="shared" si="126"/>
        <v>0</v>
      </c>
      <c r="AO476" s="202">
        <f t="shared" si="127"/>
        <v>0</v>
      </c>
      <c r="AP476" s="202">
        <f t="shared" si="128"/>
        <v>0</v>
      </c>
      <c r="AQ476" s="202">
        <f t="shared" si="129"/>
        <v>0</v>
      </c>
      <c r="AR476" s="217" t="s">
        <v>1296</v>
      </c>
      <c r="AS476" s="226" t="s">
        <v>1660</v>
      </c>
      <c r="AT476" s="234">
        <v>311411</v>
      </c>
      <c r="AU476" s="244">
        <f t="shared" si="130"/>
        <v>0</v>
      </c>
      <c r="AV476" s="244">
        <f t="shared" si="131"/>
        <v>0</v>
      </c>
      <c r="AW476" s="244">
        <f t="shared" si="132"/>
        <v>0</v>
      </c>
      <c r="AX476" s="244">
        <f t="shared" si="133"/>
        <v>0</v>
      </c>
      <c r="AY476" s="244">
        <f t="shared" si="134"/>
        <v>0</v>
      </c>
      <c r="AZ476">
        <v>0</v>
      </c>
    </row>
    <row r="477" spans="1:52" s="155" customFormat="1" ht="15.75" customHeight="1" x14ac:dyDescent="0.35">
      <c r="A477" s="139" t="s">
        <v>1296</v>
      </c>
      <c r="B477" s="67" t="s">
        <v>1326</v>
      </c>
      <c r="C477" s="120" t="s">
        <v>92</v>
      </c>
      <c r="D477" s="120" t="s">
        <v>229</v>
      </c>
      <c r="E477" s="120" t="s">
        <v>1347</v>
      </c>
      <c r="F477" s="139" t="s">
        <v>1348</v>
      </c>
      <c r="G477" s="67" t="s">
        <v>1020</v>
      </c>
      <c r="H477" s="139" t="s">
        <v>1292</v>
      </c>
      <c r="I477" s="139" t="s">
        <v>1349</v>
      </c>
      <c r="J477" s="143"/>
      <c r="K477" s="228">
        <v>20</v>
      </c>
      <c r="L477" s="269"/>
      <c r="M477" s="269"/>
      <c r="N477" s="269"/>
      <c r="O477" s="269">
        <v>1</v>
      </c>
      <c r="P477" s="269"/>
      <c r="Q477" s="269"/>
      <c r="R477" s="269"/>
      <c r="S477" s="165" t="s">
        <v>1330</v>
      </c>
      <c r="T477" s="70"/>
      <c r="U477" s="238">
        <f t="shared" si="120"/>
        <v>0</v>
      </c>
      <c r="V477" s="238">
        <f t="shared" si="121"/>
        <v>0</v>
      </c>
      <c r="W477" s="238">
        <f t="shared" si="122"/>
        <v>0</v>
      </c>
      <c r="X477" s="238">
        <f t="shared" si="123"/>
        <v>0</v>
      </c>
      <c r="Y477" s="238">
        <f t="shared" si="124"/>
        <v>0</v>
      </c>
      <c r="Z477" s="70">
        <v>0</v>
      </c>
      <c r="AA477" s="70"/>
      <c r="AB477" s="70">
        <v>0</v>
      </c>
      <c r="AC477" s="70">
        <v>0</v>
      </c>
      <c r="AD477" s="71">
        <v>0</v>
      </c>
      <c r="AE477" s="120">
        <v>100</v>
      </c>
      <c r="AF477" s="121">
        <v>1</v>
      </c>
      <c r="AG477" s="170">
        <v>7.3860000000000001</v>
      </c>
      <c r="AH477" s="73">
        <v>0</v>
      </c>
      <c r="AI477" s="170"/>
      <c r="AJ477" s="73">
        <v>0</v>
      </c>
      <c r="AK477" s="170">
        <v>0</v>
      </c>
      <c r="AL477" s="129">
        <v>0</v>
      </c>
      <c r="AM477" s="202">
        <f t="shared" si="125"/>
        <v>0</v>
      </c>
      <c r="AN477" s="202">
        <f t="shared" si="126"/>
        <v>0</v>
      </c>
      <c r="AO477" s="202">
        <f t="shared" si="127"/>
        <v>0</v>
      </c>
      <c r="AP477" s="202">
        <f t="shared" si="128"/>
        <v>0</v>
      </c>
      <c r="AQ477" s="202">
        <f t="shared" si="129"/>
        <v>0</v>
      </c>
      <c r="AR477" s="217" t="s">
        <v>1296</v>
      </c>
      <c r="AS477" s="226" t="s">
        <v>1660</v>
      </c>
      <c r="AT477" s="234">
        <v>311411</v>
      </c>
      <c r="AU477" s="244">
        <f t="shared" si="130"/>
        <v>0</v>
      </c>
      <c r="AV477" s="244">
        <f t="shared" si="131"/>
        <v>0</v>
      </c>
      <c r="AW477" s="244">
        <f t="shared" si="132"/>
        <v>0</v>
      </c>
      <c r="AX477" s="244">
        <f t="shared" si="133"/>
        <v>0</v>
      </c>
      <c r="AY477" s="244">
        <f t="shared" si="134"/>
        <v>0</v>
      </c>
      <c r="AZ477" s="155">
        <v>0</v>
      </c>
    </row>
    <row r="478" spans="1:52" ht="15.75" customHeight="1" x14ac:dyDescent="0.35">
      <c r="A478" s="139" t="s">
        <v>1296</v>
      </c>
      <c r="B478" s="67" t="s">
        <v>1326</v>
      </c>
      <c r="C478" s="120" t="s">
        <v>67</v>
      </c>
      <c r="D478" s="120" t="s">
        <v>67</v>
      </c>
      <c r="E478" s="120" t="s">
        <v>67</v>
      </c>
      <c r="F478" s="139" t="s">
        <v>1350</v>
      </c>
      <c r="G478" s="67" t="s">
        <v>1020</v>
      </c>
      <c r="H478" s="139" t="s">
        <v>1030</v>
      </c>
      <c r="I478" s="139" t="s">
        <v>1312</v>
      </c>
      <c r="J478" s="143" t="s">
        <v>1158</v>
      </c>
      <c r="K478" s="228">
        <v>20</v>
      </c>
      <c r="L478" s="269"/>
      <c r="M478" s="269"/>
      <c r="N478" s="269"/>
      <c r="O478" s="269">
        <v>1</v>
      </c>
      <c r="P478" s="269"/>
      <c r="Q478" s="269"/>
      <c r="R478" s="269"/>
      <c r="S478" s="165" t="s">
        <v>1330</v>
      </c>
      <c r="T478" s="70"/>
      <c r="U478" s="238">
        <f t="shared" si="120"/>
        <v>1.5589201404169568E-2</v>
      </c>
      <c r="V478" s="238">
        <f t="shared" si="121"/>
        <v>0</v>
      </c>
      <c r="W478" s="238">
        <f t="shared" si="122"/>
        <v>1.5589201404169568E-2</v>
      </c>
      <c r="X478" s="238">
        <f t="shared" si="123"/>
        <v>0</v>
      </c>
      <c r="Y478" s="238">
        <f t="shared" si="124"/>
        <v>0</v>
      </c>
      <c r="Z478" s="70">
        <v>1.5589201404169568E-2</v>
      </c>
      <c r="AA478" s="70"/>
      <c r="AB478" s="70">
        <v>1.5589201404169568E-2</v>
      </c>
      <c r="AC478" s="70">
        <v>0</v>
      </c>
      <c r="AD478" s="71">
        <v>0</v>
      </c>
      <c r="AE478" s="233"/>
      <c r="AF478" s="72"/>
      <c r="AG478" s="170">
        <v>7.3860000000000001</v>
      </c>
      <c r="AH478" s="73">
        <v>0.11514184157119643</v>
      </c>
      <c r="AI478" s="170"/>
      <c r="AJ478" s="73">
        <v>0.11514184157119643</v>
      </c>
      <c r="AK478" s="170">
        <v>0</v>
      </c>
      <c r="AL478" s="129">
        <v>0</v>
      </c>
      <c r="AM478" s="202">
        <f t="shared" si="125"/>
        <v>6.9660079236737901E-6</v>
      </c>
      <c r="AN478" s="202">
        <f t="shared" si="126"/>
        <v>0</v>
      </c>
      <c r="AO478" s="202">
        <f t="shared" si="127"/>
        <v>6.9660079236737901E-6</v>
      </c>
      <c r="AP478" s="202">
        <f t="shared" si="128"/>
        <v>0</v>
      </c>
      <c r="AQ478" s="202">
        <f t="shared" si="129"/>
        <v>0</v>
      </c>
      <c r="AR478" s="217" t="s">
        <v>1296</v>
      </c>
      <c r="AS478" s="226" t="s">
        <v>1660</v>
      </c>
      <c r="AT478" s="234">
        <v>311411</v>
      </c>
      <c r="AU478" s="244">
        <f t="shared" si="130"/>
        <v>0.11514184157119643</v>
      </c>
      <c r="AV478" s="244">
        <f t="shared" si="131"/>
        <v>0</v>
      </c>
      <c r="AW478" s="244">
        <f t="shared" si="132"/>
        <v>0.11514184157119643</v>
      </c>
      <c r="AX478" s="244">
        <f t="shared" si="133"/>
        <v>0</v>
      </c>
      <c r="AY478" s="244">
        <f t="shared" si="134"/>
        <v>0</v>
      </c>
      <c r="AZ478">
        <v>8.8792628934795777E-5</v>
      </c>
    </row>
    <row r="479" spans="1:52" ht="15.75" customHeight="1" x14ac:dyDescent="0.35">
      <c r="A479" s="145" t="s">
        <v>1296</v>
      </c>
      <c r="B479" s="78" t="s">
        <v>1326</v>
      </c>
      <c r="C479" s="147" t="s">
        <v>124</v>
      </c>
      <c r="D479" s="147" t="s">
        <v>124</v>
      </c>
      <c r="E479" s="145" t="s">
        <v>1054</v>
      </c>
      <c r="F479" s="145" t="s">
        <v>1351</v>
      </c>
      <c r="G479" s="78" t="s">
        <v>1020</v>
      </c>
      <c r="H479" s="145" t="s">
        <v>125</v>
      </c>
      <c r="I479" s="145" t="s">
        <v>125</v>
      </c>
      <c r="J479" s="146"/>
      <c r="K479" s="228">
        <v>30</v>
      </c>
      <c r="L479" s="269"/>
      <c r="M479" s="269"/>
      <c r="N479" s="269"/>
      <c r="O479" s="269">
        <v>1</v>
      </c>
      <c r="P479" s="269"/>
      <c r="Q479" s="269"/>
      <c r="R479" s="269"/>
      <c r="S479" s="166" t="s">
        <v>1330</v>
      </c>
      <c r="T479" s="82"/>
      <c r="U479" s="238">
        <f t="shared" si="120"/>
        <v>2.8951374036314911E-2</v>
      </c>
      <c r="V479" s="238">
        <f t="shared" si="121"/>
        <v>0</v>
      </c>
      <c r="W479" s="238">
        <f t="shared" si="122"/>
        <v>2.8951374036314911E-2</v>
      </c>
      <c r="X479" s="238">
        <f t="shared" si="123"/>
        <v>0</v>
      </c>
      <c r="Y479" s="238">
        <f t="shared" si="124"/>
        <v>0</v>
      </c>
      <c r="Z479" s="70">
        <v>2.8951374036314911E-2</v>
      </c>
      <c r="AA479" s="70"/>
      <c r="AB479" s="70">
        <v>2.8951374036314911E-2</v>
      </c>
      <c r="AC479" s="70">
        <v>0</v>
      </c>
      <c r="AD479" s="71">
        <v>0</v>
      </c>
      <c r="AE479" s="81"/>
      <c r="AF479" s="84"/>
      <c r="AG479" s="172">
        <v>7.3860000000000001</v>
      </c>
      <c r="AH479" s="85">
        <v>0.21383484863222194</v>
      </c>
      <c r="AI479" s="172"/>
      <c r="AJ479" s="85">
        <v>0.21383484863222194</v>
      </c>
      <c r="AK479" s="172">
        <v>0</v>
      </c>
      <c r="AL479" s="133">
        <v>0</v>
      </c>
      <c r="AM479" s="202">
        <f t="shared" si="125"/>
        <v>1.2936871858251323E-5</v>
      </c>
      <c r="AN479" s="202">
        <f t="shared" si="126"/>
        <v>0</v>
      </c>
      <c r="AO479" s="202">
        <f t="shared" si="127"/>
        <v>1.2936871858251323E-5</v>
      </c>
      <c r="AP479" s="202">
        <f t="shared" si="128"/>
        <v>0</v>
      </c>
      <c r="AQ479" s="202">
        <f t="shared" si="129"/>
        <v>0</v>
      </c>
      <c r="AR479" s="213" t="s">
        <v>1296</v>
      </c>
      <c r="AS479" s="226" t="s">
        <v>1660</v>
      </c>
      <c r="AT479" s="234">
        <v>311411</v>
      </c>
      <c r="AU479" s="244">
        <f t="shared" si="130"/>
        <v>0.21383484863222194</v>
      </c>
      <c r="AV479" s="244">
        <f t="shared" si="131"/>
        <v>0</v>
      </c>
      <c r="AW479" s="244">
        <f t="shared" si="132"/>
        <v>0.21383484863222194</v>
      </c>
      <c r="AX479" s="244">
        <f t="shared" si="133"/>
        <v>0</v>
      </c>
      <c r="AY479" s="244">
        <f t="shared" si="134"/>
        <v>0</v>
      </c>
      <c r="AZ479">
        <v>1.6490059659319216E-4</v>
      </c>
    </row>
    <row r="480" spans="1:52" ht="15.75" customHeight="1" x14ac:dyDescent="0.35">
      <c r="A480" s="139" t="s">
        <v>1352</v>
      </c>
      <c r="B480" s="67" t="s">
        <v>1353</v>
      </c>
      <c r="C480" s="233" t="s">
        <v>92</v>
      </c>
      <c r="D480" s="233" t="s">
        <v>256</v>
      </c>
      <c r="E480" s="67" t="s">
        <v>1354</v>
      </c>
      <c r="F480" s="67" t="s">
        <v>1355</v>
      </c>
      <c r="G480" s="139" t="s">
        <v>52</v>
      </c>
      <c r="H480" s="139" t="s">
        <v>53</v>
      </c>
      <c r="I480" s="139" t="s">
        <v>1356</v>
      </c>
      <c r="J480" s="161">
        <v>0.5</v>
      </c>
      <c r="K480" s="228">
        <f t="shared" si="119"/>
        <v>1538</v>
      </c>
      <c r="L480" s="269">
        <v>1538</v>
      </c>
      <c r="M480" s="269"/>
      <c r="N480" s="269"/>
      <c r="O480" s="269">
        <v>1</v>
      </c>
      <c r="P480" s="269"/>
      <c r="Q480" s="269"/>
      <c r="R480" s="269"/>
      <c r="S480" s="56" t="s">
        <v>1357</v>
      </c>
      <c r="T480" s="70"/>
      <c r="U480" s="238">
        <f t="shared" si="120"/>
        <v>1.47</v>
      </c>
      <c r="V480" s="238">
        <f t="shared" si="121"/>
        <v>0</v>
      </c>
      <c r="W480" s="238">
        <f t="shared" si="122"/>
        <v>5.8079810351639662E-4</v>
      </c>
      <c r="X480" s="238">
        <f t="shared" si="123"/>
        <v>1.4694192018964836</v>
      </c>
      <c r="Y480" s="238">
        <f t="shared" si="124"/>
        <v>0</v>
      </c>
      <c r="Z480" s="82">
        <v>1.47</v>
      </c>
      <c r="AA480" s="82"/>
      <c r="AB480" s="82">
        <v>5.8079810351639662E-4</v>
      </c>
      <c r="AC480" s="82">
        <v>1.4694192018964836</v>
      </c>
      <c r="AD480" s="83"/>
      <c r="AE480" s="233"/>
      <c r="AF480" s="72"/>
      <c r="AG480" s="73">
        <v>4.3391999999999999</v>
      </c>
      <c r="AH480" s="73">
        <v>6.3786239999999994</v>
      </c>
      <c r="AI480" s="73">
        <v>0</v>
      </c>
      <c r="AJ480" s="73">
        <v>2.5201991307783481E-3</v>
      </c>
      <c r="AK480" s="73">
        <v>6.3761038008692212</v>
      </c>
      <c r="AL480" s="129">
        <v>0</v>
      </c>
      <c r="AM480" s="202">
        <f t="shared" si="125"/>
        <v>3.8590268072671835E-4</v>
      </c>
      <c r="AN480" s="202">
        <f t="shared" si="126"/>
        <v>0</v>
      </c>
      <c r="AO480" s="202">
        <f t="shared" si="127"/>
        <v>1.5247043884896023E-7</v>
      </c>
      <c r="AP480" s="202">
        <f t="shared" si="128"/>
        <v>3.8575021028786939E-4</v>
      </c>
      <c r="AQ480" s="202">
        <f t="shared" si="129"/>
        <v>0</v>
      </c>
      <c r="AR480" s="217" t="s">
        <v>1352</v>
      </c>
      <c r="AS480" s="210" t="s">
        <v>1662</v>
      </c>
      <c r="AT480" s="234">
        <v>331511</v>
      </c>
      <c r="AU480" s="244">
        <f t="shared" si="130"/>
        <v>6.3786239999999994</v>
      </c>
      <c r="AV480" s="244">
        <f t="shared" si="131"/>
        <v>0</v>
      </c>
      <c r="AW480" s="244">
        <f t="shared" si="132"/>
        <v>2.5201991307783481E-3</v>
      </c>
      <c r="AX480" s="244">
        <f t="shared" si="133"/>
        <v>6.3761038008692212</v>
      </c>
      <c r="AY480" s="244">
        <f t="shared" si="134"/>
        <v>0</v>
      </c>
      <c r="AZ480">
        <v>4.1924637681159411E-3</v>
      </c>
    </row>
    <row r="481" spans="1:52" ht="15.75" customHeight="1" x14ac:dyDescent="0.35">
      <c r="A481" s="139" t="s">
        <v>1352</v>
      </c>
      <c r="B481" s="67" t="s">
        <v>1353</v>
      </c>
      <c r="C481" s="233" t="s">
        <v>92</v>
      </c>
      <c r="D481" s="233" t="s">
        <v>519</v>
      </c>
      <c r="E481" s="67" t="s">
        <v>1358</v>
      </c>
      <c r="F481" s="67" t="s">
        <v>1359</v>
      </c>
      <c r="G481" s="139" t="s">
        <v>52</v>
      </c>
      <c r="H481" s="139" t="s">
        <v>1360</v>
      </c>
      <c r="I481" s="139" t="s">
        <v>1361</v>
      </c>
      <c r="J481" s="161">
        <v>0.85</v>
      </c>
      <c r="K481" s="228">
        <f>AVERAGE(150,250)</f>
        <v>200</v>
      </c>
      <c r="L481" s="269" t="s">
        <v>1362</v>
      </c>
      <c r="M481" s="269"/>
      <c r="N481" s="269"/>
      <c r="O481" s="269">
        <v>1</v>
      </c>
      <c r="P481" s="269"/>
      <c r="Q481" s="269"/>
      <c r="R481" s="269"/>
      <c r="S481" s="66" t="s">
        <v>1357</v>
      </c>
      <c r="T481" s="70"/>
      <c r="U481" s="238">
        <f t="shared" si="120"/>
        <v>9.7179584120982987E-2</v>
      </c>
      <c r="V481" s="238">
        <f t="shared" si="121"/>
        <v>0</v>
      </c>
      <c r="W481" s="238">
        <f t="shared" si="122"/>
        <v>4.2873345935727789E-3</v>
      </c>
      <c r="X481" s="238">
        <f t="shared" si="123"/>
        <v>9.2892249527410209E-2</v>
      </c>
      <c r="Y481" s="238">
        <f t="shared" si="124"/>
        <v>0</v>
      </c>
      <c r="Z481" s="70">
        <v>9.7179584120982987E-2</v>
      </c>
      <c r="AA481" s="70"/>
      <c r="AB481" s="70">
        <v>4.2873345935727789E-3</v>
      </c>
      <c r="AC481" s="70">
        <v>9.2892249527410209E-2</v>
      </c>
      <c r="AD481" s="71"/>
      <c r="AE481" s="233"/>
      <c r="AF481" s="72"/>
      <c r="AG481" s="73">
        <v>4.3391999999999999</v>
      </c>
      <c r="AH481" s="73">
        <v>0.42168165141776937</v>
      </c>
      <c r="AI481" s="73">
        <v>0</v>
      </c>
      <c r="AJ481" s="73">
        <v>1.8603602268431003E-2</v>
      </c>
      <c r="AK481" s="73">
        <v>0.40307804914933837</v>
      </c>
      <c r="AL481" s="129">
        <v>0</v>
      </c>
      <c r="AM481" s="202">
        <f t="shared" si="125"/>
        <v>2.5511470764758481E-5</v>
      </c>
      <c r="AN481" s="202">
        <f t="shared" si="126"/>
        <v>0</v>
      </c>
      <c r="AO481" s="202">
        <f t="shared" si="127"/>
        <v>1.1255060631511095E-6</v>
      </c>
      <c r="AP481" s="202">
        <f t="shared" si="128"/>
        <v>2.4385964701607373E-5</v>
      </c>
      <c r="AQ481" s="202">
        <f t="shared" si="129"/>
        <v>0</v>
      </c>
      <c r="AR481" s="217" t="s">
        <v>1352</v>
      </c>
      <c r="AS481" s="210" t="s">
        <v>1662</v>
      </c>
      <c r="AT481" s="234">
        <v>331511</v>
      </c>
      <c r="AU481" s="244">
        <f t="shared" si="130"/>
        <v>0.42168165141776937</v>
      </c>
      <c r="AV481" s="244">
        <f t="shared" si="131"/>
        <v>0</v>
      </c>
      <c r="AW481" s="244">
        <f t="shared" si="132"/>
        <v>1.8603602268431003E-2</v>
      </c>
      <c r="AX481" s="244">
        <f t="shared" si="133"/>
        <v>0.40307804914933837</v>
      </c>
      <c r="AY481" s="244">
        <f t="shared" si="134"/>
        <v>0</v>
      </c>
      <c r="AZ481">
        <v>2.7715774518897719E-4</v>
      </c>
    </row>
    <row r="482" spans="1:52" ht="15.75" customHeight="1" x14ac:dyDescent="0.35">
      <c r="A482" s="139" t="s">
        <v>1352</v>
      </c>
      <c r="B482" s="67" t="s">
        <v>1353</v>
      </c>
      <c r="C482" s="233" t="s">
        <v>74</v>
      </c>
      <c r="D482" s="233" t="s">
        <v>75</v>
      </c>
      <c r="E482" s="67" t="s">
        <v>1363</v>
      </c>
      <c r="F482" s="67" t="s">
        <v>1364</v>
      </c>
      <c r="G482" s="139" t="s">
        <v>52</v>
      </c>
      <c r="H482" s="139" t="s">
        <v>76</v>
      </c>
      <c r="I482" s="139" t="s">
        <v>1365</v>
      </c>
      <c r="J482" s="168" t="s">
        <v>78</v>
      </c>
      <c r="K482" s="228">
        <f>AVERAGE(100.125)</f>
        <v>100.125</v>
      </c>
      <c r="L482" s="269" t="s">
        <v>1366</v>
      </c>
      <c r="M482" s="269"/>
      <c r="N482" s="269"/>
      <c r="O482" s="269">
        <v>1</v>
      </c>
      <c r="P482" s="269"/>
      <c r="Q482" s="269"/>
      <c r="R482" s="269"/>
      <c r="S482" s="66" t="s">
        <v>1357</v>
      </c>
      <c r="T482" s="70"/>
      <c r="U482" s="238">
        <f t="shared" si="120"/>
        <v>0.27939130434782605</v>
      </c>
      <c r="V482" s="238">
        <f t="shared" si="121"/>
        <v>0</v>
      </c>
      <c r="W482" s="238">
        <f t="shared" si="122"/>
        <v>7.1455576559546308E-4</v>
      </c>
      <c r="X482" s="238">
        <f t="shared" si="123"/>
        <v>0.27867674858223057</v>
      </c>
      <c r="Y482" s="238">
        <f t="shared" si="124"/>
        <v>0</v>
      </c>
      <c r="Z482" s="70">
        <v>0.27939130434782605</v>
      </c>
      <c r="AA482" s="70"/>
      <c r="AB482" s="70">
        <v>7.1455576559546308E-4</v>
      </c>
      <c r="AC482" s="70">
        <v>0.27867674858223057</v>
      </c>
      <c r="AD482" s="71"/>
      <c r="AE482" s="233"/>
      <c r="AF482" s="72"/>
      <c r="AG482" s="73">
        <v>4.3391999999999999</v>
      </c>
      <c r="AH482" s="73">
        <v>1.2123347478260866</v>
      </c>
      <c r="AI482" s="73">
        <v>0</v>
      </c>
      <c r="AJ482" s="73">
        <v>3.1006003780718332E-3</v>
      </c>
      <c r="AK482" s="73">
        <v>1.2092341474480148</v>
      </c>
      <c r="AL482" s="129">
        <v>0</v>
      </c>
      <c r="AM482" s="202">
        <f t="shared" si="125"/>
        <v>7.3345478448680614E-5</v>
      </c>
      <c r="AN482" s="202">
        <f t="shared" si="126"/>
        <v>0</v>
      </c>
      <c r="AO482" s="202">
        <f t="shared" si="127"/>
        <v>1.8758434385851821E-7</v>
      </c>
      <c r="AP482" s="202">
        <f t="shared" si="128"/>
        <v>7.3157894104822099E-5</v>
      </c>
      <c r="AQ482" s="202">
        <f t="shared" si="129"/>
        <v>0</v>
      </c>
      <c r="AR482" s="217" t="s">
        <v>1352</v>
      </c>
      <c r="AS482" s="210" t="s">
        <v>1662</v>
      </c>
      <c r="AT482" s="234">
        <v>331511</v>
      </c>
      <c r="AU482" s="244">
        <f t="shared" si="130"/>
        <v>1.2123347478260866</v>
      </c>
      <c r="AV482" s="244">
        <f t="shared" si="131"/>
        <v>0</v>
      </c>
      <c r="AW482" s="244">
        <f t="shared" si="132"/>
        <v>3.1006003780718332E-3</v>
      </c>
      <c r="AX482" s="244">
        <f t="shared" si="133"/>
        <v>1.2092341474480148</v>
      </c>
      <c r="AY482" s="244">
        <f t="shared" si="134"/>
        <v>0</v>
      </c>
      <c r="AZ482">
        <v>7.9682851741830923E-4</v>
      </c>
    </row>
    <row r="483" spans="1:52" ht="15.75" customHeight="1" x14ac:dyDescent="0.35">
      <c r="A483" s="139" t="s">
        <v>1352</v>
      </c>
      <c r="B483" s="67" t="s">
        <v>1353</v>
      </c>
      <c r="C483" s="120" t="s">
        <v>88</v>
      </c>
      <c r="D483" s="233" t="s">
        <v>526</v>
      </c>
      <c r="E483" s="67" t="s">
        <v>1367</v>
      </c>
      <c r="F483" s="67" t="s">
        <v>1368</v>
      </c>
      <c r="G483" s="139" t="s">
        <v>52</v>
      </c>
      <c r="H483" s="139" t="s">
        <v>1369</v>
      </c>
      <c r="I483" s="139" t="s">
        <v>1370</v>
      </c>
      <c r="J483" s="143"/>
      <c r="K483" s="228">
        <v>1350</v>
      </c>
      <c r="L483" s="269" t="s">
        <v>1371</v>
      </c>
      <c r="M483" s="269"/>
      <c r="N483" s="269"/>
      <c r="O483" s="269">
        <v>1</v>
      </c>
      <c r="P483" s="269"/>
      <c r="Q483" s="269"/>
      <c r="R483" s="269"/>
      <c r="S483" s="66" t="s">
        <v>1357</v>
      </c>
      <c r="T483" s="70"/>
      <c r="U483" s="238">
        <f t="shared" si="120"/>
        <v>1.4291115311909264E-3</v>
      </c>
      <c r="V483" s="238">
        <f t="shared" si="121"/>
        <v>0</v>
      </c>
      <c r="W483" s="238">
        <f t="shared" si="122"/>
        <v>1.4291115311909264E-3</v>
      </c>
      <c r="X483" s="238">
        <f t="shared" si="123"/>
        <v>0</v>
      </c>
      <c r="Y483" s="238">
        <f t="shared" si="124"/>
        <v>0</v>
      </c>
      <c r="Z483" s="70">
        <v>1.4291115311909264E-3</v>
      </c>
      <c r="AA483" s="70"/>
      <c r="AB483" s="70">
        <v>1.4291115311909264E-3</v>
      </c>
      <c r="AC483" s="70"/>
      <c r="AD483" s="71"/>
      <c r="AE483" s="233"/>
      <c r="AF483" s="72"/>
      <c r="AG483" s="73">
        <v>4.3391999999999999</v>
      </c>
      <c r="AH483" s="73">
        <v>6.2012007561436672E-3</v>
      </c>
      <c r="AI483" s="73">
        <v>0</v>
      </c>
      <c r="AJ483" s="73">
        <v>6.2012007561436672E-3</v>
      </c>
      <c r="AK483" s="73">
        <v>0</v>
      </c>
      <c r="AL483" s="129">
        <v>0</v>
      </c>
      <c r="AM483" s="202">
        <f t="shared" si="125"/>
        <v>3.7516868771703646E-7</v>
      </c>
      <c r="AN483" s="202">
        <f t="shared" si="126"/>
        <v>0</v>
      </c>
      <c r="AO483" s="202">
        <f t="shared" si="127"/>
        <v>3.7516868771703646E-7</v>
      </c>
      <c r="AP483" s="202">
        <f t="shared" si="128"/>
        <v>0</v>
      </c>
      <c r="AQ483" s="202">
        <f t="shared" si="129"/>
        <v>0</v>
      </c>
      <c r="AR483" s="217" t="s">
        <v>1352</v>
      </c>
      <c r="AS483" s="210" t="s">
        <v>1662</v>
      </c>
      <c r="AT483" s="234">
        <v>331511</v>
      </c>
      <c r="AU483" s="244">
        <f t="shared" si="130"/>
        <v>6.2012007561436672E-3</v>
      </c>
      <c r="AV483" s="244">
        <f t="shared" si="131"/>
        <v>0</v>
      </c>
      <c r="AW483" s="244">
        <f t="shared" si="132"/>
        <v>6.2012007561436672E-3</v>
      </c>
      <c r="AX483" s="244">
        <f t="shared" si="133"/>
        <v>0</v>
      </c>
      <c r="AY483" s="244">
        <f t="shared" si="134"/>
        <v>0</v>
      </c>
      <c r="AZ483">
        <v>4.0758491939555472E-6</v>
      </c>
    </row>
    <row r="484" spans="1:52" ht="15.75" customHeight="1" x14ac:dyDescent="0.35">
      <c r="A484" s="139" t="s">
        <v>1352</v>
      </c>
      <c r="B484" s="67" t="s">
        <v>1353</v>
      </c>
      <c r="C484" s="233" t="s">
        <v>270</v>
      </c>
      <c r="D484" s="233" t="s">
        <v>271</v>
      </c>
      <c r="E484" s="67" t="s">
        <v>271</v>
      </c>
      <c r="F484" s="67" t="s">
        <v>1372</v>
      </c>
      <c r="G484" s="139" t="s">
        <v>52</v>
      </c>
      <c r="H484" s="139" t="s">
        <v>1373</v>
      </c>
      <c r="I484" s="139" t="s">
        <v>1374</v>
      </c>
      <c r="J484" s="161">
        <v>0.78</v>
      </c>
      <c r="K484" s="228">
        <f>AVERAGE(25,40)</f>
        <v>32.5</v>
      </c>
      <c r="L484" s="269" t="s">
        <v>1375</v>
      </c>
      <c r="M484" s="269"/>
      <c r="N484" s="269"/>
      <c r="O484" s="269">
        <v>1</v>
      </c>
      <c r="P484" s="269"/>
      <c r="Q484" s="269"/>
      <c r="R484" s="269"/>
      <c r="S484" s="66" t="s">
        <v>1357</v>
      </c>
      <c r="T484" s="70"/>
      <c r="U484" s="238">
        <f t="shared" si="120"/>
        <v>0.189</v>
      </c>
      <c r="V484" s="238">
        <f t="shared" si="121"/>
        <v>0</v>
      </c>
      <c r="W484" s="238">
        <f t="shared" si="122"/>
        <v>1.170278637770898E-3</v>
      </c>
      <c r="X484" s="238">
        <f t="shared" si="123"/>
        <v>0.18782972136222911</v>
      </c>
      <c r="Y484" s="238">
        <f t="shared" si="124"/>
        <v>0</v>
      </c>
      <c r="Z484" s="70">
        <v>0.189</v>
      </c>
      <c r="AA484" s="70"/>
      <c r="AB484" s="70">
        <v>1.170278637770898E-3</v>
      </c>
      <c r="AC484" s="70">
        <v>0.18782972136222911</v>
      </c>
      <c r="AD484" s="71"/>
      <c r="AE484" s="233"/>
      <c r="AF484" s="72"/>
      <c r="AG484" s="73">
        <v>4.3391999999999999</v>
      </c>
      <c r="AH484" s="73">
        <v>0.82010880000000008</v>
      </c>
      <c r="AI484" s="73">
        <v>0</v>
      </c>
      <c r="AJ484" s="73">
        <v>5.0780730650154806E-3</v>
      </c>
      <c r="AK484" s="73">
        <v>0.81503072693498457</v>
      </c>
      <c r="AL484" s="129">
        <v>0</v>
      </c>
      <c r="AM484" s="202">
        <f t="shared" si="125"/>
        <v>4.9616058950578083E-5</v>
      </c>
      <c r="AN484" s="202">
        <f t="shared" si="126"/>
        <v>0</v>
      </c>
      <c r="AO484" s="202">
        <f t="shared" si="127"/>
        <v>3.0722017926054541E-7</v>
      </c>
      <c r="AP484" s="202">
        <f t="shared" si="128"/>
        <v>4.9308838771317535E-5</v>
      </c>
      <c r="AQ484" s="202">
        <f t="shared" si="129"/>
        <v>0</v>
      </c>
      <c r="AR484" s="217" t="s">
        <v>1352</v>
      </c>
      <c r="AS484" s="210" t="s">
        <v>1662</v>
      </c>
      <c r="AT484" s="234">
        <v>331511</v>
      </c>
      <c r="AU484" s="244">
        <f t="shared" si="130"/>
        <v>0.82010880000000008</v>
      </c>
      <c r="AV484" s="244">
        <f t="shared" si="131"/>
        <v>0</v>
      </c>
      <c r="AW484" s="244">
        <f t="shared" si="132"/>
        <v>5.0780730650154806E-3</v>
      </c>
      <c r="AX484" s="244">
        <f t="shared" si="133"/>
        <v>0.81503072693498457</v>
      </c>
      <c r="AY484" s="244">
        <f t="shared" si="134"/>
        <v>0</v>
      </c>
      <c r="AZ484">
        <v>5.3903105590062119E-4</v>
      </c>
    </row>
    <row r="485" spans="1:52" ht="15.75" customHeight="1" x14ac:dyDescent="0.35">
      <c r="A485" s="139" t="s">
        <v>1352</v>
      </c>
      <c r="B485" s="78" t="s">
        <v>1353</v>
      </c>
      <c r="C485" s="81" t="s">
        <v>71</v>
      </c>
      <c r="D485" s="81" t="s">
        <v>71</v>
      </c>
      <c r="E485" s="78" t="s">
        <v>389</v>
      </c>
      <c r="F485" s="78" t="s">
        <v>1376</v>
      </c>
      <c r="G485" s="145" t="s">
        <v>52</v>
      </c>
      <c r="H485" s="145" t="s">
        <v>300</v>
      </c>
      <c r="I485" s="145" t="s">
        <v>1377</v>
      </c>
      <c r="J485" s="174"/>
      <c r="K485" s="228">
        <f>AVERAGE(150,250)</f>
        <v>200</v>
      </c>
      <c r="L485" s="269" t="s">
        <v>1362</v>
      </c>
      <c r="M485" s="269"/>
      <c r="N485" s="269"/>
      <c r="O485" s="269">
        <v>0.4</v>
      </c>
      <c r="P485" s="269"/>
      <c r="Q485" s="269"/>
      <c r="R485" s="269"/>
      <c r="S485" s="77" t="s">
        <v>1357</v>
      </c>
      <c r="T485" s="82"/>
      <c r="U485" s="238">
        <f t="shared" si="120"/>
        <v>6.3E-2</v>
      </c>
      <c r="V485" s="238">
        <f t="shared" si="121"/>
        <v>0</v>
      </c>
      <c r="W485" s="238">
        <f t="shared" si="122"/>
        <v>6.3E-2</v>
      </c>
      <c r="X485" s="238">
        <f t="shared" si="123"/>
        <v>0</v>
      </c>
      <c r="Y485" s="238">
        <f t="shared" si="124"/>
        <v>0</v>
      </c>
      <c r="Z485" s="70">
        <v>6.3E-2</v>
      </c>
      <c r="AA485" s="70"/>
      <c r="AB485" s="70">
        <v>6.3E-2</v>
      </c>
      <c r="AC485" s="70"/>
      <c r="AD485" s="71"/>
      <c r="AE485" s="81"/>
      <c r="AF485" s="84"/>
      <c r="AG485" s="175">
        <v>4.3391999999999999</v>
      </c>
      <c r="AH485" s="85">
        <v>0.27336959999999999</v>
      </c>
      <c r="AI485" s="85">
        <v>0</v>
      </c>
      <c r="AJ485" s="85">
        <v>0.27336959999999999</v>
      </c>
      <c r="AK485" s="85">
        <v>0</v>
      </c>
      <c r="AL485" s="133">
        <v>0</v>
      </c>
      <c r="AM485" s="202">
        <f t="shared" si="125"/>
        <v>1.6538686316859359E-5</v>
      </c>
      <c r="AN485" s="202">
        <f t="shared" si="126"/>
        <v>0</v>
      </c>
      <c r="AO485" s="202">
        <f t="shared" si="127"/>
        <v>1.6538686316859359E-5</v>
      </c>
      <c r="AP485" s="202">
        <f t="shared" si="128"/>
        <v>0</v>
      </c>
      <c r="AQ485" s="202">
        <f t="shared" si="129"/>
        <v>0</v>
      </c>
      <c r="AR485" s="217" t="s">
        <v>1352</v>
      </c>
      <c r="AS485" s="210" t="s">
        <v>1662</v>
      </c>
      <c r="AT485" s="234">
        <v>331511</v>
      </c>
      <c r="AU485" s="244">
        <f t="shared" si="130"/>
        <v>0.27336959999999999</v>
      </c>
      <c r="AV485" s="244">
        <f t="shared" si="131"/>
        <v>0</v>
      </c>
      <c r="AW485" s="244">
        <f t="shared" si="132"/>
        <v>0.27336959999999999</v>
      </c>
      <c r="AX485" s="244">
        <f t="shared" si="133"/>
        <v>0</v>
      </c>
      <c r="AY485" s="244">
        <f t="shared" si="134"/>
        <v>0</v>
      </c>
      <c r="AZ485">
        <v>1.7967701863354037E-4</v>
      </c>
    </row>
    <row r="486" spans="1:52" ht="15.75" customHeight="1" x14ac:dyDescent="0.35">
      <c r="A486" s="157" t="s">
        <v>1352</v>
      </c>
      <c r="B486" s="57" t="s">
        <v>1378</v>
      </c>
      <c r="C486" s="233" t="s">
        <v>92</v>
      </c>
      <c r="D486" s="233" t="s">
        <v>256</v>
      </c>
      <c r="E486" s="67" t="s">
        <v>1354</v>
      </c>
      <c r="F486" s="67" t="s">
        <v>1355</v>
      </c>
      <c r="G486" s="139" t="s">
        <v>52</v>
      </c>
      <c r="H486" s="139" t="s">
        <v>53</v>
      </c>
      <c r="I486" s="139" t="s">
        <v>1379</v>
      </c>
      <c r="J486" s="161">
        <v>0.65</v>
      </c>
      <c r="K486" s="228">
        <f t="shared" si="119"/>
        <v>1538</v>
      </c>
      <c r="L486" s="269">
        <v>1538</v>
      </c>
      <c r="M486" s="269"/>
      <c r="N486" s="269"/>
      <c r="O486" s="269">
        <v>1</v>
      </c>
      <c r="P486" s="269"/>
      <c r="Q486" s="269"/>
      <c r="R486" s="269"/>
      <c r="S486" s="56" t="s">
        <v>1357</v>
      </c>
      <c r="T486" s="70"/>
      <c r="U486" s="238">
        <f t="shared" si="120"/>
        <v>1.5875999999999997</v>
      </c>
      <c r="V486" s="238">
        <f t="shared" si="121"/>
        <v>0</v>
      </c>
      <c r="W486" s="238">
        <f t="shared" si="122"/>
        <v>1.5875999999999997</v>
      </c>
      <c r="X486" s="238">
        <f t="shared" si="123"/>
        <v>0</v>
      </c>
      <c r="Y486" s="238">
        <f t="shared" si="124"/>
        <v>0</v>
      </c>
      <c r="Z486" s="82">
        <v>1.5875999999999997</v>
      </c>
      <c r="AA486" s="82"/>
      <c r="AB486" s="82">
        <v>1.5875999999999997</v>
      </c>
      <c r="AC486" s="82"/>
      <c r="AD486" s="83"/>
      <c r="AE486" s="233"/>
      <c r="AF486" s="72"/>
      <c r="AG486" s="169">
        <v>9.2208000000000006</v>
      </c>
      <c r="AH486" s="73">
        <v>14.638942079999998</v>
      </c>
      <c r="AI486" s="73">
        <v>0</v>
      </c>
      <c r="AJ486" s="73">
        <v>14.638942079999998</v>
      </c>
      <c r="AK486" s="73">
        <v>0</v>
      </c>
      <c r="AL486" s="129">
        <v>0</v>
      </c>
      <c r="AM486" s="202">
        <f t="shared" si="125"/>
        <v>8.8564665226781856E-4</v>
      </c>
      <c r="AN486" s="202">
        <f t="shared" si="126"/>
        <v>0</v>
      </c>
      <c r="AO486" s="202">
        <f t="shared" si="127"/>
        <v>8.8564665226781856E-4</v>
      </c>
      <c r="AP486" s="202">
        <f t="shared" si="128"/>
        <v>0</v>
      </c>
      <c r="AQ486" s="202">
        <f t="shared" si="129"/>
        <v>0</v>
      </c>
      <c r="AR486" s="206" t="s">
        <v>1352</v>
      </c>
      <c r="AS486" s="210" t="s">
        <v>1662</v>
      </c>
      <c r="AT486" s="234">
        <v>331511</v>
      </c>
      <c r="AU486" s="244">
        <f t="shared" si="130"/>
        <v>14.638942079999998</v>
      </c>
      <c r="AV486" s="244">
        <f t="shared" si="131"/>
        <v>0</v>
      </c>
      <c r="AW486" s="244">
        <f t="shared" si="132"/>
        <v>14.638942079999998</v>
      </c>
      <c r="AX486" s="244">
        <f t="shared" si="133"/>
        <v>0</v>
      </c>
      <c r="AY486" s="244">
        <f t="shared" si="134"/>
        <v>0</v>
      </c>
      <c r="AZ486">
        <v>9.6217043478260857E-3</v>
      </c>
    </row>
    <row r="487" spans="1:52" ht="15.75" customHeight="1" x14ac:dyDescent="0.35">
      <c r="A487" s="139" t="s">
        <v>1352</v>
      </c>
      <c r="B487" s="67" t="s">
        <v>1378</v>
      </c>
      <c r="C487" s="233" t="s">
        <v>92</v>
      </c>
      <c r="D487" s="233" t="s">
        <v>519</v>
      </c>
      <c r="E487" s="67" t="s">
        <v>1358</v>
      </c>
      <c r="F487" s="67" t="s">
        <v>1359</v>
      </c>
      <c r="G487" s="139" t="s">
        <v>52</v>
      </c>
      <c r="H487" s="139" t="s">
        <v>1360</v>
      </c>
      <c r="I487" s="139" t="s">
        <v>1380</v>
      </c>
      <c r="J487" s="161">
        <v>0.85</v>
      </c>
      <c r="K487" s="228">
        <v>200</v>
      </c>
      <c r="L487" s="269" t="s">
        <v>1362</v>
      </c>
      <c r="M487" s="269"/>
      <c r="N487" s="269"/>
      <c r="O487" s="269">
        <v>1</v>
      </c>
      <c r="P487" s="269"/>
      <c r="Q487" s="269"/>
      <c r="R487" s="269"/>
      <c r="S487" s="66" t="s">
        <v>1357</v>
      </c>
      <c r="T487" s="70"/>
      <c r="U487" s="238">
        <f t="shared" si="120"/>
        <v>0.10495395085066163</v>
      </c>
      <c r="V487" s="238">
        <f t="shared" si="121"/>
        <v>0</v>
      </c>
      <c r="W487" s="238">
        <f t="shared" si="122"/>
        <v>4.6303213610586012E-3</v>
      </c>
      <c r="X487" s="238">
        <f t="shared" si="123"/>
        <v>0.10032362948960302</v>
      </c>
      <c r="Y487" s="238">
        <f t="shared" si="124"/>
        <v>0</v>
      </c>
      <c r="Z487" s="70">
        <v>0.10495395085066163</v>
      </c>
      <c r="AA487" s="70"/>
      <c r="AB487" s="70">
        <v>4.6303213610586012E-3</v>
      </c>
      <c r="AC487" s="70">
        <v>0.10032362948960302</v>
      </c>
      <c r="AD487" s="71"/>
      <c r="AE487" s="233"/>
      <c r="AF487" s="72"/>
      <c r="AG487" s="176">
        <v>9.2208000000000006</v>
      </c>
      <c r="AH487" s="73">
        <v>0.96775939000378075</v>
      </c>
      <c r="AI487" s="73">
        <v>0</v>
      </c>
      <c r="AJ487" s="73">
        <v>4.2695267206049152E-2</v>
      </c>
      <c r="AK487" s="73">
        <v>0.92506412279773165</v>
      </c>
      <c r="AL487" s="129">
        <v>0</v>
      </c>
      <c r="AM487" s="202">
        <f t="shared" si="125"/>
        <v>5.854882540512072E-5</v>
      </c>
      <c r="AN487" s="202">
        <f t="shared" si="126"/>
        <v>0</v>
      </c>
      <c r="AO487" s="202">
        <f t="shared" si="127"/>
        <v>2.5830364149317962E-6</v>
      </c>
      <c r="AP487" s="202">
        <f t="shared" si="128"/>
        <v>5.5965788990188921E-5</v>
      </c>
      <c r="AQ487" s="202">
        <f t="shared" si="129"/>
        <v>0</v>
      </c>
      <c r="AR487" s="217" t="s">
        <v>1352</v>
      </c>
      <c r="AS487" s="210" t="s">
        <v>1662</v>
      </c>
      <c r="AT487" s="234">
        <v>331511</v>
      </c>
      <c r="AU487" s="244">
        <f t="shared" si="130"/>
        <v>0.96775939000378075</v>
      </c>
      <c r="AV487" s="244">
        <f t="shared" si="131"/>
        <v>0</v>
      </c>
      <c r="AW487" s="244">
        <f t="shared" si="132"/>
        <v>4.2695267206049152E-2</v>
      </c>
      <c r="AX487" s="244">
        <f t="shared" si="133"/>
        <v>0.92506412279773165</v>
      </c>
      <c r="AY487" s="244">
        <f t="shared" si="134"/>
        <v>0</v>
      </c>
      <c r="AZ487">
        <v>6.3607702520870272E-4</v>
      </c>
    </row>
    <row r="488" spans="1:52" ht="15.75" customHeight="1" x14ac:dyDescent="0.35">
      <c r="A488" s="139" t="s">
        <v>1352</v>
      </c>
      <c r="B488" s="67" t="s">
        <v>1378</v>
      </c>
      <c r="C488" s="233" t="s">
        <v>74</v>
      </c>
      <c r="D488" s="233" t="s">
        <v>75</v>
      </c>
      <c r="E488" s="67" t="s">
        <v>1363</v>
      </c>
      <c r="F488" s="67" t="s">
        <v>1364</v>
      </c>
      <c r="G488" s="139" t="s">
        <v>52</v>
      </c>
      <c r="H488" s="139" t="s">
        <v>76</v>
      </c>
      <c r="I488" s="139" t="s">
        <v>1365</v>
      </c>
      <c r="J488" s="168" t="s">
        <v>78</v>
      </c>
      <c r="K488" s="228">
        <f>AVERAGE(100,125)</f>
        <v>112.5</v>
      </c>
      <c r="L488" s="269" t="s">
        <v>1366</v>
      </c>
      <c r="M488" s="269"/>
      <c r="N488" s="269"/>
      <c r="O488" s="269">
        <v>1</v>
      </c>
      <c r="P488" s="269"/>
      <c r="Q488" s="269"/>
      <c r="R488" s="269"/>
      <c r="S488" s="66" t="s">
        <v>1357</v>
      </c>
      <c r="T488" s="70"/>
      <c r="U488" s="238">
        <f t="shared" si="120"/>
        <v>0.30174260869565206</v>
      </c>
      <c r="V488" s="238">
        <f t="shared" si="121"/>
        <v>0</v>
      </c>
      <c r="W488" s="238">
        <f t="shared" si="122"/>
        <v>7.7172022684310012E-4</v>
      </c>
      <c r="X488" s="238">
        <f t="shared" si="123"/>
        <v>0.30097088846880898</v>
      </c>
      <c r="Y488" s="238">
        <f t="shared" si="124"/>
        <v>0</v>
      </c>
      <c r="Z488" s="70">
        <v>0.30174260869565206</v>
      </c>
      <c r="AA488" s="70"/>
      <c r="AB488" s="70">
        <v>7.7172022684310012E-4</v>
      </c>
      <c r="AC488" s="70">
        <v>0.30097088846880898</v>
      </c>
      <c r="AD488" s="71"/>
      <c r="AE488" s="233"/>
      <c r="AF488" s="72"/>
      <c r="AG488" s="176">
        <v>9.2208000000000006</v>
      </c>
      <c r="AH488" s="73">
        <v>2.7823082462608686</v>
      </c>
      <c r="AI488" s="73">
        <v>0</v>
      </c>
      <c r="AJ488" s="73">
        <v>7.1158778676748578E-3</v>
      </c>
      <c r="AK488" s="73">
        <v>2.7751923683931938</v>
      </c>
      <c r="AL488" s="129">
        <v>0</v>
      </c>
      <c r="AM488" s="202">
        <f t="shared" si="125"/>
        <v>1.6832787303972199E-4</v>
      </c>
      <c r="AN488" s="202">
        <f t="shared" si="126"/>
        <v>0</v>
      </c>
      <c r="AO488" s="202">
        <f t="shared" si="127"/>
        <v>4.3050606915529935E-7</v>
      </c>
      <c r="AP488" s="202">
        <f t="shared" si="128"/>
        <v>1.678973669705667E-4</v>
      </c>
      <c r="AQ488" s="202">
        <f t="shared" si="129"/>
        <v>0</v>
      </c>
      <c r="AR488" s="217" t="s">
        <v>1352</v>
      </c>
      <c r="AS488" s="210" t="s">
        <v>1662</v>
      </c>
      <c r="AT488" s="234">
        <v>331511</v>
      </c>
      <c r="AU488" s="244">
        <f t="shared" si="130"/>
        <v>2.7823082462608686</v>
      </c>
      <c r="AV488" s="244">
        <f t="shared" si="131"/>
        <v>0</v>
      </c>
      <c r="AW488" s="244">
        <f t="shared" si="132"/>
        <v>7.1158778676748578E-3</v>
      </c>
      <c r="AX488" s="244">
        <f t="shared" si="133"/>
        <v>2.7751923683931938</v>
      </c>
      <c r="AY488" s="244">
        <f t="shared" si="134"/>
        <v>0</v>
      </c>
      <c r="AZ488">
        <v>1.8287214474750197E-3</v>
      </c>
    </row>
    <row r="489" spans="1:52" ht="15.75" customHeight="1" x14ac:dyDescent="0.35">
      <c r="A489" s="139" t="s">
        <v>1352</v>
      </c>
      <c r="B489" s="67" t="s">
        <v>1378</v>
      </c>
      <c r="C489" s="120" t="s">
        <v>88</v>
      </c>
      <c r="D489" s="233" t="s">
        <v>526</v>
      </c>
      <c r="E489" s="67" t="s">
        <v>1367</v>
      </c>
      <c r="F489" s="67" t="s">
        <v>1368</v>
      </c>
      <c r="G489" s="139" t="s">
        <v>52</v>
      </c>
      <c r="H489" s="139" t="s">
        <v>1369</v>
      </c>
      <c r="I489" s="139" t="s">
        <v>1370</v>
      </c>
      <c r="J489" s="143"/>
      <c r="K489" s="228">
        <v>1350</v>
      </c>
      <c r="L489" s="269" t="s">
        <v>1371</v>
      </c>
      <c r="M489" s="269"/>
      <c r="N489" s="269"/>
      <c r="O489" s="269">
        <v>1</v>
      </c>
      <c r="P489" s="269"/>
      <c r="Q489" s="269"/>
      <c r="R489" s="269"/>
      <c r="S489" s="66" t="s">
        <v>1357</v>
      </c>
      <c r="T489" s="70"/>
      <c r="U489" s="238">
        <f t="shared" si="120"/>
        <v>1.5434404536862002E-3</v>
      </c>
      <c r="V489" s="238">
        <f t="shared" si="121"/>
        <v>0</v>
      </c>
      <c r="W489" s="238">
        <f t="shared" si="122"/>
        <v>1.5434404536862002E-3</v>
      </c>
      <c r="X489" s="238">
        <f t="shared" si="123"/>
        <v>0</v>
      </c>
      <c r="Y489" s="238">
        <f t="shared" si="124"/>
        <v>0</v>
      </c>
      <c r="Z489" s="70">
        <v>1.5434404536862002E-3</v>
      </c>
      <c r="AA489" s="70"/>
      <c r="AB489" s="70">
        <v>1.5434404536862002E-3</v>
      </c>
      <c r="AC489" s="70"/>
      <c r="AD489" s="71"/>
      <c r="AE489" s="233"/>
      <c r="AF489" s="72"/>
      <c r="AG489" s="176">
        <v>9.2208000000000006</v>
      </c>
      <c r="AH489" s="73">
        <v>1.4231755735349716E-2</v>
      </c>
      <c r="AI489" s="73">
        <v>0</v>
      </c>
      <c r="AJ489" s="73">
        <v>1.4231755735349716E-2</v>
      </c>
      <c r="AK489" s="73">
        <v>0</v>
      </c>
      <c r="AL489" s="129">
        <v>0</v>
      </c>
      <c r="AM489" s="202">
        <f t="shared" si="125"/>
        <v>8.610121383105987E-7</v>
      </c>
      <c r="AN489" s="202">
        <f t="shared" si="126"/>
        <v>0</v>
      </c>
      <c r="AO489" s="202">
        <f t="shared" si="127"/>
        <v>8.610121383105987E-7</v>
      </c>
      <c r="AP489" s="202">
        <f t="shared" si="128"/>
        <v>0</v>
      </c>
      <c r="AQ489" s="202">
        <f t="shared" si="129"/>
        <v>0</v>
      </c>
      <c r="AR489" s="217" t="s">
        <v>1352</v>
      </c>
      <c r="AS489" s="210" t="s">
        <v>1662</v>
      </c>
      <c r="AT489" s="234">
        <v>331511</v>
      </c>
      <c r="AU489" s="244">
        <f t="shared" si="130"/>
        <v>1.4231755735349716E-2</v>
      </c>
      <c r="AV489" s="244">
        <f t="shared" si="131"/>
        <v>0</v>
      </c>
      <c r="AW489" s="244">
        <f t="shared" si="132"/>
        <v>1.4231755735349716E-2</v>
      </c>
      <c r="AX489" s="244">
        <f t="shared" si="133"/>
        <v>0</v>
      </c>
      <c r="AY489" s="244">
        <f t="shared" si="134"/>
        <v>0</v>
      </c>
      <c r="AZ489">
        <v>9.3540739001279796E-6</v>
      </c>
    </row>
    <row r="490" spans="1:52" ht="15.75" customHeight="1" x14ac:dyDescent="0.35">
      <c r="A490" s="139" t="s">
        <v>1352</v>
      </c>
      <c r="B490" s="67" t="s">
        <v>1378</v>
      </c>
      <c r="C490" s="233" t="s">
        <v>270</v>
      </c>
      <c r="D490" s="233" t="s">
        <v>271</v>
      </c>
      <c r="E490" s="67" t="s">
        <v>271</v>
      </c>
      <c r="F490" s="67" t="str">
        <f t="shared" ref="F490:F491" si="135">F484</f>
        <v>Finished castings</v>
      </c>
      <c r="G490" s="139" t="s">
        <v>52</v>
      </c>
      <c r="H490" s="139" t="s">
        <v>1373</v>
      </c>
      <c r="I490" s="139" t="s">
        <v>1374</v>
      </c>
      <c r="J490" s="161">
        <v>0.78</v>
      </c>
      <c r="K490" s="228">
        <f>AVERAGE(25,40)</f>
        <v>32.5</v>
      </c>
      <c r="L490" s="269" t="s">
        <v>1375</v>
      </c>
      <c r="M490" s="269"/>
      <c r="N490" s="269"/>
      <c r="O490" s="269">
        <v>1</v>
      </c>
      <c r="P490" s="269"/>
      <c r="Q490" s="269"/>
      <c r="R490" s="269"/>
      <c r="S490" s="66" t="s">
        <v>1357</v>
      </c>
      <c r="T490" s="70"/>
      <c r="U490" s="238">
        <f t="shared" si="120"/>
        <v>0.20412</v>
      </c>
      <c r="V490" s="238">
        <f t="shared" si="121"/>
        <v>0</v>
      </c>
      <c r="W490" s="238">
        <f t="shared" si="122"/>
        <v>1.2639009287925696E-3</v>
      </c>
      <c r="X490" s="238">
        <f t="shared" si="123"/>
        <v>0.20285609907120741</v>
      </c>
      <c r="Y490" s="238">
        <f t="shared" si="124"/>
        <v>0</v>
      </c>
      <c r="Z490" s="70">
        <v>0.20412</v>
      </c>
      <c r="AA490" s="70"/>
      <c r="AB490" s="70">
        <v>1.2639009287925696E-3</v>
      </c>
      <c r="AC490" s="70">
        <v>0.20285609907120741</v>
      </c>
      <c r="AD490" s="71"/>
      <c r="AE490" s="233"/>
      <c r="AF490" s="72"/>
      <c r="AG490" s="176">
        <v>9.2208000000000006</v>
      </c>
      <c r="AH490" s="73">
        <v>1.8821496959999999</v>
      </c>
      <c r="AI490" s="73">
        <v>0</v>
      </c>
      <c r="AJ490" s="73">
        <v>1.1654177684210527E-2</v>
      </c>
      <c r="AK490" s="73">
        <v>1.8704955183157894</v>
      </c>
      <c r="AL490" s="129">
        <v>0</v>
      </c>
      <c r="AM490" s="202">
        <f t="shared" si="125"/>
        <v>1.1386885529157669E-4</v>
      </c>
      <c r="AN490" s="202">
        <f t="shared" si="126"/>
        <v>0</v>
      </c>
      <c r="AO490" s="202">
        <f t="shared" si="127"/>
        <v>7.0507031140295159E-7</v>
      </c>
      <c r="AP490" s="202">
        <f t="shared" si="128"/>
        <v>1.1316378498017373E-4</v>
      </c>
      <c r="AQ490" s="202">
        <f t="shared" si="129"/>
        <v>0</v>
      </c>
      <c r="AR490" s="217" t="s">
        <v>1352</v>
      </c>
      <c r="AS490" s="210" t="s">
        <v>1662</v>
      </c>
      <c r="AT490" s="234">
        <v>331511</v>
      </c>
      <c r="AU490" s="244">
        <f t="shared" si="130"/>
        <v>1.8821496959999999</v>
      </c>
      <c r="AV490" s="244">
        <f t="shared" si="131"/>
        <v>0</v>
      </c>
      <c r="AW490" s="244">
        <f t="shared" si="132"/>
        <v>1.1654177684210527E-2</v>
      </c>
      <c r="AX490" s="244">
        <f t="shared" si="133"/>
        <v>1.8704955183157894</v>
      </c>
      <c r="AY490" s="244">
        <f t="shared" si="134"/>
        <v>0</v>
      </c>
      <c r="AZ490">
        <v>1.2370762732919255E-3</v>
      </c>
    </row>
    <row r="491" spans="1:52" ht="15.75" customHeight="1" x14ac:dyDescent="0.35">
      <c r="A491" s="145" t="s">
        <v>1352</v>
      </c>
      <c r="B491" s="78" t="s">
        <v>1378</v>
      </c>
      <c r="C491" s="81" t="s">
        <v>71</v>
      </c>
      <c r="D491" s="81" t="s">
        <v>71</v>
      </c>
      <c r="E491" s="78" t="s">
        <v>389</v>
      </c>
      <c r="F491" s="78" t="str">
        <f t="shared" si="135"/>
        <v>Compressed air</v>
      </c>
      <c r="G491" s="145" t="s">
        <v>52</v>
      </c>
      <c r="H491" s="145" t="s">
        <v>300</v>
      </c>
      <c r="I491" s="145" t="s">
        <v>1377</v>
      </c>
      <c r="J491" s="146"/>
      <c r="K491" s="228">
        <v>200</v>
      </c>
      <c r="L491" s="269" t="s">
        <v>1362</v>
      </c>
      <c r="M491" s="269"/>
      <c r="N491" s="269"/>
      <c r="O491" s="269">
        <v>0.4</v>
      </c>
      <c r="P491" s="269"/>
      <c r="Q491" s="269"/>
      <c r="R491" s="269"/>
      <c r="S491" s="66" t="s">
        <v>1357</v>
      </c>
      <c r="T491" s="82"/>
      <c r="U491" s="238">
        <f t="shared" si="120"/>
        <v>6.8039999999999989E-2</v>
      </c>
      <c r="V491" s="238">
        <f t="shared" si="121"/>
        <v>0</v>
      </c>
      <c r="W491" s="238">
        <f t="shared" si="122"/>
        <v>6.8039999999999989E-2</v>
      </c>
      <c r="X491" s="238">
        <f t="shared" si="123"/>
        <v>0</v>
      </c>
      <c r="Y491" s="238">
        <f t="shared" si="124"/>
        <v>0</v>
      </c>
      <c r="Z491" s="70">
        <v>6.8039999999999989E-2</v>
      </c>
      <c r="AA491" s="70"/>
      <c r="AB491" s="70">
        <v>6.8039999999999989E-2</v>
      </c>
      <c r="AC491" s="70"/>
      <c r="AD491" s="71"/>
      <c r="AE491" s="81"/>
      <c r="AF491" s="84"/>
      <c r="AG491" s="175">
        <v>9.2208000000000006</v>
      </c>
      <c r="AH491" s="85">
        <v>0.6273832319999999</v>
      </c>
      <c r="AI491" s="85">
        <v>0</v>
      </c>
      <c r="AJ491" s="85">
        <v>0.6273832319999999</v>
      </c>
      <c r="AK491" s="85">
        <v>0</v>
      </c>
      <c r="AL491" s="133">
        <v>0</v>
      </c>
      <c r="AM491" s="202">
        <f t="shared" si="125"/>
        <v>3.795628509719222E-5</v>
      </c>
      <c r="AN491" s="202">
        <f t="shared" si="126"/>
        <v>0</v>
      </c>
      <c r="AO491" s="202">
        <f t="shared" si="127"/>
        <v>3.795628509719222E-5</v>
      </c>
      <c r="AP491" s="202">
        <f t="shared" si="128"/>
        <v>0</v>
      </c>
      <c r="AQ491" s="202">
        <f t="shared" si="129"/>
        <v>0</v>
      </c>
      <c r="AR491" s="213" t="s">
        <v>1352</v>
      </c>
      <c r="AS491" s="210" t="s">
        <v>1662</v>
      </c>
      <c r="AT491" s="234">
        <v>331511</v>
      </c>
      <c r="AU491" s="244">
        <f t="shared" si="130"/>
        <v>0.6273832319999999</v>
      </c>
      <c r="AV491" s="244">
        <f t="shared" si="131"/>
        <v>0</v>
      </c>
      <c r="AW491" s="244">
        <f t="shared" si="132"/>
        <v>0.6273832319999999</v>
      </c>
      <c r="AX491" s="244">
        <f t="shared" si="133"/>
        <v>0</v>
      </c>
      <c r="AY491" s="244">
        <f t="shared" si="134"/>
        <v>0</v>
      </c>
      <c r="AZ491">
        <v>4.1235875776397509E-4</v>
      </c>
    </row>
    <row r="492" spans="1:52" ht="15.75" customHeight="1" x14ac:dyDescent="0.35">
      <c r="A492" s="139" t="s">
        <v>1381</v>
      </c>
      <c r="B492" s="57" t="s">
        <v>1382</v>
      </c>
      <c r="C492" s="233" t="s">
        <v>92</v>
      </c>
      <c r="D492" s="233" t="s">
        <v>256</v>
      </c>
      <c r="E492" s="67" t="s">
        <v>539</v>
      </c>
      <c r="F492" s="67" t="s">
        <v>1383</v>
      </c>
      <c r="G492" s="139" t="s">
        <v>52</v>
      </c>
      <c r="H492" s="139" t="s">
        <v>53</v>
      </c>
      <c r="I492" s="139" t="s">
        <v>1384</v>
      </c>
      <c r="J492" s="161">
        <v>0.65</v>
      </c>
      <c r="K492" s="228">
        <f>AVERAGE(1371,1540)</f>
        <v>1455.5</v>
      </c>
      <c r="L492" s="269" t="s">
        <v>1385</v>
      </c>
      <c r="M492" s="269"/>
      <c r="N492" s="269"/>
      <c r="O492" s="269">
        <v>1</v>
      </c>
      <c r="P492" s="269"/>
      <c r="Q492" s="269"/>
      <c r="R492" s="269"/>
      <c r="S492" s="56" t="s">
        <v>1386</v>
      </c>
      <c r="T492" s="70"/>
      <c r="U492" s="238">
        <f t="shared" si="120"/>
        <v>9.5439999999999987</v>
      </c>
      <c r="V492" s="238">
        <f t="shared" si="121"/>
        <v>0</v>
      </c>
      <c r="W492" s="238">
        <f t="shared" si="122"/>
        <v>1.5</v>
      </c>
      <c r="X492" s="238">
        <f t="shared" si="123"/>
        <v>8.0439999999999987</v>
      </c>
      <c r="Y492" s="238">
        <f t="shared" si="124"/>
        <v>0</v>
      </c>
      <c r="Z492" s="82">
        <v>9.5439999999999987</v>
      </c>
      <c r="AA492" s="82"/>
      <c r="AB492" s="82">
        <v>1.5</v>
      </c>
      <c r="AC492" s="82">
        <v>8.0439999999999987</v>
      </c>
      <c r="AD492" s="83"/>
      <c r="AE492" s="233"/>
      <c r="AF492" s="72"/>
      <c r="AG492" s="170">
        <v>1.0289999999999999</v>
      </c>
      <c r="AH492" s="73">
        <v>9.8207759999999986</v>
      </c>
      <c r="AI492" s="73">
        <v>0</v>
      </c>
      <c r="AJ492" s="73">
        <v>1.5434999999999999</v>
      </c>
      <c r="AK492" s="73">
        <v>8.2772759999999987</v>
      </c>
      <c r="AL492" s="129">
        <v>0</v>
      </c>
      <c r="AM492" s="202">
        <f t="shared" si="125"/>
        <v>5.9415067971032903E-4</v>
      </c>
      <c r="AN492" s="202">
        <f t="shared" si="126"/>
        <v>0</v>
      </c>
      <c r="AO492" s="202">
        <f t="shared" si="127"/>
        <v>9.3380764832931015E-5</v>
      </c>
      <c r="AP492" s="202">
        <f t="shared" si="128"/>
        <v>5.0076991487739799E-4</v>
      </c>
      <c r="AQ492" s="202">
        <f t="shared" si="129"/>
        <v>0</v>
      </c>
      <c r="AR492" s="217" t="s">
        <v>1381</v>
      </c>
      <c r="AS492" s="210" t="s">
        <v>1662</v>
      </c>
      <c r="AT492" s="234">
        <v>331513</v>
      </c>
      <c r="AU492" s="244">
        <f t="shared" si="130"/>
        <v>9.8207759999999986</v>
      </c>
      <c r="AV492" s="244">
        <f t="shared" si="131"/>
        <v>0</v>
      </c>
      <c r="AW492" s="244">
        <f t="shared" si="132"/>
        <v>1.5434999999999999</v>
      </c>
      <c r="AX492" s="244">
        <f t="shared" si="133"/>
        <v>8.2772759999999987</v>
      </c>
      <c r="AY492" s="244">
        <f t="shared" si="134"/>
        <v>0</v>
      </c>
      <c r="AZ492">
        <v>6.4548792270531386E-3</v>
      </c>
    </row>
    <row r="493" spans="1:52" ht="15.75" customHeight="1" x14ac:dyDescent="0.35">
      <c r="A493" s="139" t="s">
        <v>1381</v>
      </c>
      <c r="B493" s="67" t="s">
        <v>1382</v>
      </c>
      <c r="C493" s="233" t="s">
        <v>1387</v>
      </c>
      <c r="D493" s="233" t="s">
        <v>1388</v>
      </c>
      <c r="E493" s="67" t="s">
        <v>1388</v>
      </c>
      <c r="F493" s="67" t="s">
        <v>1389</v>
      </c>
      <c r="G493" s="139" t="s">
        <v>52</v>
      </c>
      <c r="H493" s="139" t="s">
        <v>1390</v>
      </c>
      <c r="I493" s="139" t="s">
        <v>1391</v>
      </c>
      <c r="J493" s="143"/>
      <c r="K493" s="228">
        <f>AVERAGE(250,400)</f>
        <v>325</v>
      </c>
      <c r="L493" s="269" t="s">
        <v>1392</v>
      </c>
      <c r="M493" s="269"/>
      <c r="N493" s="269"/>
      <c r="O493" s="269">
        <v>1</v>
      </c>
      <c r="P493" s="269"/>
      <c r="Q493" s="269"/>
      <c r="R493" s="269"/>
      <c r="S493" s="66" t="s">
        <v>1386</v>
      </c>
      <c r="T493" s="70"/>
      <c r="U493" s="238">
        <f t="shared" si="120"/>
        <v>2.8000000000000003</v>
      </c>
      <c r="V493" s="238">
        <f t="shared" si="121"/>
        <v>0</v>
      </c>
      <c r="W493" s="238">
        <f t="shared" si="122"/>
        <v>2.8000000000000003</v>
      </c>
      <c r="X493" s="238">
        <f t="shared" si="123"/>
        <v>0</v>
      </c>
      <c r="Y493" s="238">
        <f t="shared" si="124"/>
        <v>0</v>
      </c>
      <c r="Z493" s="70">
        <v>2.8000000000000003</v>
      </c>
      <c r="AA493" s="70"/>
      <c r="AB493" s="70">
        <v>2.8000000000000003</v>
      </c>
      <c r="AC493" s="70"/>
      <c r="AD493" s="71"/>
      <c r="AE493" s="233"/>
      <c r="AF493" s="72"/>
      <c r="AG493" s="170">
        <v>1.0289999999999999</v>
      </c>
      <c r="AH493" s="73">
        <v>2.8812000000000002</v>
      </c>
      <c r="AI493" s="73">
        <v>0</v>
      </c>
      <c r="AJ493" s="73">
        <v>2.8812000000000002</v>
      </c>
      <c r="AK493" s="73">
        <v>0</v>
      </c>
      <c r="AL493" s="129">
        <v>0</v>
      </c>
      <c r="AM493" s="202">
        <f t="shared" si="125"/>
        <v>1.7431076102147124E-4</v>
      </c>
      <c r="AN493" s="202">
        <f t="shared" si="126"/>
        <v>0</v>
      </c>
      <c r="AO493" s="202">
        <f t="shared" si="127"/>
        <v>1.7431076102147124E-4</v>
      </c>
      <c r="AP493" s="202">
        <f t="shared" si="128"/>
        <v>0</v>
      </c>
      <c r="AQ493" s="202">
        <f t="shared" si="129"/>
        <v>0</v>
      </c>
      <c r="AR493" s="217" t="s">
        <v>1381</v>
      </c>
      <c r="AS493" s="210" t="s">
        <v>1662</v>
      </c>
      <c r="AT493" s="234">
        <v>331513</v>
      </c>
      <c r="AU493" s="244">
        <f t="shared" si="130"/>
        <v>2.8812000000000002</v>
      </c>
      <c r="AV493" s="244">
        <f t="shared" si="131"/>
        <v>0</v>
      </c>
      <c r="AW493" s="244">
        <f t="shared" si="132"/>
        <v>2.8812000000000002</v>
      </c>
      <c r="AX493" s="244">
        <f t="shared" si="133"/>
        <v>0</v>
      </c>
      <c r="AY493" s="244">
        <f t="shared" si="134"/>
        <v>0</v>
      </c>
      <c r="AZ493">
        <v>1.8937198067632852E-3</v>
      </c>
    </row>
    <row r="494" spans="1:52" ht="15.75" customHeight="1" x14ac:dyDescent="0.35">
      <c r="A494" s="139" t="s">
        <v>1381</v>
      </c>
      <c r="B494" s="67" t="s">
        <v>1382</v>
      </c>
      <c r="C494" s="233" t="s">
        <v>71</v>
      </c>
      <c r="D494" s="233" t="s">
        <v>71</v>
      </c>
      <c r="E494" s="67" t="s">
        <v>389</v>
      </c>
      <c r="F494" s="67" t="s">
        <v>1376</v>
      </c>
      <c r="G494" s="139" t="s">
        <v>52</v>
      </c>
      <c r="H494" s="139" t="s">
        <v>300</v>
      </c>
      <c r="I494" s="177" t="s">
        <v>1377</v>
      </c>
      <c r="J494" s="120"/>
      <c r="K494" s="228">
        <f>AVERAGE(150,250)</f>
        <v>200</v>
      </c>
      <c r="L494" s="269" t="s">
        <v>1362</v>
      </c>
      <c r="M494" s="269"/>
      <c r="N494" s="269"/>
      <c r="O494" s="269">
        <v>0.4</v>
      </c>
      <c r="P494" s="269"/>
      <c r="Q494" s="269"/>
      <c r="R494" s="269"/>
      <c r="S494" s="66" t="s">
        <v>1386</v>
      </c>
      <c r="T494" s="70"/>
      <c r="U494" s="238">
        <f t="shared" si="120"/>
        <v>2.6</v>
      </c>
      <c r="V494" s="238">
        <f t="shared" si="121"/>
        <v>0</v>
      </c>
      <c r="W494" s="238">
        <f t="shared" si="122"/>
        <v>2.6</v>
      </c>
      <c r="X494" s="238">
        <f t="shared" si="123"/>
        <v>0</v>
      </c>
      <c r="Y494" s="238">
        <f t="shared" si="124"/>
        <v>0</v>
      </c>
      <c r="Z494" s="70">
        <v>2.6</v>
      </c>
      <c r="AA494" s="70"/>
      <c r="AB494" s="70">
        <v>2.6</v>
      </c>
      <c r="AC494" s="70"/>
      <c r="AD494" s="71"/>
      <c r="AE494" s="233"/>
      <c r="AF494" s="72"/>
      <c r="AG494" s="170">
        <v>1.0289999999999999</v>
      </c>
      <c r="AH494" s="73">
        <v>2.6753999999999998</v>
      </c>
      <c r="AI494" s="73">
        <v>0</v>
      </c>
      <c r="AJ494" s="73">
        <v>2.6753999999999998</v>
      </c>
      <c r="AK494" s="73">
        <v>0</v>
      </c>
      <c r="AL494" s="129">
        <v>0</v>
      </c>
      <c r="AM494" s="202">
        <f t="shared" si="125"/>
        <v>1.6185999237708042E-4</v>
      </c>
      <c r="AN494" s="202">
        <f t="shared" si="126"/>
        <v>0</v>
      </c>
      <c r="AO494" s="202">
        <f t="shared" si="127"/>
        <v>1.6185999237708042E-4</v>
      </c>
      <c r="AP494" s="202">
        <f t="shared" si="128"/>
        <v>0</v>
      </c>
      <c r="AQ494" s="202">
        <f t="shared" si="129"/>
        <v>0</v>
      </c>
      <c r="AR494" s="217" t="s">
        <v>1381</v>
      </c>
      <c r="AS494" s="210" t="s">
        <v>1662</v>
      </c>
      <c r="AT494" s="234">
        <v>331513</v>
      </c>
      <c r="AU494" s="244">
        <f t="shared" si="130"/>
        <v>2.6753999999999998</v>
      </c>
      <c r="AV494" s="244">
        <f t="shared" si="131"/>
        <v>0</v>
      </c>
      <c r="AW494" s="244">
        <f t="shared" si="132"/>
        <v>2.6753999999999998</v>
      </c>
      <c r="AX494" s="244">
        <f t="shared" si="133"/>
        <v>0</v>
      </c>
      <c r="AY494" s="244">
        <f t="shared" si="134"/>
        <v>0</v>
      </c>
      <c r="AZ494">
        <v>1.758454106280193E-3</v>
      </c>
    </row>
    <row r="495" spans="1:52" ht="15.75" customHeight="1" x14ac:dyDescent="0.35">
      <c r="A495" s="139" t="s">
        <v>1381</v>
      </c>
      <c r="B495" s="67" t="s">
        <v>1382</v>
      </c>
      <c r="C495" s="233" t="s">
        <v>88</v>
      </c>
      <c r="D495" s="233" t="s">
        <v>1393</v>
      </c>
      <c r="E495" s="67" t="s">
        <v>1393</v>
      </c>
      <c r="F495" s="67" t="s">
        <v>1394</v>
      </c>
      <c r="G495" s="139" t="s">
        <v>52</v>
      </c>
      <c r="H495" s="139" t="s">
        <v>1395</v>
      </c>
      <c r="I495" s="139" t="s">
        <v>1396</v>
      </c>
      <c r="J495" s="143"/>
      <c r="K495" s="228">
        <v>23</v>
      </c>
      <c r="L495" s="269" t="s">
        <v>1397</v>
      </c>
      <c r="M495" s="269"/>
      <c r="N495" s="269"/>
      <c r="O495" s="269">
        <v>1</v>
      </c>
      <c r="P495" s="269"/>
      <c r="Q495" s="269"/>
      <c r="R495" s="269"/>
      <c r="S495" s="66" t="s">
        <v>1386</v>
      </c>
      <c r="T495" s="70"/>
      <c r="U495" s="238">
        <f t="shared" si="120"/>
        <v>1.2</v>
      </c>
      <c r="V495" s="238">
        <f t="shared" si="121"/>
        <v>0</v>
      </c>
      <c r="W495" s="238">
        <f t="shared" si="122"/>
        <v>0</v>
      </c>
      <c r="X495" s="238">
        <f t="shared" si="123"/>
        <v>1.2</v>
      </c>
      <c r="Y495" s="238">
        <f t="shared" si="124"/>
        <v>0</v>
      </c>
      <c r="Z495" s="70">
        <v>1.2</v>
      </c>
      <c r="AA495" s="70"/>
      <c r="AB495" s="70"/>
      <c r="AC495" s="70">
        <v>1.2</v>
      </c>
      <c r="AD495" s="71"/>
      <c r="AE495" s="233"/>
      <c r="AF495" s="72"/>
      <c r="AG495" s="170">
        <v>1.0289999999999999</v>
      </c>
      <c r="AH495" s="73">
        <v>1.2347999999999999</v>
      </c>
      <c r="AI495" s="73">
        <v>0</v>
      </c>
      <c r="AJ495" s="73">
        <v>0</v>
      </c>
      <c r="AK495" s="73">
        <v>1.2347999999999999</v>
      </c>
      <c r="AL495" s="129">
        <v>0</v>
      </c>
      <c r="AM495" s="202">
        <f t="shared" si="125"/>
        <v>7.4704611866344817E-5</v>
      </c>
      <c r="AN495" s="202">
        <f t="shared" si="126"/>
        <v>0</v>
      </c>
      <c r="AO495" s="202">
        <f t="shared" si="127"/>
        <v>0</v>
      </c>
      <c r="AP495" s="202">
        <f t="shared" si="128"/>
        <v>7.4704611866344817E-5</v>
      </c>
      <c r="AQ495" s="202">
        <f t="shared" si="129"/>
        <v>0</v>
      </c>
      <c r="AR495" s="217" t="s">
        <v>1381</v>
      </c>
      <c r="AS495" s="210" t="s">
        <v>1662</v>
      </c>
      <c r="AT495" s="234">
        <v>331513</v>
      </c>
      <c r="AU495" s="244">
        <f t="shared" si="130"/>
        <v>1.2347999999999999</v>
      </c>
      <c r="AV495" s="244">
        <f t="shared" si="131"/>
        <v>0</v>
      </c>
      <c r="AW495" s="244">
        <f t="shared" si="132"/>
        <v>0</v>
      </c>
      <c r="AX495" s="244">
        <f t="shared" si="133"/>
        <v>1.2347999999999999</v>
      </c>
      <c r="AY495" s="244">
        <f t="shared" si="134"/>
        <v>0</v>
      </c>
      <c r="AZ495">
        <v>8.1159420289855062E-4</v>
      </c>
    </row>
    <row r="496" spans="1:52" ht="15.75" customHeight="1" x14ac:dyDescent="0.35">
      <c r="A496" s="139" t="s">
        <v>1381</v>
      </c>
      <c r="B496" s="67" t="s">
        <v>1382</v>
      </c>
      <c r="C496" s="233" t="s">
        <v>108</v>
      </c>
      <c r="D496" s="233" t="s">
        <v>511</v>
      </c>
      <c r="E496" s="67" t="s">
        <v>1398</v>
      </c>
      <c r="F496" s="67" t="s">
        <v>1399</v>
      </c>
      <c r="G496" s="139" t="s">
        <v>52</v>
      </c>
      <c r="H496" s="139" t="s">
        <v>514</v>
      </c>
      <c r="I496" s="139" t="s">
        <v>1400</v>
      </c>
      <c r="J496" s="143"/>
      <c r="K496" s="228">
        <v>23</v>
      </c>
      <c r="L496" s="269" t="s">
        <v>1397</v>
      </c>
      <c r="M496" s="269"/>
      <c r="N496" s="269"/>
      <c r="O496" s="269">
        <v>1</v>
      </c>
      <c r="P496" s="269"/>
      <c r="Q496" s="269"/>
      <c r="R496" s="269"/>
      <c r="S496" s="66" t="s">
        <v>1386</v>
      </c>
      <c r="T496" s="70"/>
      <c r="U496" s="238">
        <f t="shared" si="120"/>
        <v>0.6</v>
      </c>
      <c r="V496" s="238">
        <f t="shared" si="121"/>
        <v>0</v>
      </c>
      <c r="W496" s="238">
        <f t="shared" si="122"/>
        <v>0.6</v>
      </c>
      <c r="X496" s="238">
        <f t="shared" si="123"/>
        <v>0</v>
      </c>
      <c r="Y496" s="238">
        <f t="shared" si="124"/>
        <v>0</v>
      </c>
      <c r="Z496" s="70">
        <v>0.6</v>
      </c>
      <c r="AA496" s="70"/>
      <c r="AB496" s="70">
        <v>0.6</v>
      </c>
      <c r="AC496" s="70"/>
      <c r="AD496" s="71"/>
      <c r="AE496" s="233"/>
      <c r="AF496" s="72"/>
      <c r="AG496" s="170">
        <v>1.0289999999999999</v>
      </c>
      <c r="AH496" s="73">
        <v>0.61739999999999995</v>
      </c>
      <c r="AI496" s="73">
        <v>0</v>
      </c>
      <c r="AJ496" s="73">
        <v>0.61739999999999995</v>
      </c>
      <c r="AK496" s="73">
        <v>0</v>
      </c>
      <c r="AL496" s="129">
        <v>0</v>
      </c>
      <c r="AM496" s="202">
        <f t="shared" si="125"/>
        <v>3.7352305933172409E-5</v>
      </c>
      <c r="AN496" s="202">
        <f t="shared" si="126"/>
        <v>0</v>
      </c>
      <c r="AO496" s="202">
        <f t="shared" si="127"/>
        <v>3.7352305933172409E-5</v>
      </c>
      <c r="AP496" s="202">
        <f t="shared" si="128"/>
        <v>0</v>
      </c>
      <c r="AQ496" s="202">
        <f t="shared" si="129"/>
        <v>0</v>
      </c>
      <c r="AR496" s="217" t="s">
        <v>1381</v>
      </c>
      <c r="AS496" s="210" t="s">
        <v>1662</v>
      </c>
      <c r="AT496" s="234">
        <v>331513</v>
      </c>
      <c r="AU496" s="244">
        <f t="shared" si="130"/>
        <v>0.61739999999999995</v>
      </c>
      <c r="AV496" s="244">
        <f t="shared" si="131"/>
        <v>0</v>
      </c>
      <c r="AW496" s="244">
        <f t="shared" si="132"/>
        <v>0.61739999999999995</v>
      </c>
      <c r="AX496" s="244">
        <f t="shared" si="133"/>
        <v>0</v>
      </c>
      <c r="AY496" s="244">
        <f t="shared" si="134"/>
        <v>0</v>
      </c>
      <c r="AZ496">
        <v>4.0579710144927531E-4</v>
      </c>
    </row>
    <row r="497" spans="1:52" ht="15.75" customHeight="1" x14ac:dyDescent="0.35">
      <c r="A497" s="139" t="s">
        <v>1381</v>
      </c>
      <c r="B497" s="67" t="s">
        <v>1382</v>
      </c>
      <c r="C497" s="233" t="s">
        <v>92</v>
      </c>
      <c r="D497" s="233" t="s">
        <v>1401</v>
      </c>
      <c r="E497" s="67" t="s">
        <v>1402</v>
      </c>
      <c r="F497" s="67" t="s">
        <v>1403</v>
      </c>
      <c r="G497" s="139" t="s">
        <v>52</v>
      </c>
      <c r="H497" s="139" t="s">
        <v>1404</v>
      </c>
      <c r="I497" s="139" t="s">
        <v>1405</v>
      </c>
      <c r="J497" s="143"/>
      <c r="K497" s="228">
        <v>23</v>
      </c>
      <c r="L497" s="269" t="s">
        <v>1397</v>
      </c>
      <c r="M497" s="269"/>
      <c r="N497" s="269"/>
      <c r="O497" s="269">
        <v>1</v>
      </c>
      <c r="P497" s="269"/>
      <c r="Q497" s="269"/>
      <c r="R497" s="269"/>
      <c r="S497" s="66" t="s">
        <v>1386</v>
      </c>
      <c r="T497" s="70"/>
      <c r="U497" s="238">
        <f t="shared" si="120"/>
        <v>0.4</v>
      </c>
      <c r="V497" s="238">
        <f t="shared" si="121"/>
        <v>0</v>
      </c>
      <c r="W497" s="238">
        <f t="shared" si="122"/>
        <v>0.4</v>
      </c>
      <c r="X497" s="238">
        <f t="shared" si="123"/>
        <v>0</v>
      </c>
      <c r="Y497" s="238">
        <f t="shared" si="124"/>
        <v>0</v>
      </c>
      <c r="Z497" s="70">
        <v>0.4</v>
      </c>
      <c r="AA497" s="70"/>
      <c r="AB497" s="70">
        <v>0.4</v>
      </c>
      <c r="AC497" s="70"/>
      <c r="AD497" s="71"/>
      <c r="AE497" s="233"/>
      <c r="AF497" s="72"/>
      <c r="AG497" s="170">
        <v>1.0289999999999999</v>
      </c>
      <c r="AH497" s="73">
        <v>0.41159999999999997</v>
      </c>
      <c r="AI497" s="73">
        <v>0</v>
      </c>
      <c r="AJ497" s="73">
        <v>0.41159999999999997</v>
      </c>
      <c r="AK497" s="73">
        <v>0</v>
      </c>
      <c r="AL497" s="129">
        <v>0</v>
      </c>
      <c r="AM497" s="202">
        <f t="shared" si="125"/>
        <v>2.4901537288781602E-5</v>
      </c>
      <c r="AN497" s="202">
        <f t="shared" si="126"/>
        <v>0</v>
      </c>
      <c r="AO497" s="202">
        <f t="shared" si="127"/>
        <v>2.4901537288781602E-5</v>
      </c>
      <c r="AP497" s="202">
        <f t="shared" si="128"/>
        <v>0</v>
      </c>
      <c r="AQ497" s="202">
        <f t="shared" si="129"/>
        <v>0</v>
      </c>
      <c r="AR497" s="217" t="s">
        <v>1381</v>
      </c>
      <c r="AS497" s="210" t="s">
        <v>1662</v>
      </c>
      <c r="AT497" s="234">
        <v>331513</v>
      </c>
      <c r="AU497" s="244">
        <f t="shared" si="130"/>
        <v>0.41159999999999997</v>
      </c>
      <c r="AV497" s="244">
        <f t="shared" si="131"/>
        <v>0</v>
      </c>
      <c r="AW497" s="244">
        <f t="shared" si="132"/>
        <v>0.41159999999999997</v>
      </c>
      <c r="AX497" s="244">
        <f t="shared" si="133"/>
        <v>0</v>
      </c>
      <c r="AY497" s="244">
        <f t="shared" si="134"/>
        <v>0</v>
      </c>
      <c r="AZ497">
        <v>2.7053140096618356E-4</v>
      </c>
    </row>
    <row r="498" spans="1:52" ht="15.75" customHeight="1" x14ac:dyDescent="0.35">
      <c r="A498" s="139" t="s">
        <v>1381</v>
      </c>
      <c r="B498" s="67" t="s">
        <v>1382</v>
      </c>
      <c r="C498" s="233" t="s">
        <v>67</v>
      </c>
      <c r="D498" s="233" t="s">
        <v>67</v>
      </c>
      <c r="E498" s="67" t="s">
        <v>1406</v>
      </c>
      <c r="F498" s="67" t="s">
        <v>1407</v>
      </c>
      <c r="G498" s="139" t="s">
        <v>52</v>
      </c>
      <c r="H498" s="139" t="s">
        <v>119</v>
      </c>
      <c r="I498" s="139" t="s">
        <v>1406</v>
      </c>
      <c r="J498" s="161">
        <v>0.78</v>
      </c>
      <c r="K498" s="228">
        <f>AVERAGE(-5.5,8)</f>
        <v>1.25</v>
      </c>
      <c r="L498" s="269" t="s">
        <v>1408</v>
      </c>
      <c r="M498" s="269"/>
      <c r="N498" s="269"/>
      <c r="O498" s="269">
        <v>1</v>
      </c>
      <c r="P498" s="269"/>
      <c r="Q498" s="269"/>
      <c r="R498" s="269"/>
      <c r="S498" s="66" t="s">
        <v>1386</v>
      </c>
      <c r="T498" s="70"/>
      <c r="U498" s="238">
        <f t="shared" si="120"/>
        <v>0.2</v>
      </c>
      <c r="V498" s="238">
        <f t="shared" si="121"/>
        <v>0</v>
      </c>
      <c r="W498" s="238">
        <f t="shared" si="122"/>
        <v>0.2</v>
      </c>
      <c r="X498" s="238">
        <f t="shared" si="123"/>
        <v>0</v>
      </c>
      <c r="Y498" s="238">
        <f t="shared" si="124"/>
        <v>0</v>
      </c>
      <c r="Z498" s="70">
        <v>0.2</v>
      </c>
      <c r="AA498" s="70"/>
      <c r="AB498" s="70">
        <v>0.2</v>
      </c>
      <c r="AC498" s="70"/>
      <c r="AD498" s="71"/>
      <c r="AE498" s="233"/>
      <c r="AF498" s="72"/>
      <c r="AG498" s="170">
        <v>1.0289999999999999</v>
      </c>
      <c r="AH498" s="73">
        <v>0.20579999999999998</v>
      </c>
      <c r="AI498" s="73">
        <v>0</v>
      </c>
      <c r="AJ498" s="73">
        <v>0.20579999999999998</v>
      </c>
      <c r="AK498" s="73">
        <v>0</v>
      </c>
      <c r="AL498" s="129">
        <v>0</v>
      </c>
      <c r="AM498" s="202">
        <f t="shared" si="125"/>
        <v>1.2450768644390801E-5</v>
      </c>
      <c r="AN498" s="202">
        <f t="shared" si="126"/>
        <v>0</v>
      </c>
      <c r="AO498" s="202">
        <f t="shared" si="127"/>
        <v>1.2450768644390801E-5</v>
      </c>
      <c r="AP498" s="202">
        <f t="shared" si="128"/>
        <v>0</v>
      </c>
      <c r="AQ498" s="202">
        <f t="shared" si="129"/>
        <v>0</v>
      </c>
      <c r="AR498" s="217" t="s">
        <v>1381</v>
      </c>
      <c r="AS498" s="210" t="s">
        <v>1662</v>
      </c>
      <c r="AT498" s="234">
        <v>331513</v>
      </c>
      <c r="AU498" s="244">
        <f t="shared" si="130"/>
        <v>0.20579999999999998</v>
      </c>
      <c r="AV498" s="244">
        <f t="shared" si="131"/>
        <v>0</v>
      </c>
      <c r="AW498" s="244">
        <f t="shared" si="132"/>
        <v>0.20579999999999998</v>
      </c>
      <c r="AX498" s="244">
        <f t="shared" si="133"/>
        <v>0</v>
      </c>
      <c r="AY498" s="244">
        <f t="shared" si="134"/>
        <v>0</v>
      </c>
      <c r="AZ498">
        <v>1.3526570048309178E-4</v>
      </c>
    </row>
    <row r="499" spans="1:52" ht="15.75" customHeight="1" x14ac:dyDescent="0.35">
      <c r="A499" s="145" t="s">
        <v>1381</v>
      </c>
      <c r="B499" s="78" t="s">
        <v>1382</v>
      </c>
      <c r="C499" s="81" t="s">
        <v>270</v>
      </c>
      <c r="D499" s="81" t="s">
        <v>271</v>
      </c>
      <c r="E499" s="78" t="s">
        <v>271</v>
      </c>
      <c r="F499" s="78" t="s">
        <v>1409</v>
      </c>
      <c r="G499" s="145" t="s">
        <v>52</v>
      </c>
      <c r="H499" s="145" t="s">
        <v>1410</v>
      </c>
      <c r="I499" s="145" t="s">
        <v>1374</v>
      </c>
      <c r="J499" s="161">
        <v>0.78</v>
      </c>
      <c r="K499" s="228">
        <f>AVERAGE(25,40)</f>
        <v>32.5</v>
      </c>
      <c r="L499" s="269" t="s">
        <v>1375</v>
      </c>
      <c r="M499" s="269"/>
      <c r="N499" s="269"/>
      <c r="O499" s="269">
        <v>1</v>
      </c>
      <c r="P499" s="269"/>
      <c r="Q499" s="269"/>
      <c r="R499" s="269"/>
      <c r="S499" s="77" t="s">
        <v>1386</v>
      </c>
      <c r="T499" s="82"/>
      <c r="U499" s="238">
        <f t="shared" si="120"/>
        <v>0.2</v>
      </c>
      <c r="V499" s="238">
        <f t="shared" si="121"/>
        <v>0</v>
      </c>
      <c r="W499" s="238">
        <f t="shared" si="122"/>
        <v>0.2</v>
      </c>
      <c r="X499" s="238">
        <f t="shared" si="123"/>
        <v>0</v>
      </c>
      <c r="Y499" s="238">
        <f t="shared" si="124"/>
        <v>0</v>
      </c>
      <c r="Z499" s="70">
        <v>0.2</v>
      </c>
      <c r="AA499" s="70"/>
      <c r="AB499" s="70">
        <v>0.2</v>
      </c>
      <c r="AC499" s="70"/>
      <c r="AD499" s="71"/>
      <c r="AE499" s="81"/>
      <c r="AF499" s="84"/>
      <c r="AG499" s="172">
        <v>1.0289999999999999</v>
      </c>
      <c r="AH499" s="85">
        <v>0.20579999999999998</v>
      </c>
      <c r="AI499" s="85">
        <v>0</v>
      </c>
      <c r="AJ499" s="85">
        <v>0.20579999999999998</v>
      </c>
      <c r="AK499" s="85">
        <v>0</v>
      </c>
      <c r="AL499" s="133">
        <v>0</v>
      </c>
      <c r="AM499" s="202">
        <f t="shared" si="125"/>
        <v>1.2450768644390801E-5</v>
      </c>
      <c r="AN499" s="202">
        <f t="shared" si="126"/>
        <v>0</v>
      </c>
      <c r="AO499" s="202">
        <f t="shared" si="127"/>
        <v>1.2450768644390801E-5</v>
      </c>
      <c r="AP499" s="202">
        <f t="shared" si="128"/>
        <v>0</v>
      </c>
      <c r="AQ499" s="202">
        <f t="shared" si="129"/>
        <v>0</v>
      </c>
      <c r="AR499" s="213" t="s">
        <v>1381</v>
      </c>
      <c r="AS499" s="210" t="s">
        <v>1662</v>
      </c>
      <c r="AT499" s="234">
        <v>331513</v>
      </c>
      <c r="AU499" s="244">
        <f t="shared" si="130"/>
        <v>0.20579999999999998</v>
      </c>
      <c r="AV499" s="244">
        <f t="shared" si="131"/>
        <v>0</v>
      </c>
      <c r="AW499" s="244">
        <f t="shared" si="132"/>
        <v>0.20579999999999998</v>
      </c>
      <c r="AX499" s="244">
        <f t="shared" si="133"/>
        <v>0</v>
      </c>
      <c r="AY499" s="244">
        <f t="shared" si="134"/>
        <v>0</v>
      </c>
      <c r="AZ499">
        <v>1.3526570048309178E-4</v>
      </c>
    </row>
    <row r="500" spans="1:52" ht="15.75" customHeight="1" x14ac:dyDescent="0.35">
      <c r="A500" s="157" t="s">
        <v>1411</v>
      </c>
      <c r="B500" s="67" t="s">
        <v>1412</v>
      </c>
      <c r="C500" s="178" t="s">
        <v>149</v>
      </c>
      <c r="D500" s="67" t="s">
        <v>150</v>
      </c>
      <c r="E500" s="67" t="s">
        <v>150</v>
      </c>
      <c r="F500" s="139" t="s">
        <v>1413</v>
      </c>
      <c r="G500" s="139" t="s">
        <v>190</v>
      </c>
      <c r="H500" s="139" t="s">
        <v>482</v>
      </c>
      <c r="I500" s="139" t="s">
        <v>1414</v>
      </c>
      <c r="J500" s="141"/>
      <c r="K500" s="228">
        <f t="shared" si="119"/>
        <v>22</v>
      </c>
      <c r="L500" s="269">
        <v>22</v>
      </c>
      <c r="M500" s="269"/>
      <c r="N500" s="269"/>
      <c r="O500" s="269">
        <v>1</v>
      </c>
      <c r="P500" s="269"/>
      <c r="Q500" s="269"/>
      <c r="R500" s="269"/>
      <c r="S500" s="56" t="s">
        <v>1415</v>
      </c>
      <c r="T500" s="70"/>
      <c r="U500" s="238">
        <f t="shared" si="120"/>
        <v>6.6810638297872343E-2</v>
      </c>
      <c r="V500" s="238">
        <f t="shared" si="121"/>
        <v>0</v>
      </c>
      <c r="W500" s="238">
        <f t="shared" si="122"/>
        <v>6.6810638297872343E-2</v>
      </c>
      <c r="X500" s="238">
        <f t="shared" si="123"/>
        <v>0</v>
      </c>
      <c r="Y500" s="238">
        <f t="shared" si="124"/>
        <v>0</v>
      </c>
      <c r="Z500" s="82">
        <v>6.6810638297872343E-2</v>
      </c>
      <c r="AA500" s="82"/>
      <c r="AB500" s="82">
        <v>6.6810638297872343E-2</v>
      </c>
      <c r="AC500" s="82">
        <v>0</v>
      </c>
      <c r="AD500" s="83">
        <v>0</v>
      </c>
      <c r="AE500" s="233"/>
      <c r="AF500" s="72"/>
      <c r="AG500" s="169">
        <v>22.625875000000001</v>
      </c>
      <c r="AH500" s="73">
        <v>1.5116491507978724</v>
      </c>
      <c r="AI500" s="73">
        <v>0</v>
      </c>
      <c r="AJ500" s="73">
        <v>1.5116491507978724</v>
      </c>
      <c r="AK500" s="73">
        <v>0</v>
      </c>
      <c r="AL500" s="129">
        <v>0</v>
      </c>
      <c r="AM500" s="202">
        <f t="shared" si="125"/>
        <v>9.1453808785588598E-5</v>
      </c>
      <c r="AN500" s="202">
        <f t="shared" si="126"/>
        <v>0</v>
      </c>
      <c r="AO500" s="202">
        <f t="shared" si="127"/>
        <v>9.1453808785588598E-5</v>
      </c>
      <c r="AP500" s="202">
        <f t="shared" si="128"/>
        <v>0</v>
      </c>
      <c r="AQ500" s="202">
        <f t="shared" si="129"/>
        <v>0</v>
      </c>
      <c r="AR500" s="206" t="s">
        <v>1411</v>
      </c>
      <c r="AS500" s="226" t="s">
        <v>1665</v>
      </c>
      <c r="AT500" s="234">
        <v>321113</v>
      </c>
      <c r="AU500" s="244">
        <f t="shared" si="130"/>
        <v>1.5116491507978724</v>
      </c>
      <c r="AV500" s="244">
        <f t="shared" si="131"/>
        <v>0</v>
      </c>
      <c r="AW500" s="244">
        <f t="shared" si="132"/>
        <v>1.5116491507978724</v>
      </c>
      <c r="AX500" s="244">
        <f t="shared" si="133"/>
        <v>0</v>
      </c>
      <c r="AY500" s="244">
        <f t="shared" si="134"/>
        <v>0</v>
      </c>
      <c r="AZ500">
        <v>3.4774537630500864E-3</v>
      </c>
    </row>
    <row r="501" spans="1:52" ht="15.75" customHeight="1" x14ac:dyDescent="0.35">
      <c r="A501" s="139" t="s">
        <v>1411</v>
      </c>
      <c r="B501" s="67" t="s">
        <v>1412</v>
      </c>
      <c r="C501" s="67" t="s">
        <v>99</v>
      </c>
      <c r="D501" s="67" t="s">
        <v>1416</v>
      </c>
      <c r="E501" s="67" t="s">
        <v>1416</v>
      </c>
      <c r="F501" s="139" t="s">
        <v>1417</v>
      </c>
      <c r="G501" s="139" t="s">
        <v>190</v>
      </c>
      <c r="H501" s="139" t="s">
        <v>1418</v>
      </c>
      <c r="I501" s="139" t="s">
        <v>1418</v>
      </c>
      <c r="J501" s="143" t="s">
        <v>1027</v>
      </c>
      <c r="K501" s="228">
        <f t="shared" si="119"/>
        <v>22</v>
      </c>
      <c r="L501" s="269">
        <v>22</v>
      </c>
      <c r="M501" s="269"/>
      <c r="N501" s="269"/>
      <c r="O501" s="269">
        <v>1</v>
      </c>
      <c r="P501" s="269"/>
      <c r="Q501" s="269"/>
      <c r="R501" s="269"/>
      <c r="S501" s="66" t="s">
        <v>1415</v>
      </c>
      <c r="T501" s="70"/>
      <c r="U501" s="238">
        <f t="shared" si="120"/>
        <v>0.11135106382978724</v>
      </c>
      <c r="V501" s="238">
        <f t="shared" si="121"/>
        <v>0</v>
      </c>
      <c r="W501" s="238">
        <f t="shared" si="122"/>
        <v>0.11135106382978724</v>
      </c>
      <c r="X501" s="238">
        <f t="shared" si="123"/>
        <v>0</v>
      </c>
      <c r="Y501" s="238">
        <f t="shared" si="124"/>
        <v>0</v>
      </c>
      <c r="Z501" s="70">
        <v>0.11135106382978724</v>
      </c>
      <c r="AA501" s="70"/>
      <c r="AB501" s="70">
        <v>0.11135106382978724</v>
      </c>
      <c r="AC501" s="70">
        <v>0</v>
      </c>
      <c r="AD501" s="71">
        <v>0</v>
      </c>
      <c r="AE501" s="233"/>
      <c r="AF501" s="72"/>
      <c r="AG501" s="176">
        <v>22.625875000000001</v>
      </c>
      <c r="AH501" s="73">
        <v>2.5194152513297876</v>
      </c>
      <c r="AI501" s="73">
        <v>0</v>
      </c>
      <c r="AJ501" s="73">
        <v>2.5194152513297876</v>
      </c>
      <c r="AK501" s="73">
        <v>0</v>
      </c>
      <c r="AL501" s="129">
        <v>0</v>
      </c>
      <c r="AM501" s="202">
        <f t="shared" si="125"/>
        <v>1.5242301464264769E-4</v>
      </c>
      <c r="AN501" s="202">
        <f t="shared" si="126"/>
        <v>0</v>
      </c>
      <c r="AO501" s="202">
        <f t="shared" si="127"/>
        <v>1.5242301464264769E-4</v>
      </c>
      <c r="AP501" s="202">
        <f t="shared" si="128"/>
        <v>0</v>
      </c>
      <c r="AQ501" s="202">
        <f t="shared" si="129"/>
        <v>0</v>
      </c>
      <c r="AR501" s="217" t="s">
        <v>1411</v>
      </c>
      <c r="AS501" s="226" t="s">
        <v>1665</v>
      </c>
      <c r="AT501" s="234">
        <v>321113</v>
      </c>
      <c r="AU501" s="244">
        <f t="shared" si="130"/>
        <v>2.5194152513297876</v>
      </c>
      <c r="AV501" s="244">
        <f t="shared" si="131"/>
        <v>0</v>
      </c>
      <c r="AW501" s="244">
        <f t="shared" si="132"/>
        <v>2.5194152513297876</v>
      </c>
      <c r="AX501" s="244">
        <f t="shared" si="133"/>
        <v>0</v>
      </c>
      <c r="AY501" s="244">
        <f t="shared" si="134"/>
        <v>0</v>
      </c>
      <c r="AZ501">
        <v>5.7957562717501441E-3</v>
      </c>
    </row>
    <row r="502" spans="1:52" ht="15.75" customHeight="1" x14ac:dyDescent="0.35">
      <c r="A502" s="139" t="s">
        <v>1411</v>
      </c>
      <c r="B502" s="67" t="s">
        <v>1412</v>
      </c>
      <c r="C502" s="67" t="s">
        <v>99</v>
      </c>
      <c r="D502" s="67" t="s">
        <v>1419</v>
      </c>
      <c r="E502" s="67" t="s">
        <v>1419</v>
      </c>
      <c r="F502" s="139" t="s">
        <v>1420</v>
      </c>
      <c r="G502" s="139" t="s">
        <v>190</v>
      </c>
      <c r="H502" s="139" t="s">
        <v>1421</v>
      </c>
      <c r="I502" s="139" t="s">
        <v>1422</v>
      </c>
      <c r="J502" s="143" t="s">
        <v>1027</v>
      </c>
      <c r="K502" s="228">
        <f t="shared" si="119"/>
        <v>22</v>
      </c>
      <c r="L502" s="269">
        <v>22</v>
      </c>
      <c r="M502" s="269"/>
      <c r="N502" s="269"/>
      <c r="O502" s="269">
        <v>1</v>
      </c>
      <c r="P502" s="269"/>
      <c r="Q502" s="269"/>
      <c r="R502" s="269"/>
      <c r="S502" s="66" t="s">
        <v>1415</v>
      </c>
      <c r="T502" s="70"/>
      <c r="U502" s="238">
        <f t="shared" si="120"/>
        <v>0.27837765957446808</v>
      </c>
      <c r="V502" s="238">
        <f t="shared" si="121"/>
        <v>0</v>
      </c>
      <c r="W502" s="238">
        <f t="shared" si="122"/>
        <v>0.27837765957446808</v>
      </c>
      <c r="X502" s="238">
        <f t="shared" si="123"/>
        <v>0</v>
      </c>
      <c r="Y502" s="238">
        <f t="shared" si="124"/>
        <v>0</v>
      </c>
      <c r="Z502" s="70">
        <v>0.27837765957446808</v>
      </c>
      <c r="AA502" s="70"/>
      <c r="AB502" s="70">
        <v>0.27837765957446808</v>
      </c>
      <c r="AC502" s="70">
        <v>0</v>
      </c>
      <c r="AD502" s="71">
        <v>0</v>
      </c>
      <c r="AE502" s="233"/>
      <c r="AF502" s="72"/>
      <c r="AG502" s="176">
        <v>22.625875000000001</v>
      </c>
      <c r="AH502" s="73">
        <v>6.2985381283244681</v>
      </c>
      <c r="AI502" s="73">
        <v>0</v>
      </c>
      <c r="AJ502" s="73">
        <v>6.2985381283244681</v>
      </c>
      <c r="AK502" s="73">
        <v>0</v>
      </c>
      <c r="AL502" s="129">
        <v>0</v>
      </c>
      <c r="AM502" s="202">
        <f t="shared" si="125"/>
        <v>3.8105753660661913E-4</v>
      </c>
      <c r="AN502" s="202">
        <f t="shared" si="126"/>
        <v>0</v>
      </c>
      <c r="AO502" s="202">
        <f t="shared" si="127"/>
        <v>3.8105753660661913E-4</v>
      </c>
      <c r="AP502" s="202">
        <f t="shared" si="128"/>
        <v>0</v>
      </c>
      <c r="AQ502" s="202">
        <f t="shared" si="129"/>
        <v>0</v>
      </c>
      <c r="AR502" s="217" t="s">
        <v>1411</v>
      </c>
      <c r="AS502" s="226" t="s">
        <v>1665</v>
      </c>
      <c r="AT502" s="234">
        <v>321113</v>
      </c>
      <c r="AU502" s="244">
        <f t="shared" si="130"/>
        <v>6.2985381283244681</v>
      </c>
      <c r="AV502" s="244">
        <f t="shared" si="131"/>
        <v>0</v>
      </c>
      <c r="AW502" s="244">
        <f t="shared" si="132"/>
        <v>6.2985381283244681</v>
      </c>
      <c r="AX502" s="244">
        <f t="shared" si="133"/>
        <v>0</v>
      </c>
      <c r="AY502" s="244">
        <f t="shared" si="134"/>
        <v>0</v>
      </c>
      <c r="AZ502">
        <v>1.4489390679375358E-2</v>
      </c>
    </row>
    <row r="503" spans="1:52" ht="15.75" customHeight="1" x14ac:dyDescent="0.35">
      <c r="A503" s="139" t="s">
        <v>1411</v>
      </c>
      <c r="B503" s="67" t="s">
        <v>1412</v>
      </c>
      <c r="C503" s="233" t="s">
        <v>270</v>
      </c>
      <c r="D503" s="67" t="s">
        <v>1423</v>
      </c>
      <c r="E503" s="67" t="s">
        <v>1424</v>
      </c>
      <c r="F503" s="139" t="s">
        <v>1425</v>
      </c>
      <c r="G503" s="139" t="s">
        <v>190</v>
      </c>
      <c r="H503" s="139" t="s">
        <v>1421</v>
      </c>
      <c r="I503" s="139" t="s">
        <v>1426</v>
      </c>
      <c r="J503" s="143" t="s">
        <v>1027</v>
      </c>
      <c r="K503" s="228">
        <f t="shared" si="119"/>
        <v>22</v>
      </c>
      <c r="L503" s="269">
        <v>22</v>
      </c>
      <c r="M503" s="269"/>
      <c r="N503" s="269"/>
      <c r="O503" s="269">
        <v>1</v>
      </c>
      <c r="P503" s="269"/>
      <c r="Q503" s="269"/>
      <c r="R503" s="269"/>
      <c r="S503" s="66" t="s">
        <v>1415</v>
      </c>
      <c r="T503" s="70"/>
      <c r="U503" s="238">
        <f t="shared" si="120"/>
        <v>0.11135106382978724</v>
      </c>
      <c r="V503" s="238">
        <f t="shared" si="121"/>
        <v>0</v>
      </c>
      <c r="W503" s="238">
        <f t="shared" si="122"/>
        <v>0.11135106382978724</v>
      </c>
      <c r="X503" s="238">
        <f t="shared" si="123"/>
        <v>0</v>
      </c>
      <c r="Y503" s="238">
        <f t="shared" si="124"/>
        <v>0</v>
      </c>
      <c r="Z503" s="70">
        <v>0.11135106382978724</v>
      </c>
      <c r="AA503" s="70"/>
      <c r="AB503" s="70">
        <v>0.11135106382978724</v>
      </c>
      <c r="AC503" s="70">
        <v>0</v>
      </c>
      <c r="AD503" s="71">
        <v>0</v>
      </c>
      <c r="AE503" s="233"/>
      <c r="AF503" s="72"/>
      <c r="AG503" s="176">
        <v>22.625875000000001</v>
      </c>
      <c r="AH503" s="73">
        <v>2.5194152513297876</v>
      </c>
      <c r="AI503" s="73">
        <v>0</v>
      </c>
      <c r="AJ503" s="73">
        <v>2.5194152513297876</v>
      </c>
      <c r="AK503" s="73">
        <v>0</v>
      </c>
      <c r="AL503" s="129">
        <v>0</v>
      </c>
      <c r="AM503" s="202">
        <f t="shared" si="125"/>
        <v>1.5242301464264769E-4</v>
      </c>
      <c r="AN503" s="202">
        <f t="shared" si="126"/>
        <v>0</v>
      </c>
      <c r="AO503" s="202">
        <f t="shared" si="127"/>
        <v>1.5242301464264769E-4</v>
      </c>
      <c r="AP503" s="202">
        <f t="shared" si="128"/>
        <v>0</v>
      </c>
      <c r="AQ503" s="202">
        <f t="shared" si="129"/>
        <v>0</v>
      </c>
      <c r="AR503" s="217" t="s">
        <v>1411</v>
      </c>
      <c r="AS503" s="226" t="s">
        <v>1665</v>
      </c>
      <c r="AT503" s="234">
        <v>321113</v>
      </c>
      <c r="AU503" s="244">
        <f t="shared" si="130"/>
        <v>2.5194152513297876</v>
      </c>
      <c r="AV503" s="244">
        <f t="shared" si="131"/>
        <v>0</v>
      </c>
      <c r="AW503" s="244">
        <f t="shared" si="132"/>
        <v>2.5194152513297876</v>
      </c>
      <c r="AX503" s="244">
        <f t="shared" si="133"/>
        <v>0</v>
      </c>
      <c r="AY503" s="244">
        <f t="shared" si="134"/>
        <v>0</v>
      </c>
      <c r="AZ503">
        <v>5.7957562717501441E-3</v>
      </c>
    </row>
    <row r="504" spans="1:52" ht="15.75" customHeight="1" x14ac:dyDescent="0.35">
      <c r="A504" s="139" t="s">
        <v>1411</v>
      </c>
      <c r="B504" s="67" t="s">
        <v>1412</v>
      </c>
      <c r="C504" s="233" t="s">
        <v>270</v>
      </c>
      <c r="D504" s="67" t="s">
        <v>1427</v>
      </c>
      <c r="E504" s="67" t="s">
        <v>1427</v>
      </c>
      <c r="F504" s="139" t="s">
        <v>1428</v>
      </c>
      <c r="G504" s="139" t="s">
        <v>190</v>
      </c>
      <c r="H504" s="139" t="s">
        <v>1421</v>
      </c>
      <c r="I504" s="139" t="s">
        <v>1429</v>
      </c>
      <c r="J504" s="161">
        <v>0.78</v>
      </c>
      <c r="K504" s="228">
        <f t="shared" si="119"/>
        <v>22</v>
      </c>
      <c r="L504" s="269">
        <v>22</v>
      </c>
      <c r="M504" s="269"/>
      <c r="N504" s="269"/>
      <c r="O504" s="269">
        <v>1</v>
      </c>
      <c r="P504" s="269"/>
      <c r="Q504" s="269"/>
      <c r="R504" s="269"/>
      <c r="S504" s="66" t="s">
        <v>1415</v>
      </c>
      <c r="T504" s="70"/>
      <c r="U504" s="238">
        <f t="shared" si="120"/>
        <v>0.13362127659574469</v>
      </c>
      <c r="V504" s="238">
        <f t="shared" si="121"/>
        <v>0</v>
      </c>
      <c r="W504" s="238">
        <f t="shared" si="122"/>
        <v>0.13362127659574469</v>
      </c>
      <c r="X504" s="238">
        <f t="shared" si="123"/>
        <v>0</v>
      </c>
      <c r="Y504" s="238">
        <f t="shared" si="124"/>
        <v>0</v>
      </c>
      <c r="Z504" s="70">
        <v>0.13362127659574469</v>
      </c>
      <c r="AA504" s="70"/>
      <c r="AB504" s="70">
        <v>0.13362127659574469</v>
      </c>
      <c r="AC504" s="70">
        <v>0</v>
      </c>
      <c r="AD504" s="71">
        <v>0</v>
      </c>
      <c r="AE504" s="233"/>
      <c r="AF504" s="72"/>
      <c r="AG504" s="176">
        <v>22.625875000000001</v>
      </c>
      <c r="AH504" s="73">
        <v>3.0232983015957449</v>
      </c>
      <c r="AI504" s="73">
        <v>0</v>
      </c>
      <c r="AJ504" s="73">
        <v>3.0232983015957449</v>
      </c>
      <c r="AK504" s="73">
        <v>0</v>
      </c>
      <c r="AL504" s="129">
        <v>0</v>
      </c>
      <c r="AM504" s="202">
        <f t="shared" si="125"/>
        <v>1.829076175711772E-4</v>
      </c>
      <c r="AN504" s="202">
        <f t="shared" si="126"/>
        <v>0</v>
      </c>
      <c r="AO504" s="202">
        <f t="shared" si="127"/>
        <v>1.829076175711772E-4</v>
      </c>
      <c r="AP504" s="202">
        <f t="shared" si="128"/>
        <v>0</v>
      </c>
      <c r="AQ504" s="202">
        <f t="shared" si="129"/>
        <v>0</v>
      </c>
      <c r="AR504" s="217" t="s">
        <v>1411</v>
      </c>
      <c r="AS504" s="226" t="s">
        <v>1665</v>
      </c>
      <c r="AT504" s="234">
        <v>321113</v>
      </c>
      <c r="AU504" s="244">
        <f t="shared" si="130"/>
        <v>3.0232983015957449</v>
      </c>
      <c r="AV504" s="244">
        <f t="shared" si="131"/>
        <v>0</v>
      </c>
      <c r="AW504" s="244">
        <f t="shared" si="132"/>
        <v>3.0232983015957449</v>
      </c>
      <c r="AX504" s="244">
        <f t="shared" si="133"/>
        <v>0</v>
      </c>
      <c r="AY504" s="244">
        <f t="shared" si="134"/>
        <v>0</v>
      </c>
      <c r="AZ504">
        <v>6.9549075261001727E-3</v>
      </c>
    </row>
    <row r="505" spans="1:52" ht="15.75" customHeight="1" x14ac:dyDescent="0.35">
      <c r="A505" s="139" t="s">
        <v>1411</v>
      </c>
      <c r="B505" s="67" t="s">
        <v>1412</v>
      </c>
      <c r="C505" s="67" t="s">
        <v>99</v>
      </c>
      <c r="D505" s="67" t="s">
        <v>1430</v>
      </c>
      <c r="E505" s="67" t="s">
        <v>1430</v>
      </c>
      <c r="F505" s="139" t="s">
        <v>589</v>
      </c>
      <c r="G505" s="139" t="s">
        <v>190</v>
      </c>
      <c r="H505" s="139" t="s">
        <v>1431</v>
      </c>
      <c r="I505" s="139" t="s">
        <v>1431</v>
      </c>
      <c r="J505" s="143" t="s">
        <v>1027</v>
      </c>
      <c r="K505" s="228">
        <f t="shared" si="119"/>
        <v>22</v>
      </c>
      <c r="L505" s="269">
        <v>22</v>
      </c>
      <c r="M505" s="269"/>
      <c r="N505" s="269"/>
      <c r="O505" s="269">
        <v>1</v>
      </c>
      <c r="P505" s="269"/>
      <c r="Q505" s="269"/>
      <c r="R505" s="269"/>
      <c r="S505" s="66" t="s">
        <v>1415</v>
      </c>
      <c r="T505" s="70"/>
      <c r="U505" s="238">
        <f t="shared" si="120"/>
        <v>0.16702659574468087</v>
      </c>
      <c r="V505" s="238">
        <f t="shared" si="121"/>
        <v>0</v>
      </c>
      <c r="W505" s="238">
        <f t="shared" si="122"/>
        <v>0.16702659574468087</v>
      </c>
      <c r="X505" s="238">
        <f t="shared" si="123"/>
        <v>0</v>
      </c>
      <c r="Y505" s="238">
        <f t="shared" si="124"/>
        <v>0</v>
      </c>
      <c r="Z505" s="70">
        <v>0.16702659574468087</v>
      </c>
      <c r="AA505" s="70"/>
      <c r="AB505" s="70">
        <v>0.16702659574468087</v>
      </c>
      <c r="AC505" s="70">
        <v>0</v>
      </c>
      <c r="AD505" s="71">
        <v>0</v>
      </c>
      <c r="AE505" s="233"/>
      <c r="AF505" s="72"/>
      <c r="AG505" s="176">
        <v>22.625875000000001</v>
      </c>
      <c r="AH505" s="73">
        <v>3.7791228769946814</v>
      </c>
      <c r="AI505" s="73">
        <v>0</v>
      </c>
      <c r="AJ505" s="73">
        <v>3.7791228769946814</v>
      </c>
      <c r="AK505" s="73">
        <v>0</v>
      </c>
      <c r="AL505" s="129">
        <v>0</v>
      </c>
      <c r="AM505" s="202">
        <f t="shared" si="125"/>
        <v>2.2863452196397152E-4</v>
      </c>
      <c r="AN505" s="202">
        <f t="shared" si="126"/>
        <v>0</v>
      </c>
      <c r="AO505" s="202">
        <f t="shared" si="127"/>
        <v>2.2863452196397152E-4</v>
      </c>
      <c r="AP505" s="202">
        <f t="shared" si="128"/>
        <v>0</v>
      </c>
      <c r="AQ505" s="202">
        <f t="shared" si="129"/>
        <v>0</v>
      </c>
      <c r="AR505" s="217" t="s">
        <v>1411</v>
      </c>
      <c r="AS505" s="226" t="s">
        <v>1665</v>
      </c>
      <c r="AT505" s="234">
        <v>321113</v>
      </c>
      <c r="AU505" s="244">
        <f t="shared" si="130"/>
        <v>3.7791228769946814</v>
      </c>
      <c r="AV505" s="244">
        <f t="shared" si="131"/>
        <v>0</v>
      </c>
      <c r="AW505" s="244">
        <f t="shared" si="132"/>
        <v>3.7791228769946814</v>
      </c>
      <c r="AX505" s="244">
        <f t="shared" si="133"/>
        <v>0</v>
      </c>
      <c r="AY505" s="244">
        <f t="shared" si="134"/>
        <v>0</v>
      </c>
      <c r="AZ505">
        <v>8.693634407625217E-3</v>
      </c>
    </row>
    <row r="506" spans="1:52" ht="15.75" customHeight="1" x14ac:dyDescent="0.35">
      <c r="A506" s="179" t="s">
        <v>1411</v>
      </c>
      <c r="B506" s="180" t="s">
        <v>1412</v>
      </c>
      <c r="C506" s="180" t="s">
        <v>74</v>
      </c>
      <c r="D506" s="180" t="s">
        <v>75</v>
      </c>
      <c r="E506" s="180" t="s">
        <v>1432</v>
      </c>
      <c r="F506" s="179" t="s">
        <v>1433</v>
      </c>
      <c r="G506" s="179" t="s">
        <v>190</v>
      </c>
      <c r="H506" s="179" t="s">
        <v>115</v>
      </c>
      <c r="I506" s="179" t="s">
        <v>1434</v>
      </c>
      <c r="J506" s="181">
        <v>0.65</v>
      </c>
      <c r="K506" s="228">
        <f>AVERAGE(49,88)</f>
        <v>68.5</v>
      </c>
      <c r="L506" s="269" t="s">
        <v>1435</v>
      </c>
      <c r="M506" s="269"/>
      <c r="N506" s="269"/>
      <c r="O506" s="269">
        <v>1</v>
      </c>
      <c r="P506" s="269"/>
      <c r="Q506" s="269"/>
      <c r="R506" s="269"/>
      <c r="S506" s="182" t="s">
        <v>1415</v>
      </c>
      <c r="T506" s="183"/>
      <c r="U506" s="238">
        <f t="shared" si="120"/>
        <v>5.1171999999999995</v>
      </c>
      <c r="V506" s="238">
        <f t="shared" si="121"/>
        <v>0</v>
      </c>
      <c r="W506" s="238">
        <f t="shared" si="122"/>
        <v>0</v>
      </c>
      <c r="X506" s="238">
        <f t="shared" si="123"/>
        <v>0</v>
      </c>
      <c r="Y506" s="238">
        <f t="shared" si="124"/>
        <v>5.1171999999999995</v>
      </c>
      <c r="Z506" s="70">
        <v>5.1171999999999995</v>
      </c>
      <c r="AA506" s="70"/>
      <c r="AB506" s="70">
        <v>0</v>
      </c>
      <c r="AC506" s="70">
        <v>0</v>
      </c>
      <c r="AD506" s="71">
        <v>5.1171999999999995</v>
      </c>
      <c r="AE506" s="180">
        <v>120</v>
      </c>
      <c r="AF506" s="185">
        <v>2</v>
      </c>
      <c r="AG506" s="186">
        <v>22.625875000000001</v>
      </c>
      <c r="AH506" s="187">
        <v>115.78112754999999</v>
      </c>
      <c r="AI506" s="187">
        <v>0</v>
      </c>
      <c r="AJ506" s="187">
        <v>0</v>
      </c>
      <c r="AK506" s="187">
        <v>0</v>
      </c>
      <c r="AL506" s="188">
        <v>115.78112754999999</v>
      </c>
      <c r="AM506" s="202">
        <f t="shared" si="125"/>
        <v>7.0046843173554524E-3</v>
      </c>
      <c r="AN506" s="202">
        <f t="shared" si="126"/>
        <v>0</v>
      </c>
      <c r="AO506" s="202">
        <f t="shared" si="127"/>
        <v>0</v>
      </c>
      <c r="AP506" s="202">
        <f t="shared" si="128"/>
        <v>0</v>
      </c>
      <c r="AQ506" s="202">
        <f t="shared" si="129"/>
        <v>7.0046843173554524E-3</v>
      </c>
      <c r="AR506" s="218" t="s">
        <v>1411</v>
      </c>
      <c r="AS506" s="226" t="s">
        <v>1665</v>
      </c>
      <c r="AT506" s="234">
        <v>321113</v>
      </c>
      <c r="AU506" s="244">
        <f t="shared" si="130"/>
        <v>115.78112754999999</v>
      </c>
      <c r="AV506" s="244">
        <f t="shared" si="131"/>
        <v>0</v>
      </c>
      <c r="AW506" s="244">
        <f t="shared" si="132"/>
        <v>0</v>
      </c>
      <c r="AX506" s="244">
        <f t="shared" si="133"/>
        <v>0</v>
      </c>
      <c r="AY506" s="244">
        <f t="shared" si="134"/>
        <v>115.78112754999999</v>
      </c>
      <c r="AZ506">
        <v>0.26634719933287326</v>
      </c>
    </row>
    <row r="507" spans="1:52" ht="15.75" customHeight="1" x14ac:dyDescent="0.35">
      <c r="A507" s="139" t="s">
        <v>1411</v>
      </c>
      <c r="B507" s="67" t="s">
        <v>1412</v>
      </c>
      <c r="C507" s="67" t="s">
        <v>99</v>
      </c>
      <c r="D507" s="67" t="s">
        <v>1436</v>
      </c>
      <c r="E507" s="67" t="s">
        <v>1436</v>
      </c>
      <c r="F507" s="139" t="s">
        <v>1437</v>
      </c>
      <c r="G507" s="139" t="s">
        <v>190</v>
      </c>
      <c r="H507" s="139" t="s">
        <v>1438</v>
      </c>
      <c r="I507" s="139" t="s">
        <v>1438</v>
      </c>
      <c r="J507" s="143" t="s">
        <v>1027</v>
      </c>
      <c r="K507" s="228">
        <f t="shared" si="119"/>
        <v>22</v>
      </c>
      <c r="L507" s="269">
        <v>22</v>
      </c>
      <c r="M507" s="269"/>
      <c r="N507" s="269"/>
      <c r="O507" s="269">
        <v>1</v>
      </c>
      <c r="P507" s="269"/>
      <c r="Q507" s="269"/>
      <c r="R507" s="269"/>
      <c r="S507" s="66" t="s">
        <v>1415</v>
      </c>
      <c r="T507" s="70"/>
      <c r="U507" s="238">
        <f t="shared" si="120"/>
        <v>0.27837765957446808</v>
      </c>
      <c r="V507" s="238">
        <f t="shared" si="121"/>
        <v>0</v>
      </c>
      <c r="W507" s="238">
        <f t="shared" si="122"/>
        <v>0.27837765957446808</v>
      </c>
      <c r="X507" s="238">
        <f t="shared" si="123"/>
        <v>0</v>
      </c>
      <c r="Y507" s="238">
        <f t="shared" si="124"/>
        <v>0</v>
      </c>
      <c r="Z507" s="183">
        <v>0.27837765957446808</v>
      </c>
      <c r="AA507" s="183"/>
      <c r="AB507" s="183">
        <v>0.27837765957446808</v>
      </c>
      <c r="AC507" s="183">
        <v>0</v>
      </c>
      <c r="AD507" s="184">
        <v>0</v>
      </c>
      <c r="AE507" s="233"/>
      <c r="AF507" s="72"/>
      <c r="AG507" s="176">
        <v>22.625875000000001</v>
      </c>
      <c r="AH507" s="73">
        <v>6.2985381283244681</v>
      </c>
      <c r="AI507" s="73">
        <v>0</v>
      </c>
      <c r="AJ507" s="73">
        <v>6.2985381283244681</v>
      </c>
      <c r="AK507" s="73">
        <v>0</v>
      </c>
      <c r="AL507" s="129">
        <v>0</v>
      </c>
      <c r="AM507" s="202">
        <f t="shared" si="125"/>
        <v>3.8105753660661913E-4</v>
      </c>
      <c r="AN507" s="202">
        <f t="shared" si="126"/>
        <v>0</v>
      </c>
      <c r="AO507" s="202">
        <f t="shared" si="127"/>
        <v>3.8105753660661913E-4</v>
      </c>
      <c r="AP507" s="202">
        <f t="shared" si="128"/>
        <v>0</v>
      </c>
      <c r="AQ507" s="202">
        <f t="shared" si="129"/>
        <v>0</v>
      </c>
      <c r="AR507" s="217" t="s">
        <v>1411</v>
      </c>
      <c r="AS507" s="226" t="s">
        <v>1665</v>
      </c>
      <c r="AT507" s="234">
        <v>321113</v>
      </c>
      <c r="AU507" s="244">
        <f t="shared" si="130"/>
        <v>6.2985381283244681</v>
      </c>
      <c r="AV507" s="244">
        <f t="shared" si="131"/>
        <v>0</v>
      </c>
      <c r="AW507" s="244">
        <f t="shared" si="132"/>
        <v>6.2985381283244681</v>
      </c>
      <c r="AX507" s="244">
        <f t="shared" si="133"/>
        <v>0</v>
      </c>
      <c r="AY507" s="244">
        <f t="shared" si="134"/>
        <v>0</v>
      </c>
      <c r="AZ507">
        <v>1.4489390679375358E-2</v>
      </c>
    </row>
    <row r="508" spans="1:52" ht="15.75" customHeight="1" x14ac:dyDescent="0.35">
      <c r="A508" s="145" t="s">
        <v>1411</v>
      </c>
      <c r="B508" s="78" t="s">
        <v>1412</v>
      </c>
      <c r="C508" s="81" t="s">
        <v>270</v>
      </c>
      <c r="D508" s="78" t="s">
        <v>1427</v>
      </c>
      <c r="E508" s="78" t="s">
        <v>1439</v>
      </c>
      <c r="F508" s="145" t="s">
        <v>1440</v>
      </c>
      <c r="G508" s="145" t="s">
        <v>190</v>
      </c>
      <c r="H508" s="145" t="s">
        <v>1421</v>
      </c>
      <c r="I508" s="145" t="s">
        <v>1429</v>
      </c>
      <c r="J508" s="146" t="s">
        <v>1027</v>
      </c>
      <c r="K508" s="228">
        <f t="shared" si="119"/>
        <v>22</v>
      </c>
      <c r="L508" s="269">
        <v>22</v>
      </c>
      <c r="M508" s="269"/>
      <c r="N508" s="269"/>
      <c r="O508" s="269">
        <v>1</v>
      </c>
      <c r="P508" s="269"/>
      <c r="Q508" s="269"/>
      <c r="R508" s="269"/>
      <c r="S508" s="66" t="s">
        <v>1415</v>
      </c>
      <c r="T508" s="82"/>
      <c r="U508" s="238">
        <f t="shared" si="120"/>
        <v>0.13362127659574469</v>
      </c>
      <c r="V508" s="238">
        <f t="shared" si="121"/>
        <v>0</v>
      </c>
      <c r="W508" s="238">
        <f t="shared" si="122"/>
        <v>0.13362127659574469</v>
      </c>
      <c r="X508" s="238">
        <f t="shared" si="123"/>
        <v>0</v>
      </c>
      <c r="Y508" s="238">
        <f t="shared" si="124"/>
        <v>0</v>
      </c>
      <c r="Z508" s="70">
        <v>0.13362127659574469</v>
      </c>
      <c r="AA508" s="70"/>
      <c r="AB508" s="70">
        <v>0.13362127659574469</v>
      </c>
      <c r="AC508" s="70">
        <v>0</v>
      </c>
      <c r="AD508" s="71">
        <v>0</v>
      </c>
      <c r="AE508" s="81"/>
      <c r="AF508" s="84"/>
      <c r="AG508" s="175">
        <v>22.625875000000001</v>
      </c>
      <c r="AH508" s="85">
        <v>3.0232983015957449</v>
      </c>
      <c r="AI508" s="85">
        <v>0</v>
      </c>
      <c r="AJ508" s="85">
        <v>3.0232983015957449</v>
      </c>
      <c r="AK508" s="85">
        <v>0</v>
      </c>
      <c r="AL508" s="133">
        <v>0</v>
      </c>
      <c r="AM508" s="202">
        <f t="shared" si="125"/>
        <v>1.829076175711772E-4</v>
      </c>
      <c r="AN508" s="202">
        <f t="shared" si="126"/>
        <v>0</v>
      </c>
      <c r="AO508" s="202">
        <f t="shared" si="127"/>
        <v>1.829076175711772E-4</v>
      </c>
      <c r="AP508" s="202">
        <f t="shared" si="128"/>
        <v>0</v>
      </c>
      <c r="AQ508" s="202">
        <f t="shared" si="129"/>
        <v>0</v>
      </c>
      <c r="AR508" s="213" t="s">
        <v>1411</v>
      </c>
      <c r="AS508" s="226" t="s">
        <v>1665</v>
      </c>
      <c r="AT508" s="234">
        <v>321113</v>
      </c>
      <c r="AU508" s="244">
        <f t="shared" si="130"/>
        <v>3.0232983015957449</v>
      </c>
      <c r="AV508" s="244">
        <f t="shared" si="131"/>
        <v>0</v>
      </c>
      <c r="AW508" s="244">
        <f t="shared" si="132"/>
        <v>3.0232983015957449</v>
      </c>
      <c r="AX508" s="244">
        <f t="shared" si="133"/>
        <v>0</v>
      </c>
      <c r="AY508" s="244">
        <f t="shared" si="134"/>
        <v>0</v>
      </c>
      <c r="AZ508">
        <v>6.9549075261001727E-3</v>
      </c>
    </row>
    <row r="509" spans="1:52" ht="15.75" customHeight="1" x14ac:dyDescent="0.35">
      <c r="A509" s="157" t="s">
        <v>1411</v>
      </c>
      <c r="B509" s="67" t="s">
        <v>1441</v>
      </c>
      <c r="C509" s="178" t="s">
        <v>149</v>
      </c>
      <c r="D509" s="67" t="s">
        <v>150</v>
      </c>
      <c r="E509" s="67" t="s">
        <v>150</v>
      </c>
      <c r="F509" s="139" t="str">
        <f t="shared" ref="F509:F514" si="136">F500</f>
        <v>Cleaned logs</v>
      </c>
      <c r="G509" s="139" t="s">
        <v>190</v>
      </c>
      <c r="H509" s="139" t="s">
        <v>482</v>
      </c>
      <c r="I509" s="139" t="s">
        <v>1414</v>
      </c>
      <c r="J509" s="143"/>
      <c r="K509" s="228">
        <f t="shared" si="119"/>
        <v>22</v>
      </c>
      <c r="L509" s="269">
        <v>22</v>
      </c>
      <c r="M509" s="269"/>
      <c r="N509" s="269"/>
      <c r="O509" s="269">
        <v>1</v>
      </c>
      <c r="P509" s="269"/>
      <c r="Q509" s="269"/>
      <c r="R509" s="269"/>
      <c r="S509" s="56" t="s">
        <v>1442</v>
      </c>
      <c r="T509" s="70"/>
      <c r="U509" s="238">
        <f t="shared" si="120"/>
        <v>6.6810638297872343E-2</v>
      </c>
      <c r="V509" s="238">
        <f t="shared" si="121"/>
        <v>0</v>
      </c>
      <c r="W509" s="238">
        <f t="shared" si="122"/>
        <v>6.6810638297872343E-2</v>
      </c>
      <c r="X509" s="238">
        <f t="shared" si="123"/>
        <v>0</v>
      </c>
      <c r="Y509" s="238">
        <f t="shared" si="124"/>
        <v>0</v>
      </c>
      <c r="Z509" s="82">
        <v>6.6810638297872343E-2</v>
      </c>
      <c r="AA509" s="82"/>
      <c r="AB509" s="82">
        <v>6.6810638297872343E-2</v>
      </c>
      <c r="AC509" s="82">
        <v>0</v>
      </c>
      <c r="AD509" s="83">
        <v>0</v>
      </c>
      <c r="AE509" s="233"/>
      <c r="AF509" s="72"/>
      <c r="AG509" s="169">
        <v>22.625875000000001</v>
      </c>
      <c r="AH509" s="73">
        <v>1.5116491507978724</v>
      </c>
      <c r="AI509" s="73">
        <v>0</v>
      </c>
      <c r="AJ509" s="73">
        <v>1.5116491507978724</v>
      </c>
      <c r="AK509" s="73">
        <v>0</v>
      </c>
      <c r="AL509" s="129">
        <v>0</v>
      </c>
      <c r="AM509" s="202">
        <f t="shared" si="125"/>
        <v>9.1453808785588598E-5</v>
      </c>
      <c r="AN509" s="202">
        <f t="shared" si="126"/>
        <v>0</v>
      </c>
      <c r="AO509" s="202">
        <f t="shared" si="127"/>
        <v>9.1453808785588598E-5</v>
      </c>
      <c r="AP509" s="202">
        <f t="shared" si="128"/>
        <v>0</v>
      </c>
      <c r="AQ509" s="202">
        <f t="shared" si="129"/>
        <v>0</v>
      </c>
      <c r="AR509" s="206" t="s">
        <v>1411</v>
      </c>
      <c r="AS509" s="226" t="s">
        <v>1665</v>
      </c>
      <c r="AT509" s="234">
        <v>321113</v>
      </c>
      <c r="AU509" s="244">
        <f t="shared" si="130"/>
        <v>1.5116491507978724</v>
      </c>
      <c r="AV509" s="244">
        <f t="shared" si="131"/>
        <v>0</v>
      </c>
      <c r="AW509" s="244">
        <f t="shared" si="132"/>
        <v>1.5116491507978724</v>
      </c>
      <c r="AX509" s="244">
        <f t="shared" si="133"/>
        <v>0</v>
      </c>
      <c r="AY509" s="244">
        <f t="shared" si="134"/>
        <v>0</v>
      </c>
      <c r="AZ509">
        <v>3.4774537630500864E-3</v>
      </c>
    </row>
    <row r="510" spans="1:52" ht="15.75" customHeight="1" x14ac:dyDescent="0.35">
      <c r="A510" s="139" t="s">
        <v>1411</v>
      </c>
      <c r="B510" s="67" t="s">
        <v>1441</v>
      </c>
      <c r="C510" s="67" t="s">
        <v>99</v>
      </c>
      <c r="D510" s="67" t="s">
        <v>1416</v>
      </c>
      <c r="E510" s="67" t="s">
        <v>1416</v>
      </c>
      <c r="F510" s="139" t="str">
        <f t="shared" si="136"/>
        <v>debarked logs</v>
      </c>
      <c r="G510" s="139" t="s">
        <v>190</v>
      </c>
      <c r="H510" s="139" t="s">
        <v>1418</v>
      </c>
      <c r="I510" s="139" t="s">
        <v>1418</v>
      </c>
      <c r="J510" s="143" t="s">
        <v>1027</v>
      </c>
      <c r="K510" s="228">
        <f t="shared" si="119"/>
        <v>22</v>
      </c>
      <c r="L510" s="269">
        <v>22</v>
      </c>
      <c r="M510" s="269"/>
      <c r="N510" s="269"/>
      <c r="O510" s="269">
        <v>1</v>
      </c>
      <c r="P510" s="269"/>
      <c r="Q510" s="269"/>
      <c r="R510" s="269"/>
      <c r="S510" s="66" t="s">
        <v>1442</v>
      </c>
      <c r="T510" s="70"/>
      <c r="U510" s="238">
        <f t="shared" si="120"/>
        <v>0.11135106382978724</v>
      </c>
      <c r="V510" s="238">
        <f t="shared" si="121"/>
        <v>0</v>
      </c>
      <c r="W510" s="238">
        <f t="shared" si="122"/>
        <v>0.11135106382978724</v>
      </c>
      <c r="X510" s="238">
        <f t="shared" si="123"/>
        <v>0</v>
      </c>
      <c r="Y510" s="238">
        <f t="shared" si="124"/>
        <v>0</v>
      </c>
      <c r="Z510" s="70">
        <v>0.11135106382978724</v>
      </c>
      <c r="AA510" s="70"/>
      <c r="AB510" s="70">
        <v>0.11135106382978724</v>
      </c>
      <c r="AC510" s="70">
        <v>0</v>
      </c>
      <c r="AD510" s="71">
        <v>0</v>
      </c>
      <c r="AE510" s="233"/>
      <c r="AF510" s="72"/>
      <c r="AG510" s="176">
        <v>22.625875000000001</v>
      </c>
      <c r="AH510" s="73">
        <v>2.5194152513297876</v>
      </c>
      <c r="AI510" s="73">
        <v>0</v>
      </c>
      <c r="AJ510" s="73">
        <v>2.5194152513297876</v>
      </c>
      <c r="AK510" s="73">
        <v>0</v>
      </c>
      <c r="AL510" s="129">
        <v>0</v>
      </c>
      <c r="AM510" s="202">
        <f t="shared" si="125"/>
        <v>1.5242301464264769E-4</v>
      </c>
      <c r="AN510" s="202">
        <f t="shared" si="126"/>
        <v>0</v>
      </c>
      <c r="AO510" s="202">
        <f t="shared" si="127"/>
        <v>1.5242301464264769E-4</v>
      </c>
      <c r="AP510" s="202">
        <f t="shared" si="128"/>
        <v>0</v>
      </c>
      <c r="AQ510" s="202">
        <f t="shared" si="129"/>
        <v>0</v>
      </c>
      <c r="AR510" s="217" t="s">
        <v>1411</v>
      </c>
      <c r="AS510" s="226" t="s">
        <v>1665</v>
      </c>
      <c r="AT510" s="234">
        <v>321113</v>
      </c>
      <c r="AU510" s="244">
        <f t="shared" si="130"/>
        <v>2.5194152513297876</v>
      </c>
      <c r="AV510" s="244">
        <f t="shared" si="131"/>
        <v>0</v>
      </c>
      <c r="AW510" s="244">
        <f t="shared" si="132"/>
        <v>2.5194152513297876</v>
      </c>
      <c r="AX510" s="244">
        <f t="shared" si="133"/>
        <v>0</v>
      </c>
      <c r="AY510" s="244">
        <f t="shared" si="134"/>
        <v>0</v>
      </c>
      <c r="AZ510">
        <v>5.7957562717501441E-3</v>
      </c>
    </row>
    <row r="511" spans="1:52" ht="15.75" customHeight="1" x14ac:dyDescent="0.35">
      <c r="A511" s="139" t="s">
        <v>1411</v>
      </c>
      <c r="B511" s="67" t="s">
        <v>1441</v>
      </c>
      <c r="C511" s="67" t="s">
        <v>99</v>
      </c>
      <c r="D511" s="67" t="s">
        <v>1419</v>
      </c>
      <c r="E511" s="67" t="s">
        <v>1419</v>
      </c>
      <c r="F511" s="139" t="str">
        <f t="shared" si="136"/>
        <v>Rough sawn boards</v>
      </c>
      <c r="G511" s="139" t="s">
        <v>190</v>
      </c>
      <c r="H511" s="139" t="s">
        <v>1421</v>
      </c>
      <c r="I511" s="139" t="s">
        <v>1422</v>
      </c>
      <c r="J511" s="143" t="s">
        <v>1027</v>
      </c>
      <c r="K511" s="228">
        <f t="shared" si="119"/>
        <v>22</v>
      </c>
      <c r="L511" s="269">
        <v>22</v>
      </c>
      <c r="M511" s="269"/>
      <c r="N511" s="269"/>
      <c r="O511" s="269">
        <v>1</v>
      </c>
      <c r="P511" s="269"/>
      <c r="Q511" s="269"/>
      <c r="R511" s="269"/>
      <c r="S511" s="66" t="s">
        <v>1442</v>
      </c>
      <c r="T511" s="70"/>
      <c r="U511" s="238">
        <f t="shared" si="120"/>
        <v>0.27837765957446808</v>
      </c>
      <c r="V511" s="238">
        <f t="shared" si="121"/>
        <v>0</v>
      </c>
      <c r="W511" s="238">
        <f t="shared" si="122"/>
        <v>0.27837765957446808</v>
      </c>
      <c r="X511" s="238">
        <f t="shared" si="123"/>
        <v>0</v>
      </c>
      <c r="Y511" s="238">
        <f t="shared" si="124"/>
        <v>0</v>
      </c>
      <c r="Z511" s="70">
        <v>0.27837765957446808</v>
      </c>
      <c r="AA511" s="70"/>
      <c r="AB511" s="70">
        <v>0.27837765957446808</v>
      </c>
      <c r="AC511" s="70">
        <v>0</v>
      </c>
      <c r="AD511" s="71">
        <v>0</v>
      </c>
      <c r="AE511" s="233"/>
      <c r="AF511" s="72"/>
      <c r="AG511" s="176">
        <v>22.625875000000001</v>
      </c>
      <c r="AH511" s="73">
        <v>6.2985381283244681</v>
      </c>
      <c r="AI511" s="73">
        <v>0</v>
      </c>
      <c r="AJ511" s="73">
        <v>6.2985381283244681</v>
      </c>
      <c r="AK511" s="73">
        <v>0</v>
      </c>
      <c r="AL511" s="129">
        <v>0</v>
      </c>
      <c r="AM511" s="202">
        <f t="shared" si="125"/>
        <v>3.8105753660661913E-4</v>
      </c>
      <c r="AN511" s="202">
        <f t="shared" si="126"/>
        <v>0</v>
      </c>
      <c r="AO511" s="202">
        <f t="shared" si="127"/>
        <v>3.8105753660661913E-4</v>
      </c>
      <c r="AP511" s="202">
        <f t="shared" si="128"/>
        <v>0</v>
      </c>
      <c r="AQ511" s="202">
        <f t="shared" si="129"/>
        <v>0</v>
      </c>
      <c r="AR511" s="217" t="s">
        <v>1411</v>
      </c>
      <c r="AS511" s="226" t="s">
        <v>1665</v>
      </c>
      <c r="AT511" s="234">
        <v>321113</v>
      </c>
      <c r="AU511" s="244">
        <f t="shared" si="130"/>
        <v>6.2985381283244681</v>
      </c>
      <c r="AV511" s="244">
        <f t="shared" si="131"/>
        <v>0</v>
      </c>
      <c r="AW511" s="244">
        <f t="shared" si="132"/>
        <v>6.2985381283244681</v>
      </c>
      <c r="AX511" s="244">
        <f t="shared" si="133"/>
        <v>0</v>
      </c>
      <c r="AY511" s="244">
        <f t="shared" si="134"/>
        <v>0</v>
      </c>
      <c r="AZ511">
        <v>1.4489390679375358E-2</v>
      </c>
    </row>
    <row r="512" spans="1:52" ht="15.75" customHeight="1" x14ac:dyDescent="0.35">
      <c r="A512" s="139" t="s">
        <v>1411</v>
      </c>
      <c r="B512" s="67" t="s">
        <v>1441</v>
      </c>
      <c r="C512" s="233" t="s">
        <v>270</v>
      </c>
      <c r="D512" s="67" t="s">
        <v>1423</v>
      </c>
      <c r="E512" s="67" t="s">
        <v>1424</v>
      </c>
      <c r="F512" s="139" t="str">
        <f t="shared" si="136"/>
        <v>Surfaced lumber</v>
      </c>
      <c r="G512" s="139" t="s">
        <v>190</v>
      </c>
      <c r="H512" s="139" t="s">
        <v>1421</v>
      </c>
      <c r="I512" s="139" t="s">
        <v>1426</v>
      </c>
      <c r="J512" s="143" t="s">
        <v>1027</v>
      </c>
      <c r="K512" s="228">
        <f t="shared" si="119"/>
        <v>22</v>
      </c>
      <c r="L512" s="269">
        <v>22</v>
      </c>
      <c r="M512" s="269"/>
      <c r="N512" s="269"/>
      <c r="O512" s="269">
        <v>1</v>
      </c>
      <c r="P512" s="269"/>
      <c r="Q512" s="269"/>
      <c r="R512" s="269"/>
      <c r="S512" s="66" t="s">
        <v>1442</v>
      </c>
      <c r="T512" s="70"/>
      <c r="U512" s="238">
        <f t="shared" si="120"/>
        <v>0.11135106382978724</v>
      </c>
      <c r="V512" s="238">
        <f t="shared" si="121"/>
        <v>0</v>
      </c>
      <c r="W512" s="238">
        <f t="shared" si="122"/>
        <v>0.11135106382978724</v>
      </c>
      <c r="X512" s="238">
        <f t="shared" si="123"/>
        <v>0</v>
      </c>
      <c r="Y512" s="238">
        <f t="shared" si="124"/>
        <v>0</v>
      </c>
      <c r="Z512" s="70">
        <v>0.11135106382978724</v>
      </c>
      <c r="AA512" s="70"/>
      <c r="AB512" s="70">
        <v>0.11135106382978724</v>
      </c>
      <c r="AC512" s="70">
        <v>0</v>
      </c>
      <c r="AD512" s="71">
        <v>0</v>
      </c>
      <c r="AE512" s="233"/>
      <c r="AF512" s="72"/>
      <c r="AG512" s="176">
        <v>22.625875000000001</v>
      </c>
      <c r="AH512" s="73">
        <v>2.5194152513297876</v>
      </c>
      <c r="AI512" s="73">
        <v>0</v>
      </c>
      <c r="AJ512" s="73">
        <v>2.5194152513297876</v>
      </c>
      <c r="AK512" s="73">
        <v>0</v>
      </c>
      <c r="AL512" s="129">
        <v>0</v>
      </c>
      <c r="AM512" s="202">
        <f t="shared" si="125"/>
        <v>1.5242301464264769E-4</v>
      </c>
      <c r="AN512" s="202">
        <f t="shared" si="126"/>
        <v>0</v>
      </c>
      <c r="AO512" s="202">
        <f t="shared" si="127"/>
        <v>1.5242301464264769E-4</v>
      </c>
      <c r="AP512" s="202">
        <f t="shared" si="128"/>
        <v>0</v>
      </c>
      <c r="AQ512" s="202">
        <f t="shared" si="129"/>
        <v>0</v>
      </c>
      <c r="AR512" s="217" t="s">
        <v>1411</v>
      </c>
      <c r="AS512" s="226" t="s">
        <v>1665</v>
      </c>
      <c r="AT512" s="234">
        <v>321113</v>
      </c>
      <c r="AU512" s="244">
        <f t="shared" si="130"/>
        <v>2.5194152513297876</v>
      </c>
      <c r="AV512" s="244">
        <f t="shared" si="131"/>
        <v>0</v>
      </c>
      <c r="AW512" s="244">
        <f t="shared" si="132"/>
        <v>2.5194152513297876</v>
      </c>
      <c r="AX512" s="244">
        <f t="shared" si="133"/>
        <v>0</v>
      </c>
      <c r="AY512" s="244">
        <f t="shared" si="134"/>
        <v>0</v>
      </c>
      <c r="AZ512">
        <v>5.7957562717501441E-3</v>
      </c>
    </row>
    <row r="513" spans="1:52" ht="15.75" customHeight="1" x14ac:dyDescent="0.35">
      <c r="A513" s="139" t="s">
        <v>1411</v>
      </c>
      <c r="B513" s="67" t="s">
        <v>1441</v>
      </c>
      <c r="C513" s="233" t="s">
        <v>270</v>
      </c>
      <c r="D513" s="67" t="s">
        <v>1427</v>
      </c>
      <c r="E513" s="67" t="s">
        <v>1427</v>
      </c>
      <c r="F513" s="139" t="str">
        <f t="shared" si="136"/>
        <v>Cut boards</v>
      </c>
      <c r="G513" s="139" t="s">
        <v>190</v>
      </c>
      <c r="H513" s="139" t="s">
        <v>1421</v>
      </c>
      <c r="I513" s="139" t="s">
        <v>1429</v>
      </c>
      <c r="J513" s="143" t="s">
        <v>1027</v>
      </c>
      <c r="K513" s="228">
        <f t="shared" si="119"/>
        <v>22</v>
      </c>
      <c r="L513" s="269">
        <v>22</v>
      </c>
      <c r="M513" s="269"/>
      <c r="N513" s="269"/>
      <c r="O513" s="269">
        <v>1</v>
      </c>
      <c r="P513" s="269"/>
      <c r="Q513" s="269"/>
      <c r="R513" s="269"/>
      <c r="S513" s="66" t="s">
        <v>1442</v>
      </c>
      <c r="T513" s="70"/>
      <c r="U513" s="238">
        <f t="shared" si="120"/>
        <v>0.13362127659574469</v>
      </c>
      <c r="V513" s="238">
        <f t="shared" si="121"/>
        <v>0</v>
      </c>
      <c r="W513" s="238">
        <f t="shared" si="122"/>
        <v>0.13362127659574469</v>
      </c>
      <c r="X513" s="238">
        <f t="shared" si="123"/>
        <v>0</v>
      </c>
      <c r="Y513" s="238">
        <f t="shared" si="124"/>
        <v>0</v>
      </c>
      <c r="Z513" s="70">
        <v>0.13362127659574469</v>
      </c>
      <c r="AA513" s="70"/>
      <c r="AB513" s="70">
        <v>0.13362127659574469</v>
      </c>
      <c r="AC513" s="70">
        <v>0</v>
      </c>
      <c r="AD513" s="71">
        <v>0</v>
      </c>
      <c r="AE513" s="233"/>
      <c r="AF513" s="72"/>
      <c r="AG513" s="176">
        <v>22.625875000000001</v>
      </c>
      <c r="AH513" s="73">
        <v>3.0232983015957449</v>
      </c>
      <c r="AI513" s="73">
        <v>0</v>
      </c>
      <c r="AJ513" s="73">
        <v>3.0232983015957449</v>
      </c>
      <c r="AK513" s="73">
        <v>0</v>
      </c>
      <c r="AL513" s="129">
        <v>0</v>
      </c>
      <c r="AM513" s="202">
        <f t="shared" si="125"/>
        <v>1.829076175711772E-4</v>
      </c>
      <c r="AN513" s="202">
        <f t="shared" si="126"/>
        <v>0</v>
      </c>
      <c r="AO513" s="202">
        <f t="shared" si="127"/>
        <v>1.829076175711772E-4</v>
      </c>
      <c r="AP513" s="202">
        <f t="shared" si="128"/>
        <v>0</v>
      </c>
      <c r="AQ513" s="202">
        <f t="shared" si="129"/>
        <v>0</v>
      </c>
      <c r="AR513" s="217" t="s">
        <v>1411</v>
      </c>
      <c r="AS513" s="226" t="s">
        <v>1665</v>
      </c>
      <c r="AT513" s="234">
        <v>321113</v>
      </c>
      <c r="AU513" s="244">
        <f t="shared" si="130"/>
        <v>3.0232983015957449</v>
      </c>
      <c r="AV513" s="244">
        <f t="shared" si="131"/>
        <v>0</v>
      </c>
      <c r="AW513" s="244">
        <f t="shared" si="132"/>
        <v>3.0232983015957449</v>
      </c>
      <c r="AX513" s="244">
        <f t="shared" si="133"/>
        <v>0</v>
      </c>
      <c r="AY513" s="244">
        <f t="shared" si="134"/>
        <v>0</v>
      </c>
      <c r="AZ513">
        <v>6.9549075261001727E-3</v>
      </c>
    </row>
    <row r="514" spans="1:52" ht="15.75" customHeight="1" x14ac:dyDescent="0.35">
      <c r="A514" s="139" t="s">
        <v>1411</v>
      </c>
      <c r="B514" s="67" t="s">
        <v>1441</v>
      </c>
      <c r="C514" s="67" t="s">
        <v>99</v>
      </c>
      <c r="D514" s="67" t="s">
        <v>1430</v>
      </c>
      <c r="E514" s="67" t="s">
        <v>1430</v>
      </c>
      <c r="F514" s="139" t="str">
        <f t="shared" si="136"/>
        <v>Wood chips</v>
      </c>
      <c r="G514" s="139" t="s">
        <v>190</v>
      </c>
      <c r="H514" s="139" t="s">
        <v>1431</v>
      </c>
      <c r="I514" s="139" t="s">
        <v>1431</v>
      </c>
      <c r="J514" s="143" t="s">
        <v>1027</v>
      </c>
      <c r="K514" s="228">
        <f t="shared" si="119"/>
        <v>22</v>
      </c>
      <c r="L514" s="269">
        <v>22</v>
      </c>
      <c r="M514" s="269"/>
      <c r="N514" s="269"/>
      <c r="O514" s="269">
        <v>1</v>
      </c>
      <c r="P514" s="269"/>
      <c r="Q514" s="269"/>
      <c r="R514" s="269"/>
      <c r="S514" s="66" t="s">
        <v>1442</v>
      </c>
      <c r="T514" s="70"/>
      <c r="U514" s="238">
        <f t="shared" si="120"/>
        <v>0.16702659574468087</v>
      </c>
      <c r="V514" s="238">
        <f t="shared" si="121"/>
        <v>0</v>
      </c>
      <c r="W514" s="238">
        <f t="shared" si="122"/>
        <v>0.16702659574468087</v>
      </c>
      <c r="X514" s="238">
        <f t="shared" si="123"/>
        <v>0</v>
      </c>
      <c r="Y514" s="238">
        <f t="shared" si="124"/>
        <v>0</v>
      </c>
      <c r="Z514" s="70">
        <v>0.16702659574468087</v>
      </c>
      <c r="AA514" s="70"/>
      <c r="AB514" s="70">
        <v>0.16702659574468087</v>
      </c>
      <c r="AC514" s="70">
        <v>0</v>
      </c>
      <c r="AD514" s="71">
        <v>0</v>
      </c>
      <c r="AE514" s="233"/>
      <c r="AF514" s="72"/>
      <c r="AG514" s="176">
        <v>22.625875000000001</v>
      </c>
      <c r="AH514" s="73">
        <v>3.7791228769946814</v>
      </c>
      <c r="AI514" s="73">
        <v>0</v>
      </c>
      <c r="AJ514" s="73">
        <v>3.7791228769946814</v>
      </c>
      <c r="AK514" s="73">
        <v>0</v>
      </c>
      <c r="AL514" s="129">
        <v>0</v>
      </c>
      <c r="AM514" s="202">
        <f t="shared" si="125"/>
        <v>2.2863452196397152E-4</v>
      </c>
      <c r="AN514" s="202">
        <f t="shared" si="126"/>
        <v>0</v>
      </c>
      <c r="AO514" s="202">
        <f t="shared" si="127"/>
        <v>2.2863452196397152E-4</v>
      </c>
      <c r="AP514" s="202">
        <f t="shared" si="128"/>
        <v>0</v>
      </c>
      <c r="AQ514" s="202">
        <f t="shared" si="129"/>
        <v>0</v>
      </c>
      <c r="AR514" s="217" t="s">
        <v>1411</v>
      </c>
      <c r="AS514" s="226" t="s">
        <v>1665</v>
      </c>
      <c r="AT514" s="234">
        <v>321113</v>
      </c>
      <c r="AU514" s="244">
        <f t="shared" si="130"/>
        <v>3.7791228769946814</v>
      </c>
      <c r="AV514" s="244">
        <f t="shared" si="131"/>
        <v>0</v>
      </c>
      <c r="AW514" s="244">
        <f t="shared" si="132"/>
        <v>3.7791228769946814</v>
      </c>
      <c r="AX514" s="244">
        <f t="shared" si="133"/>
        <v>0</v>
      </c>
      <c r="AY514" s="244">
        <f t="shared" si="134"/>
        <v>0</v>
      </c>
      <c r="AZ514">
        <v>8.693634407625217E-3</v>
      </c>
    </row>
    <row r="515" spans="1:52" ht="15.75" customHeight="1" x14ac:dyDescent="0.35">
      <c r="A515" s="139" t="s">
        <v>1411</v>
      </c>
      <c r="B515" s="67" t="s">
        <v>1441</v>
      </c>
      <c r="C515" s="67" t="s">
        <v>99</v>
      </c>
      <c r="D515" s="67" t="s">
        <v>1436</v>
      </c>
      <c r="E515" s="67" t="s">
        <v>1436</v>
      </c>
      <c r="F515" s="139" t="str">
        <f>F507</f>
        <v>Planed, dimensioned lumber</v>
      </c>
      <c r="G515" s="139" t="s">
        <v>190</v>
      </c>
      <c r="H515" s="139" t="s">
        <v>1438</v>
      </c>
      <c r="I515" s="139" t="s">
        <v>1438</v>
      </c>
      <c r="J515" s="143" t="s">
        <v>1027</v>
      </c>
      <c r="K515" s="228">
        <f t="shared" si="119"/>
        <v>22</v>
      </c>
      <c r="L515" s="269">
        <v>22</v>
      </c>
      <c r="M515" s="269"/>
      <c r="N515" s="269"/>
      <c r="O515" s="269">
        <v>1</v>
      </c>
      <c r="P515" s="269"/>
      <c r="Q515" s="269"/>
      <c r="R515" s="269"/>
      <c r="S515" s="66" t="s">
        <v>1442</v>
      </c>
      <c r="T515" s="70"/>
      <c r="U515" s="238">
        <f t="shared" si="120"/>
        <v>0.27837765957446808</v>
      </c>
      <c r="V515" s="238">
        <f t="shared" si="121"/>
        <v>0</v>
      </c>
      <c r="W515" s="238">
        <f t="shared" si="122"/>
        <v>0.27837765957446808</v>
      </c>
      <c r="X515" s="238">
        <f t="shared" si="123"/>
        <v>0</v>
      </c>
      <c r="Y515" s="238">
        <f t="shared" si="124"/>
        <v>0</v>
      </c>
      <c r="Z515" s="70">
        <v>0.27837765957446808</v>
      </c>
      <c r="AA515" s="70"/>
      <c r="AB515" s="70">
        <v>0.27837765957446808</v>
      </c>
      <c r="AC515" s="70">
        <v>0</v>
      </c>
      <c r="AD515" s="71">
        <v>0</v>
      </c>
      <c r="AE515" s="233"/>
      <c r="AF515" s="72"/>
      <c r="AG515" s="176">
        <v>22.625875000000001</v>
      </c>
      <c r="AH515" s="73">
        <v>6.2985381283244681</v>
      </c>
      <c r="AI515" s="73">
        <v>0</v>
      </c>
      <c r="AJ515" s="73">
        <v>6.2985381283244681</v>
      </c>
      <c r="AK515" s="73">
        <v>0</v>
      </c>
      <c r="AL515" s="129">
        <v>0</v>
      </c>
      <c r="AM515" s="202">
        <f t="shared" si="125"/>
        <v>3.8105753660661913E-4</v>
      </c>
      <c r="AN515" s="202">
        <f t="shared" si="126"/>
        <v>0</v>
      </c>
      <c r="AO515" s="202">
        <f t="shared" si="127"/>
        <v>3.8105753660661913E-4</v>
      </c>
      <c r="AP515" s="202">
        <f t="shared" si="128"/>
        <v>0</v>
      </c>
      <c r="AQ515" s="202">
        <f t="shared" si="129"/>
        <v>0</v>
      </c>
      <c r="AR515" s="217" t="s">
        <v>1411</v>
      </c>
      <c r="AS515" s="226" t="s">
        <v>1665</v>
      </c>
      <c r="AT515" s="234">
        <v>321113</v>
      </c>
      <c r="AU515" s="244">
        <f t="shared" si="130"/>
        <v>6.2985381283244681</v>
      </c>
      <c r="AV515" s="244">
        <f t="shared" si="131"/>
        <v>0</v>
      </c>
      <c r="AW515" s="244">
        <f t="shared" si="132"/>
        <v>6.2985381283244681</v>
      </c>
      <c r="AX515" s="244">
        <f t="shared" si="133"/>
        <v>0</v>
      </c>
      <c r="AY515" s="244">
        <f t="shared" si="134"/>
        <v>0</v>
      </c>
      <c r="AZ515">
        <v>1.4489390679375358E-2</v>
      </c>
    </row>
    <row r="516" spans="1:52" ht="15.75" customHeight="1" x14ac:dyDescent="0.35">
      <c r="A516" s="145" t="s">
        <v>1411</v>
      </c>
      <c r="B516" s="78" t="s">
        <v>1441</v>
      </c>
      <c r="C516" s="81" t="s">
        <v>270</v>
      </c>
      <c r="D516" s="78" t="s">
        <v>1427</v>
      </c>
      <c r="E516" s="78" t="s">
        <v>1439</v>
      </c>
      <c r="F516" s="145" t="s">
        <v>1443</v>
      </c>
      <c r="G516" s="145" t="s">
        <v>190</v>
      </c>
      <c r="H516" s="145" t="s">
        <v>1421</v>
      </c>
      <c r="I516" s="145" t="s">
        <v>1429</v>
      </c>
      <c r="J516" s="146" t="s">
        <v>1027</v>
      </c>
      <c r="K516" s="228">
        <f t="shared" si="119"/>
        <v>22</v>
      </c>
      <c r="L516" s="269">
        <v>22</v>
      </c>
      <c r="M516" s="269"/>
      <c r="N516" s="269"/>
      <c r="O516" s="269">
        <v>1</v>
      </c>
      <c r="P516" s="269"/>
      <c r="Q516" s="269"/>
      <c r="R516" s="269"/>
      <c r="S516" s="77" t="s">
        <v>1442</v>
      </c>
      <c r="T516" s="82"/>
      <c r="U516" s="238">
        <f t="shared" si="120"/>
        <v>0.13362127659574469</v>
      </c>
      <c r="V516" s="238">
        <f t="shared" si="121"/>
        <v>0</v>
      </c>
      <c r="W516" s="238">
        <f t="shared" si="122"/>
        <v>0.13362127659574469</v>
      </c>
      <c r="X516" s="238">
        <f t="shared" si="123"/>
        <v>0</v>
      </c>
      <c r="Y516" s="238">
        <f t="shared" si="124"/>
        <v>0</v>
      </c>
      <c r="Z516" s="70">
        <v>0.13362127659574469</v>
      </c>
      <c r="AA516" s="70"/>
      <c r="AB516" s="70">
        <v>0.13362127659574469</v>
      </c>
      <c r="AC516" s="70">
        <v>0</v>
      </c>
      <c r="AD516" s="71">
        <v>0</v>
      </c>
      <c r="AE516" s="81"/>
      <c r="AF516" s="84"/>
      <c r="AG516" s="175">
        <v>22.625875000000001</v>
      </c>
      <c r="AH516" s="85">
        <v>3.0232983015957449</v>
      </c>
      <c r="AI516" s="85">
        <v>0</v>
      </c>
      <c r="AJ516" s="85">
        <v>3.0232983015957449</v>
      </c>
      <c r="AK516" s="85">
        <v>0</v>
      </c>
      <c r="AL516" s="133">
        <v>0</v>
      </c>
      <c r="AM516" s="202">
        <f t="shared" si="125"/>
        <v>1.829076175711772E-4</v>
      </c>
      <c r="AN516" s="202">
        <f t="shared" si="126"/>
        <v>0</v>
      </c>
      <c r="AO516" s="202">
        <f t="shared" si="127"/>
        <v>1.829076175711772E-4</v>
      </c>
      <c r="AP516" s="202">
        <f t="shared" si="128"/>
        <v>0</v>
      </c>
      <c r="AQ516" s="202">
        <f t="shared" si="129"/>
        <v>0</v>
      </c>
      <c r="AR516" s="213" t="s">
        <v>1411</v>
      </c>
      <c r="AS516" s="226" t="s">
        <v>1665</v>
      </c>
      <c r="AT516" s="234">
        <v>321113</v>
      </c>
      <c r="AU516" s="244">
        <f t="shared" si="130"/>
        <v>3.0232983015957449</v>
      </c>
      <c r="AV516" s="244">
        <f t="shared" si="131"/>
        <v>0</v>
      </c>
      <c r="AW516" s="244">
        <f t="shared" si="132"/>
        <v>3.0232983015957449</v>
      </c>
      <c r="AX516" s="244">
        <f t="shared" si="133"/>
        <v>0</v>
      </c>
      <c r="AY516" s="244">
        <f t="shared" si="134"/>
        <v>0</v>
      </c>
      <c r="AZ516">
        <v>6.9549075261001727E-3</v>
      </c>
    </row>
    <row r="517" spans="1:52" ht="15.75" customHeight="1" x14ac:dyDescent="0.35">
      <c r="A517" s="56" t="s">
        <v>46</v>
      </c>
      <c r="B517" s="67" t="s">
        <v>1444</v>
      </c>
      <c r="C517" s="67" t="s">
        <v>48</v>
      </c>
      <c r="D517" s="67" t="s">
        <v>1445</v>
      </c>
      <c r="E517" s="67" t="s">
        <v>1446</v>
      </c>
      <c r="F517" s="67" t="s">
        <v>1447</v>
      </c>
      <c r="G517" s="67" t="s">
        <v>52</v>
      </c>
      <c r="H517" s="67" t="s">
        <v>578</v>
      </c>
      <c r="I517" s="67" t="s">
        <v>1448</v>
      </c>
      <c r="J517" s="105">
        <v>0.8</v>
      </c>
      <c r="K517" s="228">
        <f>AVERAGE(280,330)</f>
        <v>305</v>
      </c>
      <c r="L517" s="269" t="s">
        <v>1449</v>
      </c>
      <c r="M517" s="269"/>
      <c r="N517" s="269"/>
      <c r="O517" s="269" t="s">
        <v>1450</v>
      </c>
      <c r="P517" s="269"/>
      <c r="Q517" s="269"/>
      <c r="R517" s="269"/>
      <c r="S517" s="56" t="s">
        <v>1451</v>
      </c>
      <c r="T517" s="107"/>
      <c r="U517" s="238">
        <f t="shared" ref="U517:U548" si="137">ABS(Z517)</f>
        <v>0.84705864393387875</v>
      </c>
      <c r="V517" s="238">
        <f t="shared" ref="V517:V548" si="138">ABS(AA517)</f>
        <v>0</v>
      </c>
      <c r="W517" s="238">
        <f t="shared" ref="W517:W548" si="139">ABS(AB517)</f>
        <v>0.10930861351163799</v>
      </c>
      <c r="X517" s="238">
        <f t="shared" ref="X517:X548" si="140">ABS(AC517)</f>
        <v>0.24197473254292981</v>
      </c>
      <c r="Y517" s="238">
        <f t="shared" ref="Y517:Y548" si="141">ABS(AD517)</f>
        <v>0.49577529787931102</v>
      </c>
      <c r="Z517" s="82">
        <v>0.84705864393387875</v>
      </c>
      <c r="AA517" s="82"/>
      <c r="AB517" s="82">
        <v>0.10930861351163799</v>
      </c>
      <c r="AC517" s="82">
        <v>0.24197473254292981</v>
      </c>
      <c r="AD517" s="83">
        <v>0.49577529787931102</v>
      </c>
      <c r="AE517" s="233" t="s">
        <v>1452</v>
      </c>
      <c r="AF517" s="72" t="s">
        <v>1453</v>
      </c>
      <c r="AG517" s="169">
        <v>1.1399999999999999</v>
      </c>
      <c r="AH517" s="73">
        <v>0.9656468540846217</v>
      </c>
      <c r="AI517" s="73">
        <v>0</v>
      </c>
      <c r="AJ517" s="73">
        <v>0.12461181940326731</v>
      </c>
      <c r="AK517" s="73">
        <v>0.27585119509893996</v>
      </c>
      <c r="AL517" s="129">
        <v>0.56518383958241447</v>
      </c>
      <c r="AM517" s="202">
        <f t="shared" ref="AM517:AM548" si="142">AH517/16529.1</f>
        <v>5.8421018330376234E-5</v>
      </c>
      <c r="AN517" s="202">
        <f t="shared" ref="AN517:AN548" si="143">AI517/16529.1</f>
        <v>0</v>
      </c>
      <c r="AO517" s="202">
        <f t="shared" ref="AO517:AO548" si="144">AJ517/16529.1</f>
        <v>7.5389355381277452E-6</v>
      </c>
      <c r="AP517" s="202">
        <f t="shared" ref="AP517:AP548" si="145">AK517/16529.1</f>
        <v>1.6688821236421826E-5</v>
      </c>
      <c r="AQ517" s="202">
        <f t="shared" ref="AQ517:AQ548" si="146">AL517/16529.1</f>
        <v>3.4193261555826662E-5</v>
      </c>
      <c r="AR517" s="205" t="s">
        <v>46</v>
      </c>
      <c r="AS517" s="223" t="s">
        <v>1658</v>
      </c>
      <c r="AT517" s="234">
        <v>325110</v>
      </c>
      <c r="AU517" s="244">
        <f t="shared" ref="AU517:AU548" si="147">ABS(AH517)</f>
        <v>0.9656468540846217</v>
      </c>
      <c r="AV517" s="244">
        <f t="shared" ref="AV517:AV548" si="148">ABS(AI517)</f>
        <v>0</v>
      </c>
      <c r="AW517" s="244">
        <f t="shared" ref="AW517:AW548" si="149">ABS(AJ517)</f>
        <v>0.12461181940326731</v>
      </c>
      <c r="AX517" s="244">
        <f t="shared" ref="AX517:AX548" si="150">ABS(AK517)</f>
        <v>0.27585119509893996</v>
      </c>
      <c r="AY517" s="244">
        <f t="shared" ref="AY517:AY548" si="151">ABS(AL517)</f>
        <v>0.56518383958241447</v>
      </c>
      <c r="AZ517">
        <v>2.3130374007967368E-4</v>
      </c>
    </row>
    <row r="518" spans="1:52" ht="15.75" customHeight="1" x14ac:dyDescent="0.35">
      <c r="A518" s="66" t="s">
        <v>46</v>
      </c>
      <c r="B518" s="67" t="s">
        <v>1444</v>
      </c>
      <c r="C518" s="67" t="s">
        <v>74</v>
      </c>
      <c r="D518" s="67" t="s">
        <v>340</v>
      </c>
      <c r="E518" s="67" t="s">
        <v>1454</v>
      </c>
      <c r="F518" s="67" t="s">
        <v>1455</v>
      </c>
      <c r="G518" s="67" t="s">
        <v>52</v>
      </c>
      <c r="H518" s="67" t="s">
        <v>1456</v>
      </c>
      <c r="I518" s="67" t="s">
        <v>1457</v>
      </c>
      <c r="J518" s="105">
        <v>0.78</v>
      </c>
      <c r="K518" s="228">
        <v>35</v>
      </c>
      <c r="L518" s="269" t="s">
        <v>1458</v>
      </c>
      <c r="M518" s="269"/>
      <c r="N518" s="269"/>
      <c r="O518" s="269" t="s">
        <v>1459</v>
      </c>
      <c r="P518" s="269"/>
      <c r="Q518" s="269"/>
      <c r="R518" s="269"/>
      <c r="S518" s="66" t="s">
        <v>1451</v>
      </c>
      <c r="T518" s="107"/>
      <c r="U518" s="238">
        <f t="shared" si="137"/>
        <v>2.1118593259551632</v>
      </c>
      <c r="V518" s="238">
        <f t="shared" si="138"/>
        <v>0</v>
      </c>
      <c r="W518" s="238">
        <f t="shared" si="139"/>
        <v>0.13148717277486888</v>
      </c>
      <c r="X518" s="238">
        <f t="shared" si="140"/>
        <v>0.93151175234571482</v>
      </c>
      <c r="Y518" s="238">
        <f t="shared" si="141"/>
        <v>1.0488604008345794</v>
      </c>
      <c r="Z518" s="107">
        <v>2.1118593259551632</v>
      </c>
      <c r="AA518" s="107"/>
      <c r="AB518" s="107">
        <v>0.13148717277486888</v>
      </c>
      <c r="AC518" s="107">
        <v>0.93151175234571482</v>
      </c>
      <c r="AD518" s="72">
        <v>1.0488604008345794</v>
      </c>
      <c r="AE518" s="233"/>
      <c r="AF518" s="72"/>
      <c r="AG518" s="176">
        <v>1.1399999999999999</v>
      </c>
      <c r="AH518" s="73">
        <v>2.4075196315888858</v>
      </c>
      <c r="AI518" s="73">
        <v>0</v>
      </c>
      <c r="AJ518" s="73">
        <v>0.14989537696335051</v>
      </c>
      <c r="AK518" s="73">
        <v>1.0619233976741147</v>
      </c>
      <c r="AL518" s="129">
        <v>1.1957008569514205</v>
      </c>
      <c r="AM518" s="202">
        <f t="shared" si="142"/>
        <v>1.4565340106774635E-4</v>
      </c>
      <c r="AN518" s="202">
        <f t="shared" si="143"/>
        <v>0</v>
      </c>
      <c r="AO518" s="202">
        <f t="shared" si="144"/>
        <v>9.0685746328203296E-6</v>
      </c>
      <c r="AP518" s="202">
        <f t="shared" si="145"/>
        <v>6.4245687767278004E-5</v>
      </c>
      <c r="AQ518" s="202">
        <f t="shared" si="146"/>
        <v>7.2339138667648002E-5</v>
      </c>
      <c r="AR518" s="208" t="s">
        <v>46</v>
      </c>
      <c r="AS518" s="223" t="s">
        <v>1658</v>
      </c>
      <c r="AT518" s="234">
        <v>325110</v>
      </c>
      <c r="AU518" s="244">
        <f t="shared" si="147"/>
        <v>2.4075196315888858</v>
      </c>
      <c r="AV518" s="244">
        <f t="shared" si="148"/>
        <v>0</v>
      </c>
      <c r="AW518" s="244">
        <f t="shared" si="149"/>
        <v>0.14989537696335051</v>
      </c>
      <c r="AX518" s="244">
        <f t="shared" si="150"/>
        <v>1.0619233976741147</v>
      </c>
      <c r="AY518" s="244">
        <f t="shared" si="151"/>
        <v>1.1957008569514205</v>
      </c>
      <c r="AZ518">
        <v>5.7667903410675624E-4</v>
      </c>
    </row>
    <row r="519" spans="1:52" ht="15.75" customHeight="1" x14ac:dyDescent="0.35">
      <c r="A519" s="77" t="s">
        <v>46</v>
      </c>
      <c r="B519" s="78" t="s">
        <v>1444</v>
      </c>
      <c r="C519" s="78" t="s">
        <v>48</v>
      </c>
      <c r="D519" s="78" t="s">
        <v>1460</v>
      </c>
      <c r="E519" s="78" t="s">
        <v>1461</v>
      </c>
      <c r="F519" s="78" t="s">
        <v>1462</v>
      </c>
      <c r="G519" s="78" t="s">
        <v>52</v>
      </c>
      <c r="H519" s="78" t="s">
        <v>915</v>
      </c>
      <c r="I519" s="78" t="s">
        <v>1463</v>
      </c>
      <c r="J519" s="111">
        <v>0.75</v>
      </c>
      <c r="K519" s="228">
        <v>170</v>
      </c>
      <c r="L519" s="269"/>
      <c r="M519" s="269"/>
      <c r="N519" s="269"/>
      <c r="O519" s="269"/>
      <c r="P519" s="269"/>
      <c r="Q519" s="269"/>
      <c r="R519" s="269"/>
      <c r="S519" s="77" t="s">
        <v>1451</v>
      </c>
      <c r="T519" s="112"/>
      <c r="U519" s="238">
        <f t="shared" si="137"/>
        <v>7.1498820301109554</v>
      </c>
      <c r="V519" s="238">
        <f t="shared" si="138"/>
        <v>0</v>
      </c>
      <c r="W519" s="238">
        <f t="shared" si="139"/>
        <v>0.96951987636409342</v>
      </c>
      <c r="X519" s="238">
        <f t="shared" si="140"/>
        <v>4.5611327404896622</v>
      </c>
      <c r="Y519" s="238">
        <f t="shared" si="141"/>
        <v>1.6192294132571994</v>
      </c>
      <c r="Z519" s="107">
        <v>7.1498820301109554</v>
      </c>
      <c r="AA519" s="107"/>
      <c r="AB519" s="107">
        <v>0.96951987636409342</v>
      </c>
      <c r="AC519" s="107">
        <v>4.5611327404896622</v>
      </c>
      <c r="AD519" s="72">
        <v>1.6192294132571994</v>
      </c>
      <c r="AE519" s="81"/>
      <c r="AF519" s="84"/>
      <c r="AG519" s="175">
        <v>1.1399999999999999</v>
      </c>
      <c r="AH519" s="85">
        <v>8.1508655143264885</v>
      </c>
      <c r="AI519" s="85">
        <v>0</v>
      </c>
      <c r="AJ519" s="85">
        <v>1.1052526590550664</v>
      </c>
      <c r="AK519" s="85">
        <v>5.1996913241582146</v>
      </c>
      <c r="AL519" s="133">
        <v>1.8459215311132071</v>
      </c>
      <c r="AM519" s="202">
        <f t="shared" si="142"/>
        <v>4.931221611779522E-4</v>
      </c>
      <c r="AN519" s="202">
        <f t="shared" si="143"/>
        <v>0</v>
      </c>
      <c r="AO519" s="202">
        <f t="shared" si="144"/>
        <v>6.6867080425133033E-5</v>
      </c>
      <c r="AP519" s="202">
        <f t="shared" si="145"/>
        <v>3.1457800631360538E-4</v>
      </c>
      <c r="AQ519" s="202">
        <f t="shared" si="146"/>
        <v>1.1167707443921371E-4</v>
      </c>
      <c r="AR519" s="212" t="s">
        <v>46</v>
      </c>
      <c r="AS519" s="223" t="s">
        <v>1658</v>
      </c>
      <c r="AT519" s="234">
        <v>325110</v>
      </c>
      <c r="AU519" s="244">
        <f t="shared" si="147"/>
        <v>8.1508655143264885</v>
      </c>
      <c r="AV519" s="244">
        <f t="shared" si="148"/>
        <v>0</v>
      </c>
      <c r="AW519" s="244">
        <f t="shared" si="149"/>
        <v>1.1052526590550664</v>
      </c>
      <c r="AX519" s="244">
        <f t="shared" si="150"/>
        <v>5.1996913241582146</v>
      </c>
      <c r="AY519" s="244">
        <f t="shared" si="151"/>
        <v>1.8459215311132071</v>
      </c>
      <c r="AZ519">
        <v>1.9523966451869522E-3</v>
      </c>
    </row>
    <row r="520" spans="1:52" ht="15.75" customHeight="1" x14ac:dyDescent="0.35">
      <c r="A520" s="66" t="s">
        <v>46</v>
      </c>
      <c r="B520" s="67" t="s">
        <v>1464</v>
      </c>
      <c r="C520" s="67" t="s">
        <v>74</v>
      </c>
      <c r="D520" s="67" t="s">
        <v>340</v>
      </c>
      <c r="E520" s="67" t="s">
        <v>1454</v>
      </c>
      <c r="F520" s="67" t="s">
        <v>1465</v>
      </c>
      <c r="G520" s="67" t="s">
        <v>52</v>
      </c>
      <c r="H520" s="67" t="s">
        <v>1456</v>
      </c>
      <c r="I520" s="67" t="s">
        <v>1466</v>
      </c>
      <c r="J520" s="105">
        <v>0.78</v>
      </c>
      <c r="K520" s="228">
        <f t="shared" ref="K520:K548" si="152">L520*1</f>
        <v>120</v>
      </c>
      <c r="L520" s="269">
        <v>120</v>
      </c>
      <c r="M520" s="269"/>
      <c r="N520" s="269"/>
      <c r="O520" s="269" t="s">
        <v>1459</v>
      </c>
      <c r="P520" s="269"/>
      <c r="Q520" s="269"/>
      <c r="R520" s="269"/>
      <c r="S520" s="67" t="s">
        <v>1451</v>
      </c>
      <c r="T520" s="107"/>
      <c r="U520" s="238">
        <f t="shared" si="137"/>
        <v>1.9551143575953138</v>
      </c>
      <c r="V520" s="238">
        <f t="shared" si="138"/>
        <v>0</v>
      </c>
      <c r="W520" s="238">
        <f t="shared" si="139"/>
        <v>0.12870649088005348</v>
      </c>
      <c r="X520" s="238">
        <f t="shared" si="140"/>
        <v>0.85909125195977332</v>
      </c>
      <c r="Y520" s="238">
        <f t="shared" si="141"/>
        <v>0.96731661475548703</v>
      </c>
      <c r="Z520" s="112">
        <v>1.9551143575953138</v>
      </c>
      <c r="AA520" s="112"/>
      <c r="AB520" s="112">
        <v>0.12870649088005348</v>
      </c>
      <c r="AC520" s="112">
        <v>0.85909125195977332</v>
      </c>
      <c r="AD520" s="84">
        <v>0.96731661475548703</v>
      </c>
      <c r="AE520" s="233" t="s">
        <v>1452</v>
      </c>
      <c r="AF520" s="72" t="s">
        <v>1453</v>
      </c>
      <c r="AG520" s="73">
        <v>7.81</v>
      </c>
      <c r="AH520" s="73">
        <v>15.269443132819401</v>
      </c>
      <c r="AI520" s="73">
        <v>0</v>
      </c>
      <c r="AJ520" s="73">
        <v>1.0051976937732177</v>
      </c>
      <c r="AK520" s="73">
        <v>6.7095026778058289</v>
      </c>
      <c r="AL520" s="129">
        <v>7.5547427612403535</v>
      </c>
      <c r="AM520" s="202">
        <f t="shared" si="142"/>
        <v>9.2379156353457857E-4</v>
      </c>
      <c r="AN520" s="202">
        <f t="shared" si="143"/>
        <v>0</v>
      </c>
      <c r="AO520" s="202">
        <f t="shared" si="144"/>
        <v>6.0813818887490412E-5</v>
      </c>
      <c r="AP520" s="202">
        <f t="shared" si="145"/>
        <v>4.0592062954461098E-4</v>
      </c>
      <c r="AQ520" s="202">
        <f t="shared" si="146"/>
        <v>4.5705711510247711E-4</v>
      </c>
      <c r="AR520" s="208" t="s">
        <v>46</v>
      </c>
      <c r="AS520" s="223" t="s">
        <v>1658</v>
      </c>
      <c r="AT520" s="234">
        <v>325110</v>
      </c>
      <c r="AU520" s="244">
        <f t="shared" si="147"/>
        <v>15.269443132819401</v>
      </c>
      <c r="AV520" s="244">
        <f t="shared" si="148"/>
        <v>0</v>
      </c>
      <c r="AW520" s="244">
        <f t="shared" si="149"/>
        <v>1.0051976937732177</v>
      </c>
      <c r="AX520" s="244">
        <f t="shared" si="150"/>
        <v>6.7095026778058289</v>
      </c>
      <c r="AY520" s="244">
        <f t="shared" si="151"/>
        <v>7.5547427612403535</v>
      </c>
      <c r="AZ520">
        <v>3.6575268594470156E-3</v>
      </c>
    </row>
    <row r="521" spans="1:52" ht="15.75" customHeight="1" x14ac:dyDescent="0.35">
      <c r="A521" s="77" t="s">
        <v>46</v>
      </c>
      <c r="B521" s="78" t="s">
        <v>1464</v>
      </c>
      <c r="C521" s="78" t="s">
        <v>48</v>
      </c>
      <c r="D521" s="78" t="s">
        <v>1460</v>
      </c>
      <c r="E521" s="78" t="s">
        <v>1461</v>
      </c>
      <c r="F521" s="78" t="s">
        <v>1467</v>
      </c>
      <c r="G521" s="78" t="s">
        <v>52</v>
      </c>
      <c r="H521" s="78" t="s">
        <v>83</v>
      </c>
      <c r="I521" s="78" t="s">
        <v>1468</v>
      </c>
      <c r="J521" s="111">
        <v>0.75</v>
      </c>
      <c r="K521" s="228">
        <v>170</v>
      </c>
      <c r="L521" s="269"/>
      <c r="M521" s="269"/>
      <c r="N521" s="269"/>
      <c r="O521" s="269"/>
      <c r="P521" s="269"/>
      <c r="Q521" s="269"/>
      <c r="R521" s="269"/>
      <c r="S521" s="78" t="s">
        <v>1451</v>
      </c>
      <c r="T521" s="112"/>
      <c r="U521" s="238">
        <f t="shared" si="137"/>
        <v>6.6488856424046858</v>
      </c>
      <c r="V521" s="238">
        <f t="shared" si="138"/>
        <v>0</v>
      </c>
      <c r="W521" s="238">
        <f t="shared" si="139"/>
        <v>0.94901653516376783</v>
      </c>
      <c r="X521" s="238">
        <f t="shared" si="140"/>
        <v>4.2065268919202179</v>
      </c>
      <c r="Y521" s="238">
        <f t="shared" si="141"/>
        <v>1.4933422153206997</v>
      </c>
      <c r="Z521" s="107">
        <v>6.6488856424046858</v>
      </c>
      <c r="AA521" s="107"/>
      <c r="AB521" s="107">
        <v>0.94901653516376783</v>
      </c>
      <c r="AC521" s="107">
        <v>4.2065268919202179</v>
      </c>
      <c r="AD521" s="72">
        <v>1.4933422153206997</v>
      </c>
      <c r="AE521" s="81"/>
      <c r="AF521" s="84"/>
      <c r="AG521" s="85">
        <v>7.81</v>
      </c>
      <c r="AH521" s="85">
        <v>51.927796867180597</v>
      </c>
      <c r="AI521" s="85">
        <v>0</v>
      </c>
      <c r="AJ521" s="85">
        <v>7.4118191396290261</v>
      </c>
      <c r="AK521" s="85">
        <v>32.852975025896903</v>
      </c>
      <c r="AL521" s="85">
        <v>11.663002701654664</v>
      </c>
      <c r="AM521" s="202">
        <f t="shared" si="142"/>
        <v>3.1415985665995487E-3</v>
      </c>
      <c r="AN521" s="202">
        <f t="shared" si="143"/>
        <v>0</v>
      </c>
      <c r="AO521" s="202">
        <f t="shared" si="144"/>
        <v>4.4841032721860394E-4</v>
      </c>
      <c r="AP521" s="202">
        <f t="shared" si="145"/>
        <v>1.9875840200553512E-3</v>
      </c>
      <c r="AQ521" s="202">
        <f t="shared" si="146"/>
        <v>7.0560421932559336E-4</v>
      </c>
      <c r="AR521" s="212" t="s">
        <v>46</v>
      </c>
      <c r="AS521" s="223" t="s">
        <v>1658</v>
      </c>
      <c r="AT521" s="234">
        <v>325110</v>
      </c>
      <c r="AU521" s="244">
        <f t="shared" si="147"/>
        <v>51.927796867180597</v>
      </c>
      <c r="AV521" s="244">
        <f t="shared" si="148"/>
        <v>0</v>
      </c>
      <c r="AW521" s="244">
        <f t="shared" si="149"/>
        <v>7.4118191396290261</v>
      </c>
      <c r="AX521" s="244">
        <f t="shared" si="150"/>
        <v>32.852975025896903</v>
      </c>
      <c r="AY521" s="244">
        <f t="shared" si="151"/>
        <v>11.663002701654664</v>
      </c>
      <c r="AZ521">
        <v>1.2438391507899922E-2</v>
      </c>
    </row>
    <row r="522" spans="1:52" ht="15.75" customHeight="1" x14ac:dyDescent="0.35">
      <c r="A522" s="189" t="s">
        <v>46</v>
      </c>
      <c r="B522" s="190" t="s">
        <v>1469</v>
      </c>
      <c r="C522" s="190" t="s">
        <v>48</v>
      </c>
      <c r="D522" s="190" t="s">
        <v>1470</v>
      </c>
      <c r="E522" s="190" t="s">
        <v>1469</v>
      </c>
      <c r="F522" s="190" t="s">
        <v>1471</v>
      </c>
      <c r="G522" s="190" t="s">
        <v>52</v>
      </c>
      <c r="H522" s="190" t="s">
        <v>578</v>
      </c>
      <c r="I522" s="190" t="s">
        <v>1472</v>
      </c>
      <c r="J522" s="191" t="s">
        <v>835</v>
      </c>
      <c r="K522" s="228">
        <f>AVERAGE(350,530)</f>
        <v>440</v>
      </c>
      <c r="L522" s="269" t="s">
        <v>1473</v>
      </c>
      <c r="M522" s="269"/>
      <c r="N522" s="269"/>
      <c r="O522" s="269" t="s">
        <v>1474</v>
      </c>
      <c r="P522" s="269"/>
      <c r="Q522" s="269"/>
      <c r="R522" s="269"/>
      <c r="S522" s="190" t="s">
        <v>1451</v>
      </c>
      <c r="T522" s="192"/>
      <c r="U522" s="238">
        <f t="shared" si="137"/>
        <v>5.0845569942340259</v>
      </c>
      <c r="V522" s="238">
        <f t="shared" si="138"/>
        <v>0</v>
      </c>
      <c r="W522" s="238">
        <f t="shared" si="139"/>
        <v>8.4556994234025851E-2</v>
      </c>
      <c r="X522" s="238">
        <f t="shared" si="140"/>
        <v>5</v>
      </c>
      <c r="Y522" s="238">
        <f t="shared" si="141"/>
        <v>0</v>
      </c>
      <c r="Z522" s="112">
        <v>5.0845569942340259</v>
      </c>
      <c r="AA522" s="112"/>
      <c r="AB522" s="112">
        <v>8.4556994234025851E-2</v>
      </c>
      <c r="AC522" s="112">
        <v>5</v>
      </c>
      <c r="AD522" s="84"/>
      <c r="AE522" s="233" t="s">
        <v>1452</v>
      </c>
      <c r="AF522" s="72" t="s">
        <v>1453</v>
      </c>
      <c r="AG522" s="194">
        <v>1.18</v>
      </c>
      <c r="AH522" s="194">
        <v>5.9997772531961502</v>
      </c>
      <c r="AI522" s="194">
        <v>0</v>
      </c>
      <c r="AJ522" s="194">
        <v>9.9777253196150495E-2</v>
      </c>
      <c r="AK522" s="194">
        <v>5.8999999999999995</v>
      </c>
      <c r="AL522" s="194">
        <v>0</v>
      </c>
      <c r="AM522" s="202">
        <f t="shared" si="142"/>
        <v>3.6298269435094174E-4</v>
      </c>
      <c r="AN522" s="202">
        <f t="shared" si="143"/>
        <v>0</v>
      </c>
      <c r="AO522" s="202">
        <f t="shared" si="144"/>
        <v>6.0364601337126951E-6</v>
      </c>
      <c r="AP522" s="202">
        <f t="shared" si="145"/>
        <v>3.5694623421722902E-4</v>
      </c>
      <c r="AQ522" s="202">
        <f t="shared" si="146"/>
        <v>0</v>
      </c>
      <c r="AR522" s="219" t="s">
        <v>46</v>
      </c>
      <c r="AS522" s="223" t="s">
        <v>1658</v>
      </c>
      <c r="AT522" s="234">
        <v>325110</v>
      </c>
      <c r="AU522" s="244">
        <f t="shared" si="147"/>
        <v>5.9997772531961502</v>
      </c>
      <c r="AV522" s="244">
        <f t="shared" si="148"/>
        <v>0</v>
      </c>
      <c r="AW522" s="244">
        <f t="shared" si="149"/>
        <v>9.9777253196150495E-2</v>
      </c>
      <c r="AX522" s="244">
        <f t="shared" si="150"/>
        <v>5.8999999999999995</v>
      </c>
      <c r="AY522" s="244">
        <f t="shared" si="151"/>
        <v>0</v>
      </c>
      <c r="AZ522">
        <v>1.437141241064518E-3</v>
      </c>
    </row>
    <row r="523" spans="1:52" ht="15.75" customHeight="1" x14ac:dyDescent="0.35">
      <c r="A523" s="66" t="s">
        <v>46</v>
      </c>
      <c r="B523" s="67" t="s">
        <v>1475</v>
      </c>
      <c r="C523" s="67" t="s">
        <v>48</v>
      </c>
      <c r="D523" s="67" t="s">
        <v>848</v>
      </c>
      <c r="E523" s="67" t="s">
        <v>1475</v>
      </c>
      <c r="F523" s="67" t="s">
        <v>1476</v>
      </c>
      <c r="G523" s="67" t="s">
        <v>52</v>
      </c>
      <c r="H523" s="67" t="s">
        <v>578</v>
      </c>
      <c r="I523" s="67" t="s">
        <v>1477</v>
      </c>
      <c r="J523" s="105">
        <v>0.8</v>
      </c>
      <c r="K523" s="228">
        <f>AVERAGE(500,660)</f>
        <v>580</v>
      </c>
      <c r="L523" s="269" t="s">
        <v>1478</v>
      </c>
      <c r="M523" s="269"/>
      <c r="N523" s="269"/>
      <c r="O523" s="269" t="s">
        <v>1479</v>
      </c>
      <c r="P523" s="269"/>
      <c r="Q523" s="269"/>
      <c r="R523" s="269"/>
      <c r="S523" s="67" t="s">
        <v>1451</v>
      </c>
      <c r="T523" s="107"/>
      <c r="U523" s="238">
        <f t="shared" si="137"/>
        <v>3.1023855999999999</v>
      </c>
      <c r="V523" s="238">
        <f t="shared" si="138"/>
        <v>0</v>
      </c>
      <c r="W523" s="238">
        <f t="shared" si="139"/>
        <v>0.30238560000000003</v>
      </c>
      <c r="X523" s="238">
        <f t="shared" si="140"/>
        <v>2.8</v>
      </c>
      <c r="Y523" s="238">
        <f t="shared" si="141"/>
        <v>0</v>
      </c>
      <c r="Z523" s="192">
        <v>3.1023855999999999</v>
      </c>
      <c r="AA523" s="192"/>
      <c r="AB523" s="192">
        <v>0.30238560000000003</v>
      </c>
      <c r="AC523" s="192">
        <v>2.8</v>
      </c>
      <c r="AD523" s="193"/>
      <c r="AE523" s="191" t="s">
        <v>1452</v>
      </c>
      <c r="AF523" s="193" t="s">
        <v>1453</v>
      </c>
      <c r="AG523" s="73">
        <v>0.05</v>
      </c>
      <c r="AH523" s="73">
        <v>0.15511928</v>
      </c>
      <c r="AI523" s="73">
        <v>0</v>
      </c>
      <c r="AJ523" s="73">
        <v>1.5119280000000002E-2</v>
      </c>
      <c r="AK523" s="73">
        <v>0.13999999999999999</v>
      </c>
      <c r="AL523" s="73">
        <v>0</v>
      </c>
      <c r="AM523" s="202">
        <f t="shared" si="142"/>
        <v>9.3846174322860901E-6</v>
      </c>
      <c r="AN523" s="202">
        <f t="shared" si="143"/>
        <v>0</v>
      </c>
      <c r="AO523" s="202">
        <f t="shared" si="144"/>
        <v>9.1470678984336737E-7</v>
      </c>
      <c r="AP523" s="202">
        <f t="shared" si="145"/>
        <v>8.4699106424427224E-6</v>
      </c>
      <c r="AQ523" s="202">
        <f t="shared" si="146"/>
        <v>0</v>
      </c>
      <c r="AR523" s="208" t="s">
        <v>46</v>
      </c>
      <c r="AS523" s="223" t="s">
        <v>1658</v>
      </c>
      <c r="AT523" s="234">
        <v>325110</v>
      </c>
      <c r="AU523" s="244">
        <f t="shared" si="147"/>
        <v>0.15511928</v>
      </c>
      <c r="AV523" s="244">
        <f t="shared" si="148"/>
        <v>0</v>
      </c>
      <c r="AW523" s="244">
        <f t="shared" si="149"/>
        <v>1.5119280000000002E-2</v>
      </c>
      <c r="AX523" s="244">
        <f t="shared" si="150"/>
        <v>0.13999999999999999</v>
      </c>
      <c r="AY523" s="244">
        <f t="shared" si="151"/>
        <v>0</v>
      </c>
      <c r="AZ523">
        <v>3.7156098495736322E-5</v>
      </c>
    </row>
    <row r="524" spans="1:52" ht="15.75" customHeight="1" x14ac:dyDescent="0.35">
      <c r="A524" s="195" t="s">
        <v>1480</v>
      </c>
      <c r="B524" s="195" t="s">
        <v>1481</v>
      </c>
      <c r="C524" s="195" t="s">
        <v>92</v>
      </c>
      <c r="D524" s="195" t="s">
        <v>1482</v>
      </c>
      <c r="E524" s="195" t="s">
        <v>1483</v>
      </c>
      <c r="F524" s="195" t="s">
        <v>1484</v>
      </c>
      <c r="G524" s="195" t="s">
        <v>52</v>
      </c>
      <c r="H524" s="195" t="s">
        <v>1485</v>
      </c>
      <c r="I524" s="195" t="s">
        <v>1486</v>
      </c>
      <c r="J524" s="196"/>
      <c r="K524" s="228">
        <v>25</v>
      </c>
      <c r="L524" s="269"/>
      <c r="M524" s="269"/>
      <c r="N524" s="269"/>
      <c r="O524" s="269"/>
      <c r="P524" s="269"/>
      <c r="Q524" s="269"/>
      <c r="R524" s="269"/>
      <c r="S524" s="56" t="s">
        <v>1487</v>
      </c>
      <c r="T524" s="116"/>
      <c r="U524" s="238">
        <f t="shared" si="137"/>
        <v>0.17399999999999999</v>
      </c>
      <c r="V524" s="238">
        <f t="shared" si="138"/>
        <v>0</v>
      </c>
      <c r="W524" s="238">
        <f t="shared" si="139"/>
        <v>0.17399999999999999</v>
      </c>
      <c r="X524" s="238">
        <f t="shared" si="140"/>
        <v>0</v>
      </c>
      <c r="Y524" s="238">
        <f t="shared" si="141"/>
        <v>0</v>
      </c>
      <c r="Z524" s="107">
        <v>0.17399999999999999</v>
      </c>
      <c r="AA524" s="107"/>
      <c r="AB524" s="107">
        <v>0.17399999999999999</v>
      </c>
      <c r="AC524" s="107"/>
      <c r="AD524" s="72"/>
      <c r="AE524" s="59"/>
      <c r="AF524" s="62"/>
      <c r="AG524" s="56">
        <v>11.315</v>
      </c>
      <c r="AH524" s="57">
        <v>1.968</v>
      </c>
      <c r="AI524" s="57">
        <v>0</v>
      </c>
      <c r="AJ524" s="57">
        <v>1.968</v>
      </c>
      <c r="AK524" s="57">
        <v>0</v>
      </c>
      <c r="AL524" s="57">
        <v>0</v>
      </c>
      <c r="AM524" s="202">
        <f t="shared" si="142"/>
        <v>1.1906274388805199E-4</v>
      </c>
      <c r="AN524" s="202">
        <f t="shared" si="143"/>
        <v>0</v>
      </c>
      <c r="AO524" s="202">
        <f t="shared" si="144"/>
        <v>1.1906274388805199E-4</v>
      </c>
      <c r="AP524" s="202">
        <f t="shared" si="145"/>
        <v>0</v>
      </c>
      <c r="AQ524" s="202">
        <f t="shared" si="146"/>
        <v>0</v>
      </c>
      <c r="AR524" s="220" t="s">
        <v>1480</v>
      </c>
      <c r="AS524" s="222" t="s">
        <v>1666</v>
      </c>
      <c r="AT524" s="234">
        <v>336110</v>
      </c>
      <c r="AU524" s="244">
        <f t="shared" si="147"/>
        <v>1.968</v>
      </c>
      <c r="AV524" s="244">
        <f t="shared" si="148"/>
        <v>0</v>
      </c>
      <c r="AW524" s="244">
        <f t="shared" si="149"/>
        <v>1.968</v>
      </c>
      <c r="AX524" s="244">
        <f t="shared" si="150"/>
        <v>0</v>
      </c>
      <c r="AY524" s="244">
        <f t="shared" si="151"/>
        <v>0</v>
      </c>
      <c r="AZ524">
        <v>6.1654135338345866E-3</v>
      </c>
    </row>
    <row r="525" spans="1:52" ht="15.75" customHeight="1" x14ac:dyDescent="0.35">
      <c r="A525" s="110" t="s">
        <v>1480</v>
      </c>
      <c r="B525" s="110" t="s">
        <v>1481</v>
      </c>
      <c r="C525" s="233" t="s">
        <v>88</v>
      </c>
      <c r="D525" s="110" t="s">
        <v>1488</v>
      </c>
      <c r="E525" s="110" t="s">
        <v>1489</v>
      </c>
      <c r="F525" s="110" t="s">
        <v>1490</v>
      </c>
      <c r="G525" s="110" t="s">
        <v>52</v>
      </c>
      <c r="H525" s="110" t="s">
        <v>1491</v>
      </c>
      <c r="I525" s="110" t="s">
        <v>1492</v>
      </c>
      <c r="J525" s="197"/>
      <c r="K525" s="228">
        <v>25</v>
      </c>
      <c r="L525" s="269"/>
      <c r="M525" s="269"/>
      <c r="N525" s="269"/>
      <c r="O525" s="269"/>
      <c r="P525" s="269"/>
      <c r="Q525" s="269"/>
      <c r="R525" s="269"/>
      <c r="S525" s="66" t="s">
        <v>1487</v>
      </c>
      <c r="T525" s="107"/>
      <c r="U525" s="238">
        <f t="shared" si="137"/>
        <v>0.127</v>
      </c>
      <c r="V525" s="238">
        <f t="shared" si="138"/>
        <v>0</v>
      </c>
      <c r="W525" s="238">
        <f t="shared" si="139"/>
        <v>0.127</v>
      </c>
      <c r="X525" s="238">
        <f t="shared" si="140"/>
        <v>0</v>
      </c>
      <c r="Y525" s="238">
        <f t="shared" si="141"/>
        <v>0</v>
      </c>
      <c r="Z525" s="116">
        <v>0.127</v>
      </c>
      <c r="AA525" s="116"/>
      <c r="AB525" s="116">
        <v>0.127</v>
      </c>
      <c r="AC525" s="116"/>
      <c r="AD525" s="62"/>
      <c r="AE525" s="233"/>
      <c r="AF525" s="72"/>
      <c r="AG525" s="66">
        <v>11.315</v>
      </c>
      <c r="AH525" s="67">
        <v>1.4359999999999999</v>
      </c>
      <c r="AI525" s="67">
        <v>0</v>
      </c>
      <c r="AJ525" s="67">
        <v>1.4359999999999999</v>
      </c>
      <c r="AK525" s="67">
        <v>0</v>
      </c>
      <c r="AL525" s="67">
        <v>0</v>
      </c>
      <c r="AM525" s="202">
        <f t="shared" si="142"/>
        <v>8.6877083446769638E-5</v>
      </c>
      <c r="AN525" s="202">
        <f t="shared" si="143"/>
        <v>0</v>
      </c>
      <c r="AO525" s="202">
        <f t="shared" si="144"/>
        <v>8.6877083446769638E-5</v>
      </c>
      <c r="AP525" s="202">
        <f t="shared" si="145"/>
        <v>0</v>
      </c>
      <c r="AQ525" s="202">
        <f t="shared" si="146"/>
        <v>0</v>
      </c>
      <c r="AR525" s="215" t="s">
        <v>1480</v>
      </c>
      <c r="AS525" s="222" t="s">
        <v>1666</v>
      </c>
      <c r="AT525" s="234">
        <v>336110</v>
      </c>
      <c r="AU525" s="244">
        <f t="shared" si="147"/>
        <v>1.4359999999999999</v>
      </c>
      <c r="AV525" s="244">
        <f t="shared" si="148"/>
        <v>0</v>
      </c>
      <c r="AW525" s="244">
        <f t="shared" si="149"/>
        <v>1.4359999999999999</v>
      </c>
      <c r="AX525" s="244">
        <f t="shared" si="150"/>
        <v>0</v>
      </c>
      <c r="AY525" s="244">
        <f t="shared" si="151"/>
        <v>0</v>
      </c>
      <c r="AZ525">
        <v>4.4987468671679196E-3</v>
      </c>
    </row>
    <row r="526" spans="1:52" ht="15.75" customHeight="1" x14ac:dyDescent="0.35">
      <c r="A526" s="110" t="s">
        <v>1480</v>
      </c>
      <c r="B526" s="110" t="s">
        <v>1481</v>
      </c>
      <c r="C526" s="110" t="s">
        <v>149</v>
      </c>
      <c r="D526" s="110" t="s">
        <v>977</v>
      </c>
      <c r="E526" s="110" t="s">
        <v>1493</v>
      </c>
      <c r="F526" s="110" t="s">
        <v>1494</v>
      </c>
      <c r="G526" s="110" t="s">
        <v>52</v>
      </c>
      <c r="H526" s="110" t="s">
        <v>711</v>
      </c>
      <c r="I526" s="110" t="s">
        <v>1495</v>
      </c>
      <c r="J526" s="197"/>
      <c r="K526" s="228">
        <v>25</v>
      </c>
      <c r="L526" s="269"/>
      <c r="M526" s="269"/>
      <c r="N526" s="269"/>
      <c r="O526" s="269"/>
      <c r="P526" s="269"/>
      <c r="Q526" s="269"/>
      <c r="R526" s="269"/>
      <c r="S526" s="66" t="s">
        <v>1487</v>
      </c>
      <c r="T526" s="107"/>
      <c r="U526" s="238">
        <f t="shared" si="137"/>
        <v>0.193</v>
      </c>
      <c r="V526" s="238">
        <f t="shared" si="138"/>
        <v>0</v>
      </c>
      <c r="W526" s="238">
        <f t="shared" si="139"/>
        <v>0.193</v>
      </c>
      <c r="X526" s="238">
        <f t="shared" si="140"/>
        <v>0</v>
      </c>
      <c r="Y526" s="238">
        <f t="shared" si="141"/>
        <v>0</v>
      </c>
      <c r="Z526" s="107">
        <v>0.193</v>
      </c>
      <c r="AA526" s="107"/>
      <c r="AB526" s="107">
        <v>0.193</v>
      </c>
      <c r="AC526" s="107"/>
      <c r="AD526" s="72"/>
      <c r="AE526" s="233"/>
      <c r="AF526" s="72"/>
      <c r="AG526" s="66">
        <v>11.315</v>
      </c>
      <c r="AH526" s="67">
        <v>2.181</v>
      </c>
      <c r="AI526" s="67">
        <v>0</v>
      </c>
      <c r="AJ526" s="67">
        <v>2.181</v>
      </c>
      <c r="AK526" s="67">
        <v>0</v>
      </c>
      <c r="AL526" s="67">
        <v>0</v>
      </c>
      <c r="AM526" s="202">
        <f t="shared" si="142"/>
        <v>1.3194910793691127E-4</v>
      </c>
      <c r="AN526" s="202">
        <f t="shared" si="143"/>
        <v>0</v>
      </c>
      <c r="AO526" s="202">
        <f t="shared" si="144"/>
        <v>1.3194910793691127E-4</v>
      </c>
      <c r="AP526" s="202">
        <f t="shared" si="145"/>
        <v>0</v>
      </c>
      <c r="AQ526" s="202">
        <f t="shared" si="146"/>
        <v>0</v>
      </c>
      <c r="AR526" s="215" t="s">
        <v>1480</v>
      </c>
      <c r="AS526" s="222" t="s">
        <v>1666</v>
      </c>
      <c r="AT526" s="234">
        <v>336110</v>
      </c>
      <c r="AU526" s="244">
        <f t="shared" si="147"/>
        <v>2.181</v>
      </c>
      <c r="AV526" s="244">
        <f t="shared" si="148"/>
        <v>0</v>
      </c>
      <c r="AW526" s="244">
        <f t="shared" si="149"/>
        <v>2.181</v>
      </c>
      <c r="AX526" s="244">
        <f t="shared" si="150"/>
        <v>0</v>
      </c>
      <c r="AY526" s="244">
        <f t="shared" si="151"/>
        <v>0</v>
      </c>
      <c r="AZ526">
        <v>6.8327067669172936E-3</v>
      </c>
    </row>
    <row r="527" spans="1:52" ht="15.75" customHeight="1" x14ac:dyDescent="0.35">
      <c r="A527" s="110" t="s">
        <v>1480</v>
      </c>
      <c r="B527" s="110" t="s">
        <v>1481</v>
      </c>
      <c r="C527" s="120" t="s">
        <v>88</v>
      </c>
      <c r="D527" s="198" t="s">
        <v>1496</v>
      </c>
      <c r="E527" s="110" t="s">
        <v>1497</v>
      </c>
      <c r="F527" s="110" t="s">
        <v>1498</v>
      </c>
      <c r="G527" s="110" t="s">
        <v>52</v>
      </c>
      <c r="H527" s="110" t="s">
        <v>1499</v>
      </c>
      <c r="I527" s="110" t="s">
        <v>1500</v>
      </c>
      <c r="J527" s="197"/>
      <c r="K527" s="228">
        <v>25</v>
      </c>
      <c r="L527" s="269"/>
      <c r="M527" s="269"/>
      <c r="N527" s="269"/>
      <c r="O527" s="269"/>
      <c r="P527" s="269"/>
      <c r="Q527" s="269"/>
      <c r="R527" s="269"/>
      <c r="S527" s="66" t="s">
        <v>1487</v>
      </c>
      <c r="T527" s="107"/>
      <c r="U527" s="238">
        <f t="shared" si="137"/>
        <v>0.35599999999999998</v>
      </c>
      <c r="V527" s="238">
        <f t="shared" si="138"/>
        <v>0</v>
      </c>
      <c r="W527" s="238">
        <f t="shared" si="139"/>
        <v>0.35599999999999998</v>
      </c>
      <c r="X527" s="238">
        <f t="shared" si="140"/>
        <v>0</v>
      </c>
      <c r="Y527" s="238">
        <f t="shared" si="141"/>
        <v>0</v>
      </c>
      <c r="Z527" s="107">
        <v>0.35599999999999998</v>
      </c>
      <c r="AA527" s="107"/>
      <c r="AB527" s="107">
        <v>0.35599999999999998</v>
      </c>
      <c r="AC527" s="107"/>
      <c r="AD527" s="72"/>
      <c r="AE527" s="233"/>
      <c r="AF527" s="72"/>
      <c r="AG527" s="66">
        <v>11.315</v>
      </c>
      <c r="AH527" s="67">
        <v>4.0259999999999998</v>
      </c>
      <c r="AI527" s="67">
        <v>0</v>
      </c>
      <c r="AJ527" s="67">
        <v>4.0259999999999998</v>
      </c>
      <c r="AK527" s="67">
        <v>0</v>
      </c>
      <c r="AL527" s="67">
        <v>0</v>
      </c>
      <c r="AM527" s="202">
        <f t="shared" si="142"/>
        <v>2.4357043033196001E-4</v>
      </c>
      <c r="AN527" s="202">
        <f t="shared" si="143"/>
        <v>0</v>
      </c>
      <c r="AO527" s="202">
        <f t="shared" si="144"/>
        <v>2.4357043033196001E-4</v>
      </c>
      <c r="AP527" s="202">
        <f t="shared" si="145"/>
        <v>0</v>
      </c>
      <c r="AQ527" s="202">
        <f t="shared" si="146"/>
        <v>0</v>
      </c>
      <c r="AR527" s="215" t="s">
        <v>1480</v>
      </c>
      <c r="AS527" s="222" t="s">
        <v>1666</v>
      </c>
      <c r="AT527" s="234">
        <v>336110</v>
      </c>
      <c r="AU527" s="244">
        <f t="shared" si="147"/>
        <v>4.0259999999999998</v>
      </c>
      <c r="AV527" s="244">
        <f t="shared" si="148"/>
        <v>0</v>
      </c>
      <c r="AW527" s="244">
        <f t="shared" si="149"/>
        <v>4.0259999999999998</v>
      </c>
      <c r="AX527" s="244">
        <f t="shared" si="150"/>
        <v>0</v>
      </c>
      <c r="AY527" s="244">
        <f t="shared" si="151"/>
        <v>0</v>
      </c>
      <c r="AZ527">
        <v>1.2612781954887218E-2</v>
      </c>
    </row>
    <row r="528" spans="1:52" ht="15.75" customHeight="1" x14ac:dyDescent="0.35">
      <c r="A528" s="110" t="s">
        <v>1480</v>
      </c>
      <c r="B528" s="110" t="s">
        <v>1481</v>
      </c>
      <c r="C528" s="233" t="s">
        <v>88</v>
      </c>
      <c r="D528" s="110" t="s">
        <v>334</v>
      </c>
      <c r="E528" s="110" t="s">
        <v>1501</v>
      </c>
      <c r="F528" s="110" t="s">
        <v>1494</v>
      </c>
      <c r="G528" s="110" t="s">
        <v>52</v>
      </c>
      <c r="H528" s="110" t="s">
        <v>1502</v>
      </c>
      <c r="I528" s="110" t="s">
        <v>1503</v>
      </c>
      <c r="J528" s="197"/>
      <c r="K528" s="228">
        <f t="shared" si="152"/>
        <v>23</v>
      </c>
      <c r="L528" s="269">
        <v>23</v>
      </c>
      <c r="M528" s="269">
        <v>23</v>
      </c>
      <c r="N528" s="269">
        <v>23</v>
      </c>
      <c r="O528" s="269"/>
      <c r="P528" s="269"/>
      <c r="Q528" s="269"/>
      <c r="R528" s="269"/>
      <c r="S528" s="66" t="s">
        <v>1487</v>
      </c>
      <c r="T528" s="107"/>
      <c r="U528" s="238">
        <f t="shared" si="137"/>
        <v>1.5229999999999999</v>
      </c>
      <c r="V528" s="238">
        <f t="shared" si="138"/>
        <v>0</v>
      </c>
      <c r="W528" s="238">
        <f t="shared" si="139"/>
        <v>0.33</v>
      </c>
      <c r="X528" s="238">
        <f t="shared" si="140"/>
        <v>1.1930000000000001</v>
      </c>
      <c r="Y528" s="238">
        <f t="shared" si="141"/>
        <v>0</v>
      </c>
      <c r="Z528" s="107">
        <v>1.5229999999999999</v>
      </c>
      <c r="AA528" s="107"/>
      <c r="AB528" s="107">
        <v>0.33</v>
      </c>
      <c r="AC528" s="107">
        <v>1.1930000000000001</v>
      </c>
      <c r="AD528" s="72"/>
      <c r="AE528" s="233"/>
      <c r="AF528" s="72"/>
      <c r="AG528" s="66">
        <v>11.315</v>
      </c>
      <c r="AH528" s="67">
        <v>17.23</v>
      </c>
      <c r="AI528" s="67">
        <v>0</v>
      </c>
      <c r="AJ528" s="67">
        <v>3.73</v>
      </c>
      <c r="AK528" s="67">
        <v>13.500999999999999</v>
      </c>
      <c r="AL528" s="67">
        <v>0</v>
      </c>
      <c r="AM528" s="202">
        <f t="shared" si="142"/>
        <v>1.0424040026377722E-3</v>
      </c>
      <c r="AN528" s="202">
        <f t="shared" si="143"/>
        <v>0</v>
      </c>
      <c r="AO528" s="202">
        <f t="shared" si="144"/>
        <v>2.2566261925936683E-4</v>
      </c>
      <c r="AP528" s="202">
        <f t="shared" si="145"/>
        <v>8.1680188274013709E-4</v>
      </c>
      <c r="AQ528" s="202">
        <f t="shared" si="146"/>
        <v>0</v>
      </c>
      <c r="AR528" s="215" t="s">
        <v>1480</v>
      </c>
      <c r="AS528" s="222" t="s">
        <v>1666</v>
      </c>
      <c r="AT528" s="234">
        <v>336110</v>
      </c>
      <c r="AU528" s="244">
        <f t="shared" si="147"/>
        <v>17.23</v>
      </c>
      <c r="AV528" s="244">
        <f t="shared" si="148"/>
        <v>0</v>
      </c>
      <c r="AW528" s="244">
        <f t="shared" si="149"/>
        <v>3.73</v>
      </c>
      <c r="AX528" s="244">
        <f t="shared" si="150"/>
        <v>13.500999999999999</v>
      </c>
      <c r="AY528" s="244">
        <f t="shared" si="151"/>
        <v>0</v>
      </c>
      <c r="AZ528">
        <v>5.397869674185464E-2</v>
      </c>
    </row>
    <row r="529" spans="1:52" ht="15.75" customHeight="1" x14ac:dyDescent="0.35">
      <c r="A529" s="110" t="s">
        <v>1480</v>
      </c>
      <c r="B529" s="110" t="s">
        <v>1481</v>
      </c>
      <c r="C529" s="233" t="s">
        <v>88</v>
      </c>
      <c r="D529" s="110" t="s">
        <v>334</v>
      </c>
      <c r="E529" s="110" t="s">
        <v>1504</v>
      </c>
      <c r="F529" s="110" t="s">
        <v>1494</v>
      </c>
      <c r="G529" s="110" t="s">
        <v>52</v>
      </c>
      <c r="H529" s="110" t="s">
        <v>1505</v>
      </c>
      <c r="I529" s="110" t="s">
        <v>1506</v>
      </c>
      <c r="J529" s="197"/>
      <c r="K529" s="228">
        <f t="shared" si="152"/>
        <v>40</v>
      </c>
      <c r="L529" s="269">
        <v>40</v>
      </c>
      <c r="M529" s="269">
        <v>23</v>
      </c>
      <c r="N529" s="269">
        <v>40</v>
      </c>
      <c r="O529" s="269"/>
      <c r="P529" s="269"/>
      <c r="Q529" s="269"/>
      <c r="R529" s="269"/>
      <c r="S529" s="66" t="s">
        <v>1487</v>
      </c>
      <c r="T529" s="107"/>
      <c r="U529" s="238">
        <f t="shared" si="137"/>
        <v>1.153</v>
      </c>
      <c r="V529" s="238">
        <f t="shared" si="138"/>
        <v>0</v>
      </c>
      <c r="W529" s="238">
        <f t="shared" si="139"/>
        <v>0.18099999999999999</v>
      </c>
      <c r="X529" s="238">
        <f t="shared" si="140"/>
        <v>0.97199999999999998</v>
      </c>
      <c r="Y529" s="238">
        <f t="shared" si="141"/>
        <v>0</v>
      </c>
      <c r="Z529" s="107">
        <v>1.153</v>
      </c>
      <c r="AA529" s="107"/>
      <c r="AB529" s="107">
        <v>0.18099999999999999</v>
      </c>
      <c r="AC529" s="107">
        <v>0.97199999999999998</v>
      </c>
      <c r="AD529" s="72"/>
      <c r="AE529" s="233"/>
      <c r="AF529" s="72"/>
      <c r="AG529" s="66">
        <v>11.315</v>
      </c>
      <c r="AH529" s="67">
        <v>13.048</v>
      </c>
      <c r="AI529" s="67">
        <v>0</v>
      </c>
      <c r="AJ529" s="67">
        <v>2.0489999999999999</v>
      </c>
      <c r="AK529" s="67">
        <v>10.999000000000001</v>
      </c>
      <c r="AL529" s="67">
        <v>0</v>
      </c>
      <c r="AM529" s="202">
        <f t="shared" si="142"/>
        <v>7.893956718756618E-4</v>
      </c>
      <c r="AN529" s="202">
        <f t="shared" si="143"/>
        <v>0</v>
      </c>
      <c r="AO529" s="202">
        <f t="shared" si="144"/>
        <v>1.2396319218832243E-4</v>
      </c>
      <c r="AP529" s="202">
        <f t="shared" si="145"/>
        <v>6.6543247968733942E-4</v>
      </c>
      <c r="AQ529" s="202">
        <f t="shared" si="146"/>
        <v>0</v>
      </c>
      <c r="AR529" s="215" t="s">
        <v>1480</v>
      </c>
      <c r="AS529" s="222" t="s">
        <v>1666</v>
      </c>
      <c r="AT529" s="234">
        <v>336110</v>
      </c>
      <c r="AU529" s="244">
        <f t="shared" si="147"/>
        <v>13.048</v>
      </c>
      <c r="AV529" s="244">
        <f t="shared" si="148"/>
        <v>0</v>
      </c>
      <c r="AW529" s="244">
        <f t="shared" si="149"/>
        <v>2.0489999999999999</v>
      </c>
      <c r="AX529" s="244">
        <f t="shared" si="150"/>
        <v>10.999000000000001</v>
      </c>
      <c r="AY529" s="244">
        <f t="shared" si="151"/>
        <v>0</v>
      </c>
      <c r="AZ529">
        <v>4.0877192982456144E-2</v>
      </c>
    </row>
    <row r="530" spans="1:52" ht="15.75" customHeight="1" x14ac:dyDescent="0.35">
      <c r="A530" s="110" t="s">
        <v>1480</v>
      </c>
      <c r="B530" s="110" t="s">
        <v>1481</v>
      </c>
      <c r="C530" s="110" t="s">
        <v>74</v>
      </c>
      <c r="D530" s="110" t="s">
        <v>75</v>
      </c>
      <c r="E530" s="110" t="s">
        <v>1507</v>
      </c>
      <c r="F530" s="110" t="s">
        <v>1494</v>
      </c>
      <c r="G530" s="110" t="s">
        <v>52</v>
      </c>
      <c r="H530" s="110" t="s">
        <v>76</v>
      </c>
      <c r="I530" s="110" t="s">
        <v>1508</v>
      </c>
      <c r="J530" s="76" t="s">
        <v>78</v>
      </c>
      <c r="K530" s="228">
        <f t="shared" si="152"/>
        <v>50</v>
      </c>
      <c r="L530" s="269">
        <v>50</v>
      </c>
      <c r="M530" s="269">
        <v>40</v>
      </c>
      <c r="N530" s="269">
        <v>50</v>
      </c>
      <c r="O530" s="269"/>
      <c r="P530" s="269"/>
      <c r="Q530" s="269"/>
      <c r="R530" s="269"/>
      <c r="S530" s="66" t="s">
        <v>1487</v>
      </c>
      <c r="T530" s="107"/>
      <c r="U530" s="238">
        <f t="shared" si="137"/>
        <v>0.35299999999999998</v>
      </c>
      <c r="V530" s="238">
        <f t="shared" si="138"/>
        <v>0</v>
      </c>
      <c r="W530" s="238">
        <f t="shared" si="139"/>
        <v>0.27900000000000003</v>
      </c>
      <c r="X530" s="238">
        <f t="shared" si="140"/>
        <v>7.3999999999999996E-2</v>
      </c>
      <c r="Y530" s="238">
        <f t="shared" si="141"/>
        <v>0</v>
      </c>
      <c r="Z530" s="107">
        <v>0.35299999999999998</v>
      </c>
      <c r="AA530" s="107"/>
      <c r="AB530" s="107">
        <v>0.27900000000000003</v>
      </c>
      <c r="AC530" s="107">
        <v>7.3999999999999996E-2</v>
      </c>
      <c r="AD530" s="72"/>
      <c r="AE530" s="233"/>
      <c r="AF530" s="72"/>
      <c r="AG530" s="176">
        <v>11.315</v>
      </c>
      <c r="AH530" s="67">
        <v>3.9929999999999999</v>
      </c>
      <c r="AI530" s="67">
        <v>0</v>
      </c>
      <c r="AJ530" s="67">
        <v>3.1520000000000001</v>
      </c>
      <c r="AK530" s="67">
        <v>0.84099999999999997</v>
      </c>
      <c r="AL530" s="67">
        <v>0</v>
      </c>
      <c r="AM530" s="202">
        <f t="shared" si="142"/>
        <v>2.4157395139481281E-4</v>
      </c>
      <c r="AN530" s="202">
        <f t="shared" si="143"/>
        <v>0</v>
      </c>
      <c r="AO530" s="202">
        <f t="shared" si="144"/>
        <v>1.9069398817842475E-4</v>
      </c>
      <c r="AP530" s="202">
        <f t="shared" si="145"/>
        <v>5.0879963216388071E-5</v>
      </c>
      <c r="AQ530" s="202">
        <f t="shared" si="146"/>
        <v>0</v>
      </c>
      <c r="AR530" s="215" t="s">
        <v>1480</v>
      </c>
      <c r="AS530" s="222" t="s">
        <v>1666</v>
      </c>
      <c r="AT530" s="234">
        <v>336110</v>
      </c>
      <c r="AU530" s="244">
        <f t="shared" si="147"/>
        <v>3.9929999999999999</v>
      </c>
      <c r="AV530" s="244">
        <f t="shared" si="148"/>
        <v>0</v>
      </c>
      <c r="AW530" s="244">
        <f t="shared" si="149"/>
        <v>3.1520000000000001</v>
      </c>
      <c r="AX530" s="244">
        <f t="shared" si="150"/>
        <v>0.84099999999999997</v>
      </c>
      <c r="AY530" s="244">
        <f t="shared" si="151"/>
        <v>0</v>
      </c>
      <c r="AZ530">
        <v>1.2509398496240602E-2</v>
      </c>
    </row>
    <row r="531" spans="1:52" ht="15.75" customHeight="1" x14ac:dyDescent="0.35">
      <c r="A531" s="110" t="s">
        <v>1480</v>
      </c>
      <c r="B531" s="110" t="s">
        <v>1481</v>
      </c>
      <c r="C531" s="110" t="s">
        <v>74</v>
      </c>
      <c r="D531" s="110" t="s">
        <v>75</v>
      </c>
      <c r="E531" s="110" t="s">
        <v>1509</v>
      </c>
      <c r="F531" s="110" t="s">
        <v>1494</v>
      </c>
      <c r="G531" s="110" t="s">
        <v>52</v>
      </c>
      <c r="H531" s="110" t="s">
        <v>76</v>
      </c>
      <c r="I531" s="110" t="s">
        <v>1510</v>
      </c>
      <c r="J531" s="76" t="s">
        <v>78</v>
      </c>
      <c r="K531" s="228">
        <f t="shared" si="152"/>
        <v>170</v>
      </c>
      <c r="L531" s="269">
        <v>170</v>
      </c>
      <c r="M531" s="269">
        <v>50</v>
      </c>
      <c r="N531" s="269">
        <v>170</v>
      </c>
      <c r="O531" s="269"/>
      <c r="P531" s="269"/>
      <c r="Q531" s="269"/>
      <c r="R531" s="269">
        <v>600</v>
      </c>
      <c r="S531" s="66" t="s">
        <v>1487</v>
      </c>
      <c r="T531" s="107"/>
      <c r="U531" s="238">
        <f t="shared" si="137"/>
        <v>6.9000000000000006E-2</v>
      </c>
      <c r="V531" s="238">
        <f t="shared" si="138"/>
        <v>0</v>
      </c>
      <c r="W531" s="238">
        <f t="shared" si="139"/>
        <v>0</v>
      </c>
      <c r="X531" s="238">
        <f t="shared" si="140"/>
        <v>6.9000000000000006E-2</v>
      </c>
      <c r="Y531" s="238">
        <f t="shared" si="141"/>
        <v>0</v>
      </c>
      <c r="Z531" s="107">
        <v>6.9000000000000006E-2</v>
      </c>
      <c r="AA531" s="107"/>
      <c r="AB531" s="107"/>
      <c r="AC531" s="107">
        <v>6.9000000000000006E-2</v>
      </c>
      <c r="AD531" s="72"/>
      <c r="AE531" s="233"/>
      <c r="AF531" s="72"/>
      <c r="AG531" s="66">
        <v>11.315</v>
      </c>
      <c r="AH531" s="67">
        <v>0.77700000000000002</v>
      </c>
      <c r="AI531" s="67">
        <v>0</v>
      </c>
      <c r="AJ531" s="67">
        <v>0</v>
      </c>
      <c r="AK531" s="67">
        <v>0.77700000000000002</v>
      </c>
      <c r="AL531" s="67">
        <v>0</v>
      </c>
      <c r="AM531" s="202">
        <f t="shared" si="142"/>
        <v>4.7008004065557117E-5</v>
      </c>
      <c r="AN531" s="202">
        <f t="shared" si="143"/>
        <v>0</v>
      </c>
      <c r="AO531" s="202">
        <f t="shared" si="144"/>
        <v>0</v>
      </c>
      <c r="AP531" s="202">
        <f t="shared" si="145"/>
        <v>4.7008004065557117E-5</v>
      </c>
      <c r="AQ531" s="202">
        <f t="shared" si="146"/>
        <v>0</v>
      </c>
      <c r="AR531" s="215" t="s">
        <v>1480</v>
      </c>
      <c r="AS531" s="222" t="s">
        <v>1666</v>
      </c>
      <c r="AT531" s="234">
        <v>336110</v>
      </c>
      <c r="AU531" s="244">
        <f t="shared" si="147"/>
        <v>0.77700000000000002</v>
      </c>
      <c r="AV531" s="244">
        <f t="shared" si="148"/>
        <v>0</v>
      </c>
      <c r="AW531" s="244">
        <f t="shared" si="149"/>
        <v>0</v>
      </c>
      <c r="AX531" s="244">
        <f t="shared" si="150"/>
        <v>0.77700000000000002</v>
      </c>
      <c r="AY531" s="244">
        <f t="shared" si="151"/>
        <v>0</v>
      </c>
      <c r="AZ531">
        <v>2.4342105263157896E-3</v>
      </c>
    </row>
    <row r="532" spans="1:52" ht="15.75" customHeight="1" x14ac:dyDescent="0.35">
      <c r="A532" s="110" t="s">
        <v>1480</v>
      </c>
      <c r="B532" s="110" t="s">
        <v>1481</v>
      </c>
      <c r="C532" s="110" t="s">
        <v>74</v>
      </c>
      <c r="D532" s="110" t="s">
        <v>75</v>
      </c>
      <c r="E532" s="110" t="s">
        <v>1511</v>
      </c>
      <c r="F532" s="110" t="s">
        <v>1494</v>
      </c>
      <c r="G532" s="110" t="s">
        <v>52</v>
      </c>
      <c r="H532" s="110" t="s">
        <v>76</v>
      </c>
      <c r="I532" s="110" t="s">
        <v>1510</v>
      </c>
      <c r="J532" s="76" t="s">
        <v>78</v>
      </c>
      <c r="K532" s="228">
        <f t="shared" si="152"/>
        <v>162.5</v>
      </c>
      <c r="L532" s="269">
        <v>162.5</v>
      </c>
      <c r="M532" s="269">
        <v>162.5</v>
      </c>
      <c r="N532" s="269">
        <v>162.5</v>
      </c>
      <c r="O532" s="269"/>
      <c r="P532" s="269"/>
      <c r="Q532" s="269"/>
      <c r="R532" s="269"/>
      <c r="S532" s="66" t="s">
        <v>1487</v>
      </c>
      <c r="T532" s="107"/>
      <c r="U532" s="238">
        <f t="shared" si="137"/>
        <v>0.27500000000000002</v>
      </c>
      <c r="V532" s="238">
        <f t="shared" si="138"/>
        <v>0</v>
      </c>
      <c r="W532" s="238">
        <f t="shared" si="139"/>
        <v>0</v>
      </c>
      <c r="X532" s="238">
        <f t="shared" si="140"/>
        <v>0.27500000000000002</v>
      </c>
      <c r="Y532" s="238">
        <f t="shared" si="141"/>
        <v>0</v>
      </c>
      <c r="Z532" s="107">
        <v>0.27500000000000002</v>
      </c>
      <c r="AA532" s="107"/>
      <c r="AB532" s="107"/>
      <c r="AC532" s="107">
        <v>0.27500000000000002</v>
      </c>
      <c r="AD532" s="72"/>
      <c r="AE532" s="233"/>
      <c r="AF532" s="72"/>
      <c r="AG532" s="66">
        <v>11.315</v>
      </c>
      <c r="AH532" s="73">
        <v>3.1139999999999999</v>
      </c>
      <c r="AI532" s="67">
        <v>0</v>
      </c>
      <c r="AJ532" s="67">
        <v>0</v>
      </c>
      <c r="AK532" s="67">
        <v>3.1139999999999999</v>
      </c>
      <c r="AL532" s="67">
        <v>0</v>
      </c>
      <c r="AM532" s="202">
        <f t="shared" si="142"/>
        <v>1.8839501243261885E-4</v>
      </c>
      <c r="AN532" s="202">
        <f t="shared" si="143"/>
        <v>0</v>
      </c>
      <c r="AO532" s="202">
        <f t="shared" si="144"/>
        <v>0</v>
      </c>
      <c r="AP532" s="202">
        <f t="shared" si="145"/>
        <v>1.8839501243261885E-4</v>
      </c>
      <c r="AQ532" s="202">
        <f t="shared" si="146"/>
        <v>0</v>
      </c>
      <c r="AR532" s="215" t="s">
        <v>1480</v>
      </c>
      <c r="AS532" s="222" t="s">
        <v>1666</v>
      </c>
      <c r="AT532" s="234">
        <v>336110</v>
      </c>
      <c r="AU532" s="244">
        <f t="shared" si="147"/>
        <v>3.1139999999999999</v>
      </c>
      <c r="AV532" s="244">
        <f t="shared" si="148"/>
        <v>0</v>
      </c>
      <c r="AW532" s="244">
        <f t="shared" si="149"/>
        <v>0</v>
      </c>
      <c r="AX532" s="244">
        <f t="shared" si="150"/>
        <v>3.1139999999999999</v>
      </c>
      <c r="AY532" s="244">
        <f t="shared" si="151"/>
        <v>0</v>
      </c>
      <c r="AZ532">
        <v>9.7556390977443612E-3</v>
      </c>
    </row>
    <row r="533" spans="1:52" ht="15.75" customHeight="1" x14ac:dyDescent="0.35">
      <c r="A533" s="110" t="s">
        <v>1480</v>
      </c>
      <c r="B533" s="110" t="s">
        <v>1481</v>
      </c>
      <c r="C533" s="110" t="s">
        <v>74</v>
      </c>
      <c r="D533" s="110" t="s">
        <v>75</v>
      </c>
      <c r="E533" s="110" t="s">
        <v>1512</v>
      </c>
      <c r="F533" s="110" t="s">
        <v>1494</v>
      </c>
      <c r="G533" s="110" t="s">
        <v>52</v>
      </c>
      <c r="H533" s="110" t="s">
        <v>76</v>
      </c>
      <c r="I533" s="110" t="s">
        <v>1513</v>
      </c>
      <c r="J533" s="76" t="s">
        <v>78</v>
      </c>
      <c r="K533" s="228">
        <f t="shared" si="152"/>
        <v>155</v>
      </c>
      <c r="L533" s="269">
        <v>155</v>
      </c>
      <c r="M533" s="269">
        <v>155</v>
      </c>
      <c r="N533" s="269">
        <v>155</v>
      </c>
      <c r="O533" s="269"/>
      <c r="P533" s="269"/>
      <c r="Q533" s="269"/>
      <c r="R533" s="269"/>
      <c r="S533" s="66" t="s">
        <v>1487</v>
      </c>
      <c r="T533" s="107"/>
      <c r="U533" s="238">
        <f t="shared" si="137"/>
        <v>0.13500000000000001</v>
      </c>
      <c r="V533" s="238">
        <f t="shared" si="138"/>
        <v>0</v>
      </c>
      <c r="W533" s="238">
        <f t="shared" si="139"/>
        <v>0</v>
      </c>
      <c r="X533" s="238">
        <f t="shared" si="140"/>
        <v>0.13500000000000001</v>
      </c>
      <c r="Y533" s="238">
        <f t="shared" si="141"/>
        <v>0</v>
      </c>
      <c r="Z533" s="107">
        <v>0.13500000000000001</v>
      </c>
      <c r="AA533" s="107"/>
      <c r="AB533" s="107"/>
      <c r="AC533" s="107">
        <v>0.13500000000000001</v>
      </c>
      <c r="AD533" s="72"/>
      <c r="AE533" s="233"/>
      <c r="AF533" s="72"/>
      <c r="AG533" s="66">
        <v>11.315</v>
      </c>
      <c r="AH533" s="67">
        <v>1.526</v>
      </c>
      <c r="AI533" s="67">
        <v>0</v>
      </c>
      <c r="AJ533" s="67">
        <v>0</v>
      </c>
      <c r="AK533" s="67">
        <v>1.526</v>
      </c>
      <c r="AL533" s="67">
        <v>0</v>
      </c>
      <c r="AM533" s="202">
        <f t="shared" si="142"/>
        <v>9.2322026002625686E-5</v>
      </c>
      <c r="AN533" s="202">
        <f t="shared" si="143"/>
        <v>0</v>
      </c>
      <c r="AO533" s="202">
        <f t="shared" si="144"/>
        <v>0</v>
      </c>
      <c r="AP533" s="202">
        <f t="shared" si="145"/>
        <v>9.2322026002625686E-5</v>
      </c>
      <c r="AQ533" s="202">
        <f t="shared" si="146"/>
        <v>0</v>
      </c>
      <c r="AR533" s="215" t="s">
        <v>1480</v>
      </c>
      <c r="AS533" s="222" t="s">
        <v>1666</v>
      </c>
      <c r="AT533" s="234">
        <v>336110</v>
      </c>
      <c r="AU533" s="244">
        <f t="shared" si="147"/>
        <v>1.526</v>
      </c>
      <c r="AV533" s="244">
        <f t="shared" si="148"/>
        <v>0</v>
      </c>
      <c r="AW533" s="244">
        <f t="shared" si="149"/>
        <v>0</v>
      </c>
      <c r="AX533" s="244">
        <f t="shared" si="150"/>
        <v>1.526</v>
      </c>
      <c r="AY533" s="244">
        <f t="shared" si="151"/>
        <v>0</v>
      </c>
      <c r="AZ533">
        <v>4.7807017543859652E-3</v>
      </c>
    </row>
    <row r="534" spans="1:52" ht="15.75" customHeight="1" x14ac:dyDescent="0.35">
      <c r="A534" s="110" t="s">
        <v>1480</v>
      </c>
      <c r="B534" s="110" t="s">
        <v>1481</v>
      </c>
      <c r="C534" s="110" t="s">
        <v>67</v>
      </c>
      <c r="D534" s="110" t="s">
        <v>67</v>
      </c>
      <c r="E534" s="110" t="s">
        <v>1514</v>
      </c>
      <c r="F534" s="110" t="s">
        <v>1494</v>
      </c>
      <c r="G534" s="110" t="s">
        <v>52</v>
      </c>
      <c r="H534" s="110" t="s">
        <v>582</v>
      </c>
      <c r="I534" s="110" t="s">
        <v>582</v>
      </c>
      <c r="J534" s="197"/>
      <c r="K534" s="228">
        <f t="shared" si="152"/>
        <v>23</v>
      </c>
      <c r="L534" s="269">
        <v>23</v>
      </c>
      <c r="M534" s="269">
        <v>155</v>
      </c>
      <c r="N534" s="269">
        <v>23</v>
      </c>
      <c r="O534" s="269"/>
      <c r="P534" s="269"/>
      <c r="Q534" s="269"/>
      <c r="R534" s="269"/>
      <c r="S534" s="66" t="s">
        <v>1487</v>
      </c>
      <c r="T534" s="107"/>
      <c r="U534" s="238">
        <f t="shared" si="137"/>
        <v>0.38800000000000001</v>
      </c>
      <c r="V534" s="238">
        <f t="shared" si="138"/>
        <v>0</v>
      </c>
      <c r="W534" s="238">
        <f t="shared" si="139"/>
        <v>0.38800000000000001</v>
      </c>
      <c r="X534" s="238">
        <f t="shared" si="140"/>
        <v>0</v>
      </c>
      <c r="Y534" s="238">
        <f t="shared" si="141"/>
        <v>0</v>
      </c>
      <c r="Z534" s="107">
        <v>0.38800000000000001</v>
      </c>
      <c r="AA534" s="107"/>
      <c r="AB534" s="107">
        <v>0.38800000000000001</v>
      </c>
      <c r="AC534" s="107"/>
      <c r="AD534" s="72"/>
      <c r="AE534" s="233"/>
      <c r="AF534" s="72"/>
      <c r="AG534" s="66">
        <v>11.315</v>
      </c>
      <c r="AH534" s="67">
        <v>4.3929999999999998</v>
      </c>
      <c r="AI534" s="67">
        <v>0</v>
      </c>
      <c r="AJ534" s="67">
        <v>4.3929999999999998</v>
      </c>
      <c r="AK534" s="67">
        <v>0</v>
      </c>
      <c r="AL534" s="67">
        <v>0</v>
      </c>
      <c r="AM534" s="202">
        <f t="shared" si="142"/>
        <v>2.6577369608750628E-4</v>
      </c>
      <c r="AN534" s="202">
        <f t="shared" si="143"/>
        <v>0</v>
      </c>
      <c r="AO534" s="202">
        <f t="shared" si="144"/>
        <v>2.6577369608750628E-4</v>
      </c>
      <c r="AP534" s="202">
        <f t="shared" si="145"/>
        <v>0</v>
      </c>
      <c r="AQ534" s="202">
        <f t="shared" si="146"/>
        <v>0</v>
      </c>
      <c r="AR534" s="215" t="s">
        <v>1480</v>
      </c>
      <c r="AS534" s="222" t="s">
        <v>1666</v>
      </c>
      <c r="AT534" s="234">
        <v>336110</v>
      </c>
      <c r="AU534" s="244">
        <f t="shared" si="147"/>
        <v>4.3929999999999998</v>
      </c>
      <c r="AV534" s="244">
        <f t="shared" si="148"/>
        <v>0</v>
      </c>
      <c r="AW534" s="244">
        <f t="shared" si="149"/>
        <v>4.3929999999999998</v>
      </c>
      <c r="AX534" s="244">
        <f t="shared" si="150"/>
        <v>0</v>
      </c>
      <c r="AY534" s="244">
        <f t="shared" si="151"/>
        <v>0</v>
      </c>
      <c r="AZ534">
        <v>1.3762531328320803E-2</v>
      </c>
    </row>
    <row r="535" spans="1:52" ht="15.75" customHeight="1" x14ac:dyDescent="0.35">
      <c r="A535" s="110" t="s">
        <v>1480</v>
      </c>
      <c r="B535" s="110" t="s">
        <v>1481</v>
      </c>
      <c r="C535" s="110" t="s">
        <v>74</v>
      </c>
      <c r="D535" s="110" t="s">
        <v>75</v>
      </c>
      <c r="E535" s="110" t="s">
        <v>1515</v>
      </c>
      <c r="F535" s="110" t="s">
        <v>1494</v>
      </c>
      <c r="G535" s="110" t="s">
        <v>52</v>
      </c>
      <c r="H535" s="110" t="s">
        <v>76</v>
      </c>
      <c r="I535" s="110" t="s">
        <v>1516</v>
      </c>
      <c r="J535" s="76" t="s">
        <v>78</v>
      </c>
      <c r="K535" s="228">
        <f t="shared" si="152"/>
        <v>60</v>
      </c>
      <c r="L535" s="269">
        <v>60</v>
      </c>
      <c r="M535" s="269">
        <v>23</v>
      </c>
      <c r="N535" s="269">
        <v>60</v>
      </c>
      <c r="O535" s="269"/>
      <c r="P535" s="269"/>
      <c r="Q535" s="269"/>
      <c r="R535" s="269"/>
      <c r="S535" s="66" t="s">
        <v>1487</v>
      </c>
      <c r="T535" s="107"/>
      <c r="U535" s="238">
        <f t="shared" si="137"/>
        <v>0.128</v>
      </c>
      <c r="V535" s="238">
        <f t="shared" si="138"/>
        <v>0</v>
      </c>
      <c r="W535" s="238">
        <f t="shared" si="139"/>
        <v>0</v>
      </c>
      <c r="X535" s="238">
        <f t="shared" si="140"/>
        <v>0.128</v>
      </c>
      <c r="Y535" s="238">
        <f t="shared" si="141"/>
        <v>0</v>
      </c>
      <c r="Z535" s="107">
        <v>0.128</v>
      </c>
      <c r="AA535" s="107"/>
      <c r="AB535" s="107"/>
      <c r="AC535" s="107">
        <v>0.128</v>
      </c>
      <c r="AD535" s="72"/>
      <c r="AE535" s="233"/>
      <c r="AF535" s="72"/>
      <c r="AG535" s="66">
        <v>11.315</v>
      </c>
      <c r="AH535" s="67">
        <v>1.4450000000000001</v>
      </c>
      <c r="AI535" s="67">
        <v>0</v>
      </c>
      <c r="AJ535" s="67">
        <v>0</v>
      </c>
      <c r="AK535" s="67">
        <v>1.4450000000000001</v>
      </c>
      <c r="AL535" s="67">
        <v>0</v>
      </c>
      <c r="AM535" s="202">
        <f t="shared" si="142"/>
        <v>8.7421577702355248E-5</v>
      </c>
      <c r="AN535" s="202">
        <f t="shared" si="143"/>
        <v>0</v>
      </c>
      <c r="AO535" s="202">
        <f t="shared" si="144"/>
        <v>0</v>
      </c>
      <c r="AP535" s="202">
        <f t="shared" si="145"/>
        <v>8.7421577702355248E-5</v>
      </c>
      <c r="AQ535" s="202">
        <f t="shared" si="146"/>
        <v>0</v>
      </c>
      <c r="AR535" s="215" t="s">
        <v>1480</v>
      </c>
      <c r="AS535" s="222" t="s">
        <v>1666</v>
      </c>
      <c r="AT535" s="234">
        <v>336110</v>
      </c>
      <c r="AU535" s="244">
        <f t="shared" si="147"/>
        <v>1.4450000000000001</v>
      </c>
      <c r="AV535" s="244">
        <f t="shared" si="148"/>
        <v>0</v>
      </c>
      <c r="AW535" s="244">
        <f t="shared" si="149"/>
        <v>0</v>
      </c>
      <c r="AX535" s="244">
        <f t="shared" si="150"/>
        <v>1.4450000000000001</v>
      </c>
      <c r="AY535" s="244">
        <f t="shared" si="151"/>
        <v>0</v>
      </c>
      <c r="AZ535">
        <v>4.5269423558897248E-3</v>
      </c>
    </row>
    <row r="536" spans="1:52" ht="15.75" customHeight="1" x14ac:dyDescent="0.35">
      <c r="A536" s="110" t="s">
        <v>1480</v>
      </c>
      <c r="B536" s="110" t="s">
        <v>1481</v>
      </c>
      <c r="C536" s="110" t="s">
        <v>48</v>
      </c>
      <c r="D536" s="110" t="s">
        <v>1517</v>
      </c>
      <c r="E536" s="110" t="s">
        <v>1517</v>
      </c>
      <c r="F536" s="110" t="s">
        <v>1518</v>
      </c>
      <c r="G536" s="110" t="s">
        <v>52</v>
      </c>
      <c r="H536" s="110" t="s">
        <v>1519</v>
      </c>
      <c r="I536" s="110" t="s">
        <v>1520</v>
      </c>
      <c r="J536" s="197"/>
      <c r="K536" s="228">
        <f t="shared" si="152"/>
        <v>815</v>
      </c>
      <c r="L536" s="269">
        <v>815</v>
      </c>
      <c r="M536" s="269">
        <v>158</v>
      </c>
      <c r="N536" s="269">
        <v>213</v>
      </c>
      <c r="O536" s="269"/>
      <c r="P536" s="269"/>
      <c r="Q536" s="269"/>
      <c r="R536" s="269"/>
      <c r="S536" s="77" t="s">
        <v>1487</v>
      </c>
      <c r="T536" s="107"/>
      <c r="U536" s="238">
        <f t="shared" si="137"/>
        <v>2.1459999999999999</v>
      </c>
      <c r="V536" s="238">
        <f t="shared" si="138"/>
        <v>0</v>
      </c>
      <c r="W536" s="238">
        <f t="shared" si="139"/>
        <v>0.221</v>
      </c>
      <c r="X536" s="238">
        <f t="shared" si="140"/>
        <v>1.9259999999999999</v>
      </c>
      <c r="Y536" s="238">
        <f t="shared" si="141"/>
        <v>0</v>
      </c>
      <c r="Z536" s="107">
        <v>2.1459999999999999</v>
      </c>
      <c r="AA536" s="107"/>
      <c r="AB536" s="107">
        <v>0.221</v>
      </c>
      <c r="AC536" s="107">
        <v>1.9259999999999999</v>
      </c>
      <c r="AD536" s="72"/>
      <c r="AE536" s="233"/>
      <c r="AF536" s="72"/>
      <c r="AG536" s="66">
        <v>11.315</v>
      </c>
      <c r="AH536" s="67">
        <v>24.285</v>
      </c>
      <c r="AI536" s="67">
        <v>0</v>
      </c>
      <c r="AJ536" s="67">
        <v>2.496</v>
      </c>
      <c r="AK536" s="67">
        <v>21.789000000000001</v>
      </c>
      <c r="AL536" s="67">
        <v>0</v>
      </c>
      <c r="AM536" s="202">
        <f t="shared" si="142"/>
        <v>1.4692269996551537E-3</v>
      </c>
      <c r="AN536" s="202">
        <f t="shared" si="143"/>
        <v>0</v>
      </c>
      <c r="AO536" s="202">
        <f t="shared" si="144"/>
        <v>1.510064068824074E-4</v>
      </c>
      <c r="AP536" s="202">
        <f t="shared" si="145"/>
        <v>1.3182205927727464E-3</v>
      </c>
      <c r="AQ536" s="202">
        <f t="shared" si="146"/>
        <v>0</v>
      </c>
      <c r="AR536" s="215" t="s">
        <v>1480</v>
      </c>
      <c r="AS536" s="222" t="s">
        <v>1666</v>
      </c>
      <c r="AT536" s="234">
        <v>336110</v>
      </c>
      <c r="AU536" s="244">
        <f t="shared" si="147"/>
        <v>24.285</v>
      </c>
      <c r="AV536" s="244">
        <f t="shared" si="148"/>
        <v>0</v>
      </c>
      <c r="AW536" s="244">
        <f t="shared" si="149"/>
        <v>2.496</v>
      </c>
      <c r="AX536" s="244">
        <f t="shared" si="150"/>
        <v>21.789000000000001</v>
      </c>
      <c r="AY536" s="244">
        <f t="shared" si="151"/>
        <v>0</v>
      </c>
      <c r="AZ536">
        <v>7.6080827067669179E-2</v>
      </c>
    </row>
    <row r="537" spans="1:52" ht="15.75" customHeight="1" x14ac:dyDescent="0.35">
      <c r="A537" s="195" t="s">
        <v>1521</v>
      </c>
      <c r="B537" s="195" t="s">
        <v>1522</v>
      </c>
      <c r="C537" s="57" t="s">
        <v>99</v>
      </c>
      <c r="D537" s="195" t="s">
        <v>1133</v>
      </c>
      <c r="E537" s="195" t="s">
        <v>1133</v>
      </c>
      <c r="F537" s="195" t="s">
        <v>1523</v>
      </c>
      <c r="G537" s="195" t="s">
        <v>1020</v>
      </c>
      <c r="H537" s="195" t="s">
        <v>748</v>
      </c>
      <c r="I537" s="195" t="s">
        <v>1524</v>
      </c>
      <c r="J537" s="90" t="s">
        <v>1027</v>
      </c>
      <c r="K537" s="228">
        <v>900</v>
      </c>
      <c r="L537" s="269"/>
      <c r="M537" s="269"/>
      <c r="N537" s="269"/>
      <c r="O537" s="269"/>
      <c r="P537" s="269"/>
      <c r="Q537" s="269"/>
      <c r="R537" s="269"/>
      <c r="S537" s="56" t="s">
        <v>1525</v>
      </c>
      <c r="T537" s="116"/>
      <c r="U537" s="238">
        <f t="shared" si="137"/>
        <v>1.9</v>
      </c>
      <c r="V537" s="238">
        <f t="shared" si="138"/>
        <v>0</v>
      </c>
      <c r="W537" s="238">
        <f t="shared" si="139"/>
        <v>1.9</v>
      </c>
      <c r="X537" s="238">
        <f t="shared" si="140"/>
        <v>0</v>
      </c>
      <c r="Y537" s="238">
        <f t="shared" si="141"/>
        <v>0</v>
      </c>
      <c r="Z537" s="107">
        <v>1.9</v>
      </c>
      <c r="AA537" s="107"/>
      <c r="AB537" s="107">
        <v>1.9</v>
      </c>
      <c r="AC537" s="107"/>
      <c r="AD537" s="72"/>
      <c r="AE537" s="59"/>
      <c r="AF537" s="62"/>
      <c r="AG537" s="56">
        <v>2.5</v>
      </c>
      <c r="AH537" s="57">
        <v>4.75</v>
      </c>
      <c r="AI537" s="57">
        <v>0</v>
      </c>
      <c r="AJ537" s="57">
        <v>4.75</v>
      </c>
      <c r="AK537" s="57">
        <v>0</v>
      </c>
      <c r="AL537" s="57">
        <v>0</v>
      </c>
      <c r="AM537" s="202">
        <f t="shared" si="142"/>
        <v>2.8737196822573523E-4</v>
      </c>
      <c r="AN537" s="202">
        <f t="shared" si="143"/>
        <v>0</v>
      </c>
      <c r="AO537" s="202">
        <f t="shared" si="144"/>
        <v>2.8737196822573523E-4</v>
      </c>
      <c r="AP537" s="202">
        <f t="shared" si="145"/>
        <v>0</v>
      </c>
      <c r="AQ537" s="202">
        <f t="shared" si="146"/>
        <v>0</v>
      </c>
      <c r="AR537" s="220" t="s">
        <v>1521</v>
      </c>
      <c r="AS537" s="225" t="s">
        <v>1667</v>
      </c>
      <c r="AT537" s="234">
        <v>332111</v>
      </c>
      <c r="AU537" s="244">
        <f t="shared" si="147"/>
        <v>4.75</v>
      </c>
      <c r="AV537" s="244">
        <f t="shared" si="148"/>
        <v>0</v>
      </c>
      <c r="AW537" s="244">
        <f t="shared" si="149"/>
        <v>4.75</v>
      </c>
      <c r="AX537" s="244">
        <f t="shared" si="150"/>
        <v>0</v>
      </c>
      <c r="AY537" s="244">
        <f t="shared" si="151"/>
        <v>0</v>
      </c>
      <c r="AZ537">
        <v>1.0644257703081233E-2</v>
      </c>
    </row>
    <row r="538" spans="1:52" ht="15.75" customHeight="1" x14ac:dyDescent="0.35">
      <c r="A538" s="110" t="s">
        <v>1521</v>
      </c>
      <c r="B538" s="110" t="s">
        <v>1522</v>
      </c>
      <c r="C538" s="110" t="s">
        <v>260</v>
      </c>
      <c r="D538" s="110" t="s">
        <v>1526</v>
      </c>
      <c r="E538" s="110" t="s">
        <v>1527</v>
      </c>
      <c r="F538" s="110" t="s">
        <v>1528</v>
      </c>
      <c r="G538" s="110" t="s">
        <v>1020</v>
      </c>
      <c r="H538" s="110" t="s">
        <v>53</v>
      </c>
      <c r="I538" s="110" t="s">
        <v>1529</v>
      </c>
      <c r="J538" s="197"/>
      <c r="K538" s="228">
        <f t="shared" si="152"/>
        <v>1200</v>
      </c>
      <c r="L538" s="269">
        <v>1200</v>
      </c>
      <c r="M538" s="269">
        <v>22</v>
      </c>
      <c r="N538" s="269">
        <v>1200</v>
      </c>
      <c r="O538" s="269"/>
      <c r="P538" s="269"/>
      <c r="Q538" s="269"/>
      <c r="R538" s="269"/>
      <c r="S538" s="66" t="s">
        <v>1525</v>
      </c>
      <c r="T538" s="107"/>
      <c r="U538" s="238">
        <f t="shared" si="137"/>
        <v>7.3</v>
      </c>
      <c r="V538" s="238">
        <f t="shared" si="138"/>
        <v>0</v>
      </c>
      <c r="W538" s="238">
        <f t="shared" si="139"/>
        <v>0</v>
      </c>
      <c r="X538" s="238">
        <f t="shared" si="140"/>
        <v>7.3</v>
      </c>
      <c r="Y538" s="238">
        <f t="shared" si="141"/>
        <v>0</v>
      </c>
      <c r="Z538" s="116">
        <v>7.3</v>
      </c>
      <c r="AA538" s="116"/>
      <c r="AB538" s="116"/>
      <c r="AC538" s="116">
        <v>7.3</v>
      </c>
      <c r="AD538" s="116"/>
      <c r="AE538" s="233"/>
      <c r="AF538" s="72"/>
      <c r="AG538" s="66">
        <v>2.5</v>
      </c>
      <c r="AH538" s="67">
        <v>18.25</v>
      </c>
      <c r="AI538" s="67">
        <v>0</v>
      </c>
      <c r="AJ538" s="67">
        <v>0</v>
      </c>
      <c r="AK538" s="67">
        <v>18.25</v>
      </c>
      <c r="AL538" s="67">
        <v>0</v>
      </c>
      <c r="AM538" s="202">
        <f t="shared" si="142"/>
        <v>1.1041133516041407E-3</v>
      </c>
      <c r="AN538" s="202">
        <f t="shared" si="143"/>
        <v>0</v>
      </c>
      <c r="AO538" s="202">
        <f t="shared" si="144"/>
        <v>0</v>
      </c>
      <c r="AP538" s="202">
        <f t="shared" si="145"/>
        <v>1.1041133516041407E-3</v>
      </c>
      <c r="AQ538" s="202">
        <f t="shared" si="146"/>
        <v>0</v>
      </c>
      <c r="AR538" s="215" t="s">
        <v>1521</v>
      </c>
      <c r="AS538" s="225" t="s">
        <v>1667</v>
      </c>
      <c r="AT538" s="234">
        <v>332111</v>
      </c>
      <c r="AU538" s="244">
        <f t="shared" si="147"/>
        <v>18.25</v>
      </c>
      <c r="AV538" s="244">
        <f t="shared" si="148"/>
        <v>0</v>
      </c>
      <c r="AW538" s="244">
        <f t="shared" si="149"/>
        <v>0</v>
      </c>
      <c r="AX538" s="244">
        <f t="shared" si="150"/>
        <v>18.25</v>
      </c>
      <c r="AY538" s="244">
        <f t="shared" si="151"/>
        <v>0</v>
      </c>
      <c r="AZ538">
        <v>4.0896358543417367E-2</v>
      </c>
    </row>
    <row r="539" spans="1:52" ht="15.75" customHeight="1" x14ac:dyDescent="0.35">
      <c r="A539" s="110" t="s">
        <v>1521</v>
      </c>
      <c r="B539" s="110" t="s">
        <v>1522</v>
      </c>
      <c r="C539" s="110" t="s">
        <v>260</v>
      </c>
      <c r="D539" s="110" t="s">
        <v>1530</v>
      </c>
      <c r="E539" s="110" t="s">
        <v>1531</v>
      </c>
      <c r="F539" s="110" t="s">
        <v>1532</v>
      </c>
      <c r="G539" s="110" t="s">
        <v>1020</v>
      </c>
      <c r="H539" s="110" t="s">
        <v>1533</v>
      </c>
      <c r="I539" s="110" t="s">
        <v>1534</v>
      </c>
      <c r="J539" s="105">
        <v>0.65</v>
      </c>
      <c r="K539" s="228">
        <f t="shared" si="152"/>
        <v>1200</v>
      </c>
      <c r="L539" s="269">
        <v>1200</v>
      </c>
      <c r="M539" s="269">
        <v>1100</v>
      </c>
      <c r="N539" s="269">
        <v>1000</v>
      </c>
      <c r="O539" s="269"/>
      <c r="P539" s="269"/>
      <c r="Q539" s="269"/>
      <c r="R539" s="269"/>
      <c r="S539" s="66" t="s">
        <v>1525</v>
      </c>
      <c r="T539" s="107"/>
      <c r="U539" s="238">
        <f t="shared" si="137"/>
        <v>8.6999999999999993</v>
      </c>
      <c r="V539" s="238">
        <f t="shared" si="138"/>
        <v>0</v>
      </c>
      <c r="W539" s="238">
        <f t="shared" si="139"/>
        <v>0</v>
      </c>
      <c r="X539" s="238">
        <f t="shared" si="140"/>
        <v>8.6999999999999993</v>
      </c>
      <c r="Y539" s="238">
        <f t="shared" si="141"/>
        <v>0</v>
      </c>
      <c r="Z539" s="107">
        <v>8.6999999999999993</v>
      </c>
      <c r="AA539" s="107"/>
      <c r="AB539" s="107"/>
      <c r="AC539" s="107">
        <v>8.6999999999999993</v>
      </c>
      <c r="AD539" s="107"/>
      <c r="AE539" s="233"/>
      <c r="AF539" s="72"/>
      <c r="AG539" s="66">
        <v>2.5</v>
      </c>
      <c r="AH539" s="67">
        <v>21.75</v>
      </c>
      <c r="AI539" s="67">
        <v>0</v>
      </c>
      <c r="AJ539" s="67">
        <v>0</v>
      </c>
      <c r="AK539" s="67">
        <v>21.75</v>
      </c>
      <c r="AL539" s="67">
        <v>0</v>
      </c>
      <c r="AM539" s="202">
        <f t="shared" si="142"/>
        <v>1.3158611176652087E-3</v>
      </c>
      <c r="AN539" s="202">
        <f t="shared" si="143"/>
        <v>0</v>
      </c>
      <c r="AO539" s="202">
        <f t="shared" si="144"/>
        <v>0</v>
      </c>
      <c r="AP539" s="202">
        <f t="shared" si="145"/>
        <v>1.3158611176652087E-3</v>
      </c>
      <c r="AQ539" s="202">
        <f t="shared" si="146"/>
        <v>0</v>
      </c>
      <c r="AR539" s="215" t="s">
        <v>1521</v>
      </c>
      <c r="AS539" s="225" t="s">
        <v>1667</v>
      </c>
      <c r="AT539" s="234">
        <v>332111</v>
      </c>
      <c r="AU539" s="244">
        <f t="shared" si="147"/>
        <v>21.75</v>
      </c>
      <c r="AV539" s="244">
        <f t="shared" si="148"/>
        <v>0</v>
      </c>
      <c r="AW539" s="244">
        <f t="shared" si="149"/>
        <v>0</v>
      </c>
      <c r="AX539" s="244">
        <f t="shared" si="150"/>
        <v>21.75</v>
      </c>
      <c r="AY539" s="244">
        <f t="shared" si="151"/>
        <v>0</v>
      </c>
      <c r="AZ539">
        <v>4.8739495798319328E-2</v>
      </c>
    </row>
    <row r="540" spans="1:52" ht="15.75" customHeight="1" x14ac:dyDescent="0.35">
      <c r="A540" s="110" t="s">
        <v>1521</v>
      </c>
      <c r="B540" s="110" t="s">
        <v>1522</v>
      </c>
      <c r="C540" s="110" t="s">
        <v>92</v>
      </c>
      <c r="D540" s="110" t="s">
        <v>1535</v>
      </c>
      <c r="E540" s="110" t="s">
        <v>1536</v>
      </c>
      <c r="F540" s="110" t="s">
        <v>1537</v>
      </c>
      <c r="G540" s="110" t="s">
        <v>1020</v>
      </c>
      <c r="H540" s="110" t="s">
        <v>741</v>
      </c>
      <c r="I540" s="110" t="s">
        <v>1538</v>
      </c>
      <c r="J540" s="197"/>
      <c r="K540" s="228">
        <f t="shared" si="152"/>
        <v>880</v>
      </c>
      <c r="L540" s="269">
        <v>880</v>
      </c>
      <c r="M540" s="269">
        <v>22</v>
      </c>
      <c r="N540" s="269">
        <v>880</v>
      </c>
      <c r="O540" s="269"/>
      <c r="P540" s="269"/>
      <c r="Q540" s="269"/>
      <c r="R540" s="269"/>
      <c r="S540" s="66" t="s">
        <v>1525</v>
      </c>
      <c r="T540" s="107"/>
      <c r="U540" s="238">
        <f t="shared" si="137"/>
        <v>10.199999999999999</v>
      </c>
      <c r="V540" s="238">
        <f t="shared" si="138"/>
        <v>0</v>
      </c>
      <c r="W540" s="238">
        <f t="shared" si="139"/>
        <v>0</v>
      </c>
      <c r="X540" s="238">
        <f t="shared" si="140"/>
        <v>10.199999999999999</v>
      </c>
      <c r="Y540" s="238">
        <f t="shared" si="141"/>
        <v>0</v>
      </c>
      <c r="Z540" s="107">
        <v>10.199999999999999</v>
      </c>
      <c r="AA540" s="107"/>
      <c r="AB540" s="107"/>
      <c r="AC540" s="107">
        <v>10.199999999999999</v>
      </c>
      <c r="AD540" s="107"/>
      <c r="AE540" s="233"/>
      <c r="AF540" s="72"/>
      <c r="AG540" s="66">
        <v>2.5</v>
      </c>
      <c r="AH540" s="67">
        <v>25.5</v>
      </c>
      <c r="AI540" s="67">
        <v>0</v>
      </c>
      <c r="AJ540" s="67">
        <v>0</v>
      </c>
      <c r="AK540" s="67">
        <v>25.5</v>
      </c>
      <c r="AL540" s="67">
        <v>0</v>
      </c>
      <c r="AM540" s="202">
        <f t="shared" si="142"/>
        <v>1.5427337241592102E-3</v>
      </c>
      <c r="AN540" s="202">
        <f t="shared" si="143"/>
        <v>0</v>
      </c>
      <c r="AO540" s="202">
        <f t="shared" si="144"/>
        <v>0</v>
      </c>
      <c r="AP540" s="202">
        <f t="shared" si="145"/>
        <v>1.5427337241592102E-3</v>
      </c>
      <c r="AQ540" s="202">
        <f t="shared" si="146"/>
        <v>0</v>
      </c>
      <c r="AR540" s="215" t="s">
        <v>1521</v>
      </c>
      <c r="AS540" s="225" t="s">
        <v>1667</v>
      </c>
      <c r="AT540" s="234">
        <v>332111</v>
      </c>
      <c r="AU540" s="244">
        <f t="shared" si="147"/>
        <v>25.5</v>
      </c>
      <c r="AV540" s="244">
        <f t="shared" si="148"/>
        <v>0</v>
      </c>
      <c r="AW540" s="244">
        <f t="shared" si="149"/>
        <v>0</v>
      </c>
      <c r="AX540" s="244">
        <f t="shared" si="150"/>
        <v>25.5</v>
      </c>
      <c r="AY540" s="244">
        <f t="shared" si="151"/>
        <v>0</v>
      </c>
      <c r="AZ540">
        <v>5.7142857142857141E-2</v>
      </c>
    </row>
    <row r="541" spans="1:52" s="275" customFormat="1" ht="15.75" customHeight="1" x14ac:dyDescent="0.35">
      <c r="A541" s="198" t="s">
        <v>1521</v>
      </c>
      <c r="B541" s="198" t="s">
        <v>1522</v>
      </c>
      <c r="C541" s="120" t="s">
        <v>270</v>
      </c>
      <c r="D541" s="198" t="s">
        <v>271</v>
      </c>
      <c r="E541" s="198" t="s">
        <v>1539</v>
      </c>
      <c r="F541" s="198" t="s">
        <v>1540</v>
      </c>
      <c r="G541" s="198" t="s">
        <v>1020</v>
      </c>
      <c r="H541" s="198" t="s">
        <v>748</v>
      </c>
      <c r="I541" s="198" t="s">
        <v>1541</v>
      </c>
      <c r="J541" s="197"/>
      <c r="K541" s="228">
        <f t="shared" si="152"/>
        <v>22</v>
      </c>
      <c r="L541" s="272">
        <v>22</v>
      </c>
      <c r="M541" s="272">
        <v>22</v>
      </c>
      <c r="N541" s="272">
        <v>22</v>
      </c>
      <c r="O541" s="272"/>
      <c r="P541" s="272"/>
      <c r="Q541" s="272"/>
      <c r="R541" s="272"/>
      <c r="S541" s="66" t="s">
        <v>1525</v>
      </c>
      <c r="T541" s="151"/>
      <c r="U541" s="238">
        <f t="shared" si="137"/>
        <v>1</v>
      </c>
      <c r="V541" s="238">
        <f t="shared" si="138"/>
        <v>0</v>
      </c>
      <c r="W541" s="238">
        <f t="shared" si="139"/>
        <v>1</v>
      </c>
      <c r="X541" s="238">
        <f t="shared" si="140"/>
        <v>0</v>
      </c>
      <c r="Y541" s="238">
        <f t="shared" si="141"/>
        <v>0</v>
      </c>
      <c r="Z541" s="151">
        <v>1</v>
      </c>
      <c r="AA541" s="151"/>
      <c r="AB541" s="151">
        <v>1</v>
      </c>
      <c r="AC541" s="151"/>
      <c r="AD541" s="151"/>
      <c r="AE541" s="120"/>
      <c r="AF541" s="72"/>
      <c r="AG541" s="66">
        <v>2.5</v>
      </c>
      <c r="AH541" s="139">
        <v>2.5</v>
      </c>
      <c r="AI541" s="139">
        <v>0</v>
      </c>
      <c r="AJ541" s="139">
        <v>2.5</v>
      </c>
      <c r="AK541" s="139">
        <v>0</v>
      </c>
      <c r="AL541" s="139">
        <v>0</v>
      </c>
      <c r="AM541" s="202">
        <f t="shared" si="142"/>
        <v>1.5124840432933435E-4</v>
      </c>
      <c r="AN541" s="202">
        <f t="shared" si="143"/>
        <v>0</v>
      </c>
      <c r="AO541" s="202">
        <f t="shared" si="144"/>
        <v>1.5124840432933435E-4</v>
      </c>
      <c r="AP541" s="202">
        <f t="shared" si="145"/>
        <v>0</v>
      </c>
      <c r="AQ541" s="202">
        <f t="shared" si="146"/>
        <v>0</v>
      </c>
      <c r="AR541" s="273" t="s">
        <v>1521</v>
      </c>
      <c r="AS541" s="225" t="s">
        <v>1667</v>
      </c>
      <c r="AT541" s="274">
        <v>332111</v>
      </c>
      <c r="AU541" s="275">
        <f t="shared" si="147"/>
        <v>2.5</v>
      </c>
      <c r="AV541" s="275">
        <f t="shared" si="148"/>
        <v>0</v>
      </c>
      <c r="AW541" s="275">
        <f t="shared" si="149"/>
        <v>2.5</v>
      </c>
      <c r="AX541" s="275">
        <f t="shared" si="150"/>
        <v>0</v>
      </c>
      <c r="AY541" s="275">
        <f t="shared" si="151"/>
        <v>0</v>
      </c>
      <c r="AZ541" s="275">
        <v>5.6022408963585435E-3</v>
      </c>
    </row>
    <row r="542" spans="1:52" s="296" customFormat="1" ht="15.75" customHeight="1" x14ac:dyDescent="0.35">
      <c r="A542" s="282" t="s">
        <v>1542</v>
      </c>
      <c r="B542" s="282" t="s">
        <v>1543</v>
      </c>
      <c r="C542" s="283" t="s">
        <v>1544</v>
      </c>
      <c r="D542" s="282" t="s">
        <v>1545</v>
      </c>
      <c r="E542" s="282" t="s">
        <v>1546</v>
      </c>
      <c r="F542" s="282" t="s">
        <v>1547</v>
      </c>
      <c r="G542" s="284" t="s">
        <v>52</v>
      </c>
      <c r="H542" s="282" t="s">
        <v>1545</v>
      </c>
      <c r="I542" s="282" t="s">
        <v>1548</v>
      </c>
      <c r="J542" s="283"/>
      <c r="K542" s="228">
        <f t="shared" si="152"/>
        <v>22</v>
      </c>
      <c r="L542" s="294">
        <v>22</v>
      </c>
      <c r="M542" s="294"/>
      <c r="N542" s="294"/>
      <c r="O542" s="294">
        <v>1</v>
      </c>
      <c r="P542" s="294"/>
      <c r="Q542" s="294"/>
      <c r="R542" s="294"/>
      <c r="S542" s="282" t="s">
        <v>584</v>
      </c>
      <c r="T542" s="282" t="s">
        <v>584</v>
      </c>
      <c r="U542" s="238">
        <f t="shared" si="137"/>
        <v>0.14828571428571433</v>
      </c>
      <c r="V542" s="238">
        <f t="shared" si="138"/>
        <v>0</v>
      </c>
      <c r="W542" s="238">
        <f t="shared" si="139"/>
        <v>5.850000000000001E-2</v>
      </c>
      <c r="X542" s="238">
        <f t="shared" si="140"/>
        <v>8.9785714285714288E-2</v>
      </c>
      <c r="Y542" s="238">
        <f t="shared" si="141"/>
        <v>0</v>
      </c>
      <c r="Z542" s="295">
        <f>AH542/$AG$542</f>
        <v>0.14828571428571433</v>
      </c>
      <c r="AA542" s="295">
        <f t="shared" ref="AA542:AD542" si="153">AI542/$AG$542</f>
        <v>0</v>
      </c>
      <c r="AB542" s="295">
        <f t="shared" si="153"/>
        <v>5.850000000000001E-2</v>
      </c>
      <c r="AC542" s="295">
        <f t="shared" si="153"/>
        <v>8.9785714285714288E-2</v>
      </c>
      <c r="AD542" s="295">
        <f t="shared" si="153"/>
        <v>0</v>
      </c>
      <c r="AE542" s="283"/>
      <c r="AF542" s="285"/>
      <c r="AG542" s="282">
        <v>4900</v>
      </c>
      <c r="AH542" s="282">
        <v>726.60000000000014</v>
      </c>
      <c r="AI542" s="282"/>
      <c r="AJ542" s="282">
        <v>286.65000000000003</v>
      </c>
      <c r="AK542" s="282">
        <v>439.95000000000005</v>
      </c>
      <c r="AL542" s="282"/>
      <c r="AM542" s="288">
        <f t="shared" si="142"/>
        <v>4.3958836234277737E-2</v>
      </c>
      <c r="AN542" s="288">
        <f t="shared" si="143"/>
        <v>0</v>
      </c>
      <c r="AO542" s="288">
        <f t="shared" si="144"/>
        <v>1.7342142040401479E-2</v>
      </c>
      <c r="AP542" s="288">
        <f t="shared" si="145"/>
        <v>2.6616694193876259E-2</v>
      </c>
      <c r="AQ542" s="288">
        <f t="shared" si="146"/>
        <v>0</v>
      </c>
      <c r="AR542" s="286" t="s">
        <v>1542</v>
      </c>
      <c r="AS542" s="287" t="s">
        <v>1542</v>
      </c>
      <c r="AT542" s="289" t="s">
        <v>1669</v>
      </c>
      <c r="AU542" s="296">
        <f>ABS(AH542)</f>
        <v>726.60000000000014</v>
      </c>
      <c r="AV542" s="296">
        <f t="shared" si="148"/>
        <v>0</v>
      </c>
      <c r="AW542" s="296">
        <f t="shared" si="149"/>
        <v>286.65000000000003</v>
      </c>
      <c r="AX542" s="296">
        <f t="shared" si="150"/>
        <v>439.95000000000005</v>
      </c>
      <c r="AY542" s="296">
        <f t="shared" si="151"/>
        <v>0</v>
      </c>
      <c r="AZ542" s="296">
        <v>4.3958836234277737E-2</v>
      </c>
    </row>
    <row r="543" spans="1:52" s="298" customFormat="1" ht="15.75" customHeight="1" x14ac:dyDescent="0.35">
      <c r="A543" s="139" t="s">
        <v>1542</v>
      </c>
      <c r="B543" s="139" t="s">
        <v>1543</v>
      </c>
      <c r="C543" s="120" t="s">
        <v>1544</v>
      </c>
      <c r="D543" s="139" t="s">
        <v>1549</v>
      </c>
      <c r="E543" s="139" t="s">
        <v>1549</v>
      </c>
      <c r="F543" s="139" t="s">
        <v>1547</v>
      </c>
      <c r="G543" s="139" t="s">
        <v>52</v>
      </c>
      <c r="H543" s="139" t="s">
        <v>1550</v>
      </c>
      <c r="I543" s="139" t="s">
        <v>1551</v>
      </c>
      <c r="J543" s="120"/>
      <c r="K543" s="228">
        <f t="shared" si="152"/>
        <v>22</v>
      </c>
      <c r="L543" s="297">
        <v>22</v>
      </c>
      <c r="M543" s="297"/>
      <c r="N543" s="297"/>
      <c r="O543" s="297">
        <v>1</v>
      </c>
      <c r="P543" s="297"/>
      <c r="Q543" s="297"/>
      <c r="R543" s="297"/>
      <c r="S543" s="139" t="s">
        <v>584</v>
      </c>
      <c r="T543" s="139" t="s">
        <v>584</v>
      </c>
      <c r="U543" s="238">
        <f t="shared" si="137"/>
        <v>3.5571428571428573E-2</v>
      </c>
      <c r="V543" s="238">
        <f t="shared" si="138"/>
        <v>0</v>
      </c>
      <c r="W543" s="238">
        <f t="shared" si="139"/>
        <v>3.5571428571428573E-2</v>
      </c>
      <c r="X543" s="238">
        <f t="shared" si="140"/>
        <v>0</v>
      </c>
      <c r="Y543" s="238">
        <f t="shared" si="141"/>
        <v>0</v>
      </c>
      <c r="Z543" s="295">
        <f t="shared" ref="Z543:Z548" si="154">AH543/$AG$542</f>
        <v>3.5571428571428573E-2</v>
      </c>
      <c r="AA543" s="295">
        <f t="shared" ref="AA543:AA548" si="155">AI543/$AG$542</f>
        <v>0</v>
      </c>
      <c r="AB543" s="295">
        <f t="shared" ref="AB543:AB548" si="156">AJ543/$AG$542</f>
        <v>3.5571428571428573E-2</v>
      </c>
      <c r="AC543" s="295">
        <f t="shared" ref="AC543:AC548" si="157">AK543/$AG$542</f>
        <v>0</v>
      </c>
      <c r="AD543" s="295">
        <f t="shared" ref="AD543:AD548" si="158">AL543/$AG$542</f>
        <v>0</v>
      </c>
      <c r="AE543" s="120"/>
      <c r="AF543" s="151"/>
      <c r="AG543" s="139">
        <v>4900</v>
      </c>
      <c r="AH543" s="139">
        <v>174.3</v>
      </c>
      <c r="AI543" s="139"/>
      <c r="AJ543" s="139">
        <v>174.3</v>
      </c>
      <c r="AK543" s="139"/>
      <c r="AL543" s="139"/>
      <c r="AM543" s="290">
        <f t="shared" si="142"/>
        <v>1.0545038749841191E-2</v>
      </c>
      <c r="AN543" s="290">
        <f t="shared" si="143"/>
        <v>0</v>
      </c>
      <c r="AO543" s="290">
        <f t="shared" si="144"/>
        <v>1.0545038749841191E-2</v>
      </c>
      <c r="AP543" s="290">
        <f t="shared" si="145"/>
        <v>0</v>
      </c>
      <c r="AQ543" s="290">
        <f t="shared" si="146"/>
        <v>0</v>
      </c>
      <c r="AR543" s="217" t="s">
        <v>1542</v>
      </c>
      <c r="AS543" s="276" t="s">
        <v>1542</v>
      </c>
      <c r="AT543" s="291" t="s">
        <v>1669</v>
      </c>
      <c r="AU543" s="298">
        <f t="shared" si="147"/>
        <v>174.3</v>
      </c>
      <c r="AV543" s="298">
        <f t="shared" si="148"/>
        <v>0</v>
      </c>
      <c r="AW543" s="298">
        <f t="shared" si="149"/>
        <v>174.3</v>
      </c>
      <c r="AX543" s="298">
        <f t="shared" si="150"/>
        <v>0</v>
      </c>
      <c r="AY543" s="298">
        <f t="shared" si="151"/>
        <v>0</v>
      </c>
      <c r="AZ543" s="298">
        <v>1.0545038749841191E-2</v>
      </c>
    </row>
    <row r="544" spans="1:52" s="298" customFormat="1" ht="15.75" customHeight="1" x14ac:dyDescent="0.35">
      <c r="A544" s="139" t="s">
        <v>1542</v>
      </c>
      <c r="B544" s="139" t="s">
        <v>1543</v>
      </c>
      <c r="C544" s="120" t="s">
        <v>1544</v>
      </c>
      <c r="D544" s="139" t="s">
        <v>1552</v>
      </c>
      <c r="E544" s="139" t="s">
        <v>1553</v>
      </c>
      <c r="F544" s="139" t="s">
        <v>1547</v>
      </c>
      <c r="G544" s="198" t="s">
        <v>1020</v>
      </c>
      <c r="H544" s="139" t="s">
        <v>1554</v>
      </c>
      <c r="I544" s="139" t="s">
        <v>1554</v>
      </c>
      <c r="J544" s="120"/>
      <c r="K544" s="228">
        <f t="shared" si="152"/>
        <v>22</v>
      </c>
      <c r="L544" s="297">
        <v>22</v>
      </c>
      <c r="M544" s="297"/>
      <c r="N544" s="297"/>
      <c r="O544" s="297">
        <v>1</v>
      </c>
      <c r="P544" s="297"/>
      <c r="Q544" s="297"/>
      <c r="R544" s="297"/>
      <c r="S544" s="139" t="s">
        <v>584</v>
      </c>
      <c r="T544" s="139" t="s">
        <v>584</v>
      </c>
      <c r="U544" s="238">
        <f t="shared" si="137"/>
        <v>5.7857142857142864E-3</v>
      </c>
      <c r="V544" s="238">
        <f t="shared" si="138"/>
        <v>0</v>
      </c>
      <c r="W544" s="238">
        <f t="shared" si="139"/>
        <v>5.7857142857142864E-3</v>
      </c>
      <c r="X544" s="238">
        <f t="shared" si="140"/>
        <v>0</v>
      </c>
      <c r="Y544" s="238">
        <f t="shared" si="141"/>
        <v>0</v>
      </c>
      <c r="Z544" s="295">
        <f t="shared" si="154"/>
        <v>5.7857142857142864E-3</v>
      </c>
      <c r="AA544" s="295">
        <f t="shared" si="155"/>
        <v>0</v>
      </c>
      <c r="AB544" s="295">
        <f t="shared" si="156"/>
        <v>5.7857142857142864E-3</v>
      </c>
      <c r="AC544" s="295">
        <f t="shared" si="157"/>
        <v>0</v>
      </c>
      <c r="AD544" s="295">
        <f t="shared" si="158"/>
        <v>0</v>
      </c>
      <c r="AE544" s="120"/>
      <c r="AF544" s="151"/>
      <c r="AG544" s="139">
        <v>4900</v>
      </c>
      <c r="AH544" s="139">
        <v>28.35</v>
      </c>
      <c r="AI544" s="139"/>
      <c r="AJ544" s="139">
        <v>28.35</v>
      </c>
      <c r="AK544" s="139">
        <v>0</v>
      </c>
      <c r="AL544" s="139"/>
      <c r="AM544" s="290">
        <f t="shared" si="142"/>
        <v>1.7151569050946516E-3</v>
      </c>
      <c r="AN544" s="290">
        <f t="shared" si="143"/>
        <v>0</v>
      </c>
      <c r="AO544" s="290">
        <f t="shared" si="144"/>
        <v>1.7151569050946516E-3</v>
      </c>
      <c r="AP544" s="290">
        <f t="shared" si="145"/>
        <v>0</v>
      </c>
      <c r="AQ544" s="290">
        <f t="shared" si="146"/>
        <v>0</v>
      </c>
      <c r="AR544" s="217" t="s">
        <v>1542</v>
      </c>
      <c r="AS544" s="276" t="s">
        <v>1542</v>
      </c>
      <c r="AT544" s="291" t="s">
        <v>1669</v>
      </c>
      <c r="AU544" s="298">
        <f t="shared" si="147"/>
        <v>28.35</v>
      </c>
      <c r="AV544" s="298">
        <f t="shared" si="148"/>
        <v>0</v>
      </c>
      <c r="AW544" s="298">
        <f t="shared" si="149"/>
        <v>28.35</v>
      </c>
      <c r="AX544" s="298">
        <f t="shared" si="150"/>
        <v>0</v>
      </c>
      <c r="AY544" s="298">
        <f t="shared" si="151"/>
        <v>0</v>
      </c>
      <c r="AZ544" s="298">
        <v>1.7151569050946516E-3</v>
      </c>
    </row>
    <row r="545" spans="1:52" s="298" customFormat="1" ht="15.75" customHeight="1" x14ac:dyDescent="0.35">
      <c r="A545" s="139" t="s">
        <v>1542</v>
      </c>
      <c r="B545" s="139" t="s">
        <v>1543</v>
      </c>
      <c r="C545" s="120" t="s">
        <v>1544</v>
      </c>
      <c r="D545" s="139" t="s">
        <v>1552</v>
      </c>
      <c r="E545" s="139" t="s">
        <v>1264</v>
      </c>
      <c r="F545" s="139" t="s">
        <v>1547</v>
      </c>
      <c r="G545" s="198" t="s">
        <v>1020</v>
      </c>
      <c r="H545" s="139" t="s">
        <v>1555</v>
      </c>
      <c r="I545" s="139" t="s">
        <v>1556</v>
      </c>
      <c r="J545" s="120"/>
      <c r="K545" s="228">
        <f t="shared" si="152"/>
        <v>22</v>
      </c>
      <c r="L545" s="297">
        <v>22</v>
      </c>
      <c r="M545" s="297"/>
      <c r="N545" s="297"/>
      <c r="O545" s="297">
        <v>1</v>
      </c>
      <c r="P545" s="297"/>
      <c r="Q545" s="297"/>
      <c r="R545" s="297"/>
      <c r="S545" s="139" t="s">
        <v>584</v>
      </c>
      <c r="T545" s="139" t="s">
        <v>584</v>
      </c>
      <c r="U545" s="238">
        <f t="shared" si="137"/>
        <v>6.107142857142857E-3</v>
      </c>
      <c r="V545" s="238">
        <f t="shared" si="138"/>
        <v>0</v>
      </c>
      <c r="W545" s="238">
        <f t="shared" si="139"/>
        <v>0</v>
      </c>
      <c r="X545" s="238">
        <f t="shared" si="140"/>
        <v>6.107142857142857E-3</v>
      </c>
      <c r="Y545" s="238">
        <f t="shared" si="141"/>
        <v>0</v>
      </c>
      <c r="Z545" s="295">
        <f t="shared" si="154"/>
        <v>6.107142857142857E-3</v>
      </c>
      <c r="AA545" s="295">
        <f t="shared" si="155"/>
        <v>0</v>
      </c>
      <c r="AB545" s="295">
        <f t="shared" si="156"/>
        <v>0</v>
      </c>
      <c r="AC545" s="295">
        <f t="shared" si="157"/>
        <v>6.107142857142857E-3</v>
      </c>
      <c r="AD545" s="295">
        <f t="shared" si="158"/>
        <v>0</v>
      </c>
      <c r="AE545" s="120"/>
      <c r="AF545" s="151"/>
      <c r="AG545" s="139">
        <v>4900</v>
      </c>
      <c r="AH545" s="139">
        <v>29.925000000000001</v>
      </c>
      <c r="AI545" s="139"/>
      <c r="AJ545" s="139"/>
      <c r="AK545" s="139">
        <v>29.925000000000001</v>
      </c>
      <c r="AL545" s="139"/>
      <c r="AM545" s="290">
        <f t="shared" si="142"/>
        <v>1.8104433998221321E-3</v>
      </c>
      <c r="AN545" s="290">
        <f t="shared" si="143"/>
        <v>0</v>
      </c>
      <c r="AO545" s="290">
        <f t="shared" si="144"/>
        <v>0</v>
      </c>
      <c r="AP545" s="290">
        <f t="shared" si="145"/>
        <v>1.8104433998221321E-3</v>
      </c>
      <c r="AQ545" s="290">
        <f t="shared" si="146"/>
        <v>0</v>
      </c>
      <c r="AR545" s="217" t="s">
        <v>1542</v>
      </c>
      <c r="AS545" s="276" t="s">
        <v>1542</v>
      </c>
      <c r="AT545" s="291" t="s">
        <v>1669</v>
      </c>
      <c r="AU545" s="298">
        <f t="shared" si="147"/>
        <v>29.925000000000001</v>
      </c>
      <c r="AV545" s="298">
        <f t="shared" si="148"/>
        <v>0</v>
      </c>
      <c r="AW545" s="298">
        <f t="shared" si="149"/>
        <v>0</v>
      </c>
      <c r="AX545" s="298">
        <f t="shared" si="150"/>
        <v>29.925000000000001</v>
      </c>
      <c r="AY545" s="298">
        <f t="shared" si="151"/>
        <v>0</v>
      </c>
      <c r="AZ545" s="298">
        <v>1.8104433998221321E-3</v>
      </c>
    </row>
    <row r="546" spans="1:52" s="298" customFormat="1" ht="15.75" customHeight="1" x14ac:dyDescent="0.35">
      <c r="A546" s="139" t="s">
        <v>1542</v>
      </c>
      <c r="B546" s="139" t="s">
        <v>1543</v>
      </c>
      <c r="C546" s="120" t="s">
        <v>1544</v>
      </c>
      <c r="D546" s="139" t="s">
        <v>1552</v>
      </c>
      <c r="E546" s="139" t="s">
        <v>1557</v>
      </c>
      <c r="F546" s="139" t="s">
        <v>1547</v>
      </c>
      <c r="G546" s="198" t="s">
        <v>1020</v>
      </c>
      <c r="H546" s="277" t="s">
        <v>1558</v>
      </c>
      <c r="I546" s="139" t="s">
        <v>1559</v>
      </c>
      <c r="J546" s="120"/>
      <c r="K546" s="228">
        <f t="shared" si="152"/>
        <v>22</v>
      </c>
      <c r="L546" s="297">
        <v>22</v>
      </c>
      <c r="M546" s="297"/>
      <c r="N546" s="297"/>
      <c r="O546" s="297">
        <v>1</v>
      </c>
      <c r="P546" s="297"/>
      <c r="Q546" s="297"/>
      <c r="R546" s="297"/>
      <c r="S546" s="139" t="s">
        <v>584</v>
      </c>
      <c r="T546" s="139" t="s">
        <v>584</v>
      </c>
      <c r="U546" s="238">
        <f t="shared" si="137"/>
        <v>5.7857142857142864E-3</v>
      </c>
      <c r="V546" s="238">
        <f t="shared" si="138"/>
        <v>0</v>
      </c>
      <c r="W546" s="238">
        <f t="shared" si="139"/>
        <v>5.7857142857142864E-3</v>
      </c>
      <c r="X546" s="238">
        <f t="shared" si="140"/>
        <v>0</v>
      </c>
      <c r="Y546" s="238">
        <f t="shared" si="141"/>
        <v>0</v>
      </c>
      <c r="Z546" s="295">
        <f t="shared" si="154"/>
        <v>5.7857142857142864E-3</v>
      </c>
      <c r="AA546" s="295">
        <f t="shared" si="155"/>
        <v>0</v>
      </c>
      <c r="AB546" s="295">
        <f t="shared" si="156"/>
        <v>5.7857142857142864E-3</v>
      </c>
      <c r="AC546" s="295">
        <f t="shared" si="157"/>
        <v>0</v>
      </c>
      <c r="AD546" s="295">
        <f t="shared" si="158"/>
        <v>0</v>
      </c>
      <c r="AE546" s="120"/>
      <c r="AF546" s="151"/>
      <c r="AG546" s="139">
        <v>4900</v>
      </c>
      <c r="AH546" s="139">
        <v>28.35</v>
      </c>
      <c r="AI546" s="139"/>
      <c r="AJ546" s="139">
        <v>28.35</v>
      </c>
      <c r="AK546" s="139"/>
      <c r="AL546" s="139"/>
      <c r="AM546" s="290">
        <f t="shared" si="142"/>
        <v>1.7151569050946516E-3</v>
      </c>
      <c r="AN546" s="290">
        <f t="shared" si="143"/>
        <v>0</v>
      </c>
      <c r="AO546" s="290">
        <f t="shared" si="144"/>
        <v>1.7151569050946516E-3</v>
      </c>
      <c r="AP546" s="290">
        <f t="shared" si="145"/>
        <v>0</v>
      </c>
      <c r="AQ546" s="290">
        <f t="shared" si="146"/>
        <v>0</v>
      </c>
      <c r="AR546" s="217" t="s">
        <v>1542</v>
      </c>
      <c r="AS546" s="276" t="s">
        <v>1542</v>
      </c>
      <c r="AT546" s="291" t="s">
        <v>1669</v>
      </c>
      <c r="AU546" s="298">
        <f t="shared" si="147"/>
        <v>28.35</v>
      </c>
      <c r="AV546" s="298">
        <f t="shared" si="148"/>
        <v>0</v>
      </c>
      <c r="AW546" s="298">
        <f t="shared" si="149"/>
        <v>28.35</v>
      </c>
      <c r="AX546" s="298">
        <f t="shared" si="150"/>
        <v>0</v>
      </c>
      <c r="AY546" s="298">
        <f t="shared" si="151"/>
        <v>0</v>
      </c>
      <c r="AZ546" s="298">
        <v>1.7151569050946516E-3</v>
      </c>
    </row>
    <row r="547" spans="1:52" s="298" customFormat="1" ht="15.75" customHeight="1" x14ac:dyDescent="0.35">
      <c r="A547" s="139" t="s">
        <v>1542</v>
      </c>
      <c r="B547" s="139" t="s">
        <v>1543</v>
      </c>
      <c r="C547" s="120" t="s">
        <v>1544</v>
      </c>
      <c r="D547" s="139" t="s">
        <v>1552</v>
      </c>
      <c r="E547" s="139" t="s">
        <v>1560</v>
      </c>
      <c r="F547" s="139" t="s">
        <v>1547</v>
      </c>
      <c r="G547" s="198" t="s">
        <v>1020</v>
      </c>
      <c r="H547" s="277" t="s">
        <v>1561</v>
      </c>
      <c r="I547" s="139" t="s">
        <v>1562</v>
      </c>
      <c r="J547" s="120"/>
      <c r="K547" s="228">
        <f t="shared" si="152"/>
        <v>22</v>
      </c>
      <c r="L547" s="297">
        <v>22</v>
      </c>
      <c r="M547" s="297"/>
      <c r="N547" s="297"/>
      <c r="O547" s="297">
        <v>1</v>
      </c>
      <c r="P547" s="297"/>
      <c r="Q547" s="297"/>
      <c r="R547" s="297"/>
      <c r="S547" s="139" t="s">
        <v>584</v>
      </c>
      <c r="T547" s="139" t="s">
        <v>584</v>
      </c>
      <c r="U547" s="238">
        <f t="shared" si="137"/>
        <v>6.107142857142857E-3</v>
      </c>
      <c r="V547" s="238">
        <f t="shared" si="138"/>
        <v>0</v>
      </c>
      <c r="W547" s="238">
        <f t="shared" si="139"/>
        <v>0</v>
      </c>
      <c r="X547" s="238">
        <f t="shared" si="140"/>
        <v>6.107142857142857E-3</v>
      </c>
      <c r="Y547" s="238">
        <f t="shared" si="141"/>
        <v>0</v>
      </c>
      <c r="Z547" s="295">
        <f t="shared" si="154"/>
        <v>6.107142857142857E-3</v>
      </c>
      <c r="AA547" s="295">
        <f t="shared" si="155"/>
        <v>0</v>
      </c>
      <c r="AB547" s="295">
        <f t="shared" si="156"/>
        <v>0</v>
      </c>
      <c r="AC547" s="295">
        <f t="shared" si="157"/>
        <v>6.107142857142857E-3</v>
      </c>
      <c r="AD547" s="295">
        <f t="shared" si="158"/>
        <v>0</v>
      </c>
      <c r="AE547" s="120"/>
      <c r="AF547" s="151"/>
      <c r="AG547" s="139">
        <v>4900</v>
      </c>
      <c r="AH547" s="139">
        <v>29.925000000000001</v>
      </c>
      <c r="AI547" s="139"/>
      <c r="AJ547" s="139"/>
      <c r="AK547" s="139">
        <v>29.925000000000001</v>
      </c>
      <c r="AL547" s="139"/>
      <c r="AM547" s="290">
        <f t="shared" si="142"/>
        <v>1.8104433998221321E-3</v>
      </c>
      <c r="AN547" s="290">
        <f t="shared" si="143"/>
        <v>0</v>
      </c>
      <c r="AO547" s="290">
        <f t="shared" si="144"/>
        <v>0</v>
      </c>
      <c r="AP547" s="290">
        <f t="shared" si="145"/>
        <v>1.8104433998221321E-3</v>
      </c>
      <c r="AQ547" s="290">
        <f t="shared" si="146"/>
        <v>0</v>
      </c>
      <c r="AR547" s="217" t="s">
        <v>1542</v>
      </c>
      <c r="AS547" s="276" t="s">
        <v>1542</v>
      </c>
      <c r="AT547" s="291" t="s">
        <v>1669</v>
      </c>
      <c r="AU547" s="298">
        <f t="shared" si="147"/>
        <v>29.925000000000001</v>
      </c>
      <c r="AV547" s="298">
        <f t="shared" si="148"/>
        <v>0</v>
      </c>
      <c r="AW547" s="298">
        <f t="shared" si="149"/>
        <v>0</v>
      </c>
      <c r="AX547" s="298">
        <f t="shared" si="150"/>
        <v>29.925000000000001</v>
      </c>
      <c r="AY547" s="298">
        <f t="shared" si="151"/>
        <v>0</v>
      </c>
      <c r="AZ547" s="298">
        <v>1.8104433998221321E-3</v>
      </c>
    </row>
    <row r="548" spans="1:52" s="300" customFormat="1" ht="15.75" customHeight="1" x14ac:dyDescent="0.35">
      <c r="A548" s="278" t="s">
        <v>1542</v>
      </c>
      <c r="B548" s="278" t="s">
        <v>1543</v>
      </c>
      <c r="C548" s="229" t="s">
        <v>1544</v>
      </c>
      <c r="D548" s="278" t="s">
        <v>1563</v>
      </c>
      <c r="E548" s="278" t="s">
        <v>1564</v>
      </c>
      <c r="F548" s="278" t="s">
        <v>1547</v>
      </c>
      <c r="G548" s="278" t="s">
        <v>1020</v>
      </c>
      <c r="H548" s="278" t="s">
        <v>1565</v>
      </c>
      <c r="I548" s="278" t="s">
        <v>1566</v>
      </c>
      <c r="J548" s="229"/>
      <c r="K548" s="228">
        <f t="shared" si="152"/>
        <v>22</v>
      </c>
      <c r="L548" s="299">
        <v>22</v>
      </c>
      <c r="M548" s="299"/>
      <c r="N548" s="299"/>
      <c r="O548" s="299">
        <v>1</v>
      </c>
      <c r="P548" s="299"/>
      <c r="Q548" s="299"/>
      <c r="R548" s="299"/>
      <c r="S548" s="278" t="s">
        <v>584</v>
      </c>
      <c r="T548" s="278" t="s">
        <v>584</v>
      </c>
      <c r="U548" s="238">
        <f t="shared" si="137"/>
        <v>1.7142857142857144E-2</v>
      </c>
      <c r="V548" s="238">
        <f t="shared" si="138"/>
        <v>0</v>
      </c>
      <c r="W548" s="238">
        <f t="shared" si="139"/>
        <v>4.9285714285714289E-3</v>
      </c>
      <c r="X548" s="238">
        <f t="shared" si="140"/>
        <v>1.2214285714285714E-2</v>
      </c>
      <c r="Y548" s="238">
        <f t="shared" si="141"/>
        <v>0</v>
      </c>
      <c r="Z548" s="295">
        <f t="shared" si="154"/>
        <v>1.7142857142857144E-2</v>
      </c>
      <c r="AA548" s="295">
        <f t="shared" si="155"/>
        <v>0</v>
      </c>
      <c r="AB548" s="295">
        <f t="shared" si="156"/>
        <v>4.9285714285714289E-3</v>
      </c>
      <c r="AC548" s="295">
        <f t="shared" si="157"/>
        <v>1.2214285714285714E-2</v>
      </c>
      <c r="AD548" s="295">
        <f t="shared" si="158"/>
        <v>0</v>
      </c>
      <c r="AE548" s="229"/>
      <c r="AF548" s="279"/>
      <c r="AG548" s="278">
        <v>4900</v>
      </c>
      <c r="AH548" s="278">
        <v>84</v>
      </c>
      <c r="AI548" s="278"/>
      <c r="AJ548" s="278">
        <v>24.150000000000002</v>
      </c>
      <c r="AK548" s="278">
        <v>59.85</v>
      </c>
      <c r="AL548" s="278"/>
      <c r="AM548" s="292">
        <f t="shared" si="142"/>
        <v>5.0819463854656338E-3</v>
      </c>
      <c r="AN548" s="292">
        <f t="shared" si="143"/>
        <v>0</v>
      </c>
      <c r="AO548" s="292">
        <f t="shared" si="144"/>
        <v>1.4610595858213699E-3</v>
      </c>
      <c r="AP548" s="292">
        <f t="shared" si="145"/>
        <v>3.6208867996442642E-3</v>
      </c>
      <c r="AQ548" s="292">
        <f t="shared" si="146"/>
        <v>0</v>
      </c>
      <c r="AR548" s="280" t="s">
        <v>1542</v>
      </c>
      <c r="AS548" s="281" t="s">
        <v>1542</v>
      </c>
      <c r="AT548" s="293" t="s">
        <v>1669</v>
      </c>
      <c r="AU548" s="300">
        <f t="shared" si="147"/>
        <v>84</v>
      </c>
      <c r="AV548" s="300">
        <f t="shared" si="148"/>
        <v>0</v>
      </c>
      <c r="AW548" s="300">
        <f t="shared" si="149"/>
        <v>24.150000000000002</v>
      </c>
      <c r="AX548" s="300">
        <f t="shared" si="150"/>
        <v>59.85</v>
      </c>
      <c r="AY548" s="300">
        <f t="shared" si="151"/>
        <v>0</v>
      </c>
      <c r="AZ548" s="300">
        <v>5.0819463854656338E-3</v>
      </c>
    </row>
    <row r="549" spans="1:52" s="249" customFormat="1" ht="15.75" customHeight="1" x14ac:dyDescent="0.35">
      <c r="A549" s="67"/>
      <c r="B549" s="67"/>
      <c r="C549" s="67"/>
      <c r="D549" s="67"/>
      <c r="E549" s="67"/>
      <c r="F549" s="67"/>
      <c r="G549" s="67"/>
      <c r="H549" s="67"/>
      <c r="I549" s="67"/>
      <c r="J549" s="95"/>
      <c r="K549" s="120"/>
      <c r="L549" s="248"/>
      <c r="M549" s="248"/>
      <c r="N549" s="248"/>
      <c r="O549" s="107"/>
      <c r="P549" s="248"/>
      <c r="Q549" s="248"/>
      <c r="R549" s="104"/>
      <c r="S549" s="67"/>
      <c r="T549" s="107"/>
      <c r="U549" s="158"/>
      <c r="V549" s="107"/>
      <c r="W549" s="107"/>
      <c r="X549" s="107"/>
      <c r="Y549" s="107"/>
      <c r="Z549" s="67"/>
      <c r="AA549" s="67"/>
      <c r="AB549" s="67"/>
      <c r="AC549" s="67"/>
      <c r="AD549" s="67"/>
      <c r="AE549" s="248"/>
      <c r="AF549" s="72"/>
      <c r="AG549" s="199"/>
      <c r="AH549" s="170"/>
      <c r="AI549" s="67"/>
      <c r="AJ549" s="67"/>
      <c r="AK549" s="67"/>
      <c r="AL549" s="138"/>
      <c r="AM549" s="241"/>
      <c r="AT549" s="240"/>
    </row>
    <row r="550" spans="1:52" s="249" customFormat="1" ht="15.75" customHeight="1" x14ac:dyDescent="0.35">
      <c r="A550" s="67"/>
      <c r="B550" s="67"/>
      <c r="C550" s="67"/>
      <c r="D550" s="67"/>
      <c r="E550" s="67"/>
      <c r="F550" s="67"/>
      <c r="G550" s="67"/>
      <c r="H550" s="67"/>
      <c r="I550" s="67"/>
      <c r="J550" s="95"/>
      <c r="K550" s="120"/>
      <c r="L550" s="248"/>
      <c r="M550" s="248"/>
      <c r="N550" s="248"/>
      <c r="O550" s="107"/>
      <c r="P550" s="248"/>
      <c r="Q550" s="248"/>
      <c r="R550" s="104"/>
      <c r="S550" s="67"/>
      <c r="T550" s="107"/>
      <c r="U550" s="107"/>
      <c r="V550" s="107"/>
      <c r="W550" s="107"/>
      <c r="X550" s="107"/>
      <c r="Y550" s="107"/>
      <c r="Z550" s="107"/>
      <c r="AA550" s="107"/>
      <c r="AB550" s="107"/>
      <c r="AC550" s="107"/>
      <c r="AD550" s="72"/>
      <c r="AE550" s="248"/>
      <c r="AF550" s="72"/>
      <c r="AG550" s="199"/>
      <c r="AH550" s="139"/>
      <c r="AI550" s="67"/>
      <c r="AJ550" s="67"/>
      <c r="AK550" s="67"/>
      <c r="AL550" s="138"/>
      <c r="AT550" s="240"/>
    </row>
    <row r="551" spans="1:52" s="249" customFormat="1" ht="15.75" customHeight="1" x14ac:dyDescent="0.35">
      <c r="A551" s="67"/>
      <c r="B551" s="67"/>
      <c r="C551" s="67"/>
      <c r="D551" s="67"/>
      <c r="E551" s="67"/>
      <c r="F551" s="67"/>
      <c r="G551" s="67"/>
      <c r="H551" s="67"/>
      <c r="I551" s="67"/>
      <c r="J551" s="95"/>
      <c r="K551" s="120"/>
      <c r="L551" s="248"/>
      <c r="M551" s="248"/>
      <c r="N551" s="248"/>
      <c r="O551" s="107"/>
      <c r="P551" s="248"/>
      <c r="Q551" s="248"/>
      <c r="R551" s="104"/>
      <c r="S551" s="67"/>
      <c r="T551" s="107"/>
      <c r="U551" s="158"/>
      <c r="V551" s="107"/>
      <c r="W551" s="107"/>
      <c r="X551" s="107"/>
      <c r="Y551" s="107"/>
      <c r="Z551" s="107"/>
      <c r="AA551" s="107"/>
      <c r="AB551" s="107"/>
      <c r="AC551" s="107"/>
      <c r="AD551" s="72"/>
      <c r="AE551" s="248"/>
      <c r="AF551" s="72"/>
      <c r="AG551" s="199"/>
      <c r="AH551" s="200"/>
      <c r="AI551" s="67"/>
      <c r="AJ551" s="67"/>
      <c r="AK551" s="67"/>
      <c r="AL551" s="138"/>
      <c r="AM551" s="241"/>
      <c r="AN551" s="241"/>
      <c r="AO551" s="241"/>
      <c r="AP551" s="241"/>
      <c r="AQ551" s="241"/>
      <c r="AT551" s="240"/>
    </row>
    <row r="552" spans="1:52" s="249" customFormat="1" ht="15.75" customHeight="1" x14ac:dyDescent="0.35">
      <c r="A552" s="250"/>
      <c r="B552" s="250"/>
      <c r="C552" s="250"/>
      <c r="D552" s="250"/>
      <c r="E552" s="250"/>
      <c r="F552" s="250"/>
      <c r="G552" s="250"/>
      <c r="H552" s="250"/>
      <c r="I552" s="250"/>
      <c r="J552" s="251"/>
      <c r="K552" s="252"/>
      <c r="L552" s="253"/>
      <c r="M552" s="253"/>
      <c r="N552" s="253"/>
      <c r="O552" s="254"/>
      <c r="P552" s="253"/>
      <c r="Q552" s="253"/>
      <c r="R552" s="255"/>
      <c r="S552" s="250"/>
      <c r="T552" s="254"/>
      <c r="U552" s="254"/>
      <c r="V552" s="254"/>
      <c r="W552" s="254"/>
      <c r="X552" s="254"/>
      <c r="Y552" s="254"/>
      <c r="Z552" s="256"/>
      <c r="AA552" s="254"/>
      <c r="AB552" s="254"/>
      <c r="AC552" s="254"/>
      <c r="AD552" s="257"/>
      <c r="AE552" s="253"/>
      <c r="AF552" s="257"/>
      <c r="AG552" s="250"/>
      <c r="AH552" s="250"/>
      <c r="AI552" s="250"/>
      <c r="AJ552" s="250"/>
      <c r="AK552" s="250"/>
      <c r="AL552" s="258"/>
      <c r="AT552" s="240"/>
    </row>
    <row r="553" spans="1:52" s="249" customFormat="1" ht="15.75" customHeight="1" x14ac:dyDescent="0.35">
      <c r="A553" s="250"/>
      <c r="B553" s="250"/>
      <c r="C553" s="250"/>
      <c r="D553" s="250"/>
      <c r="E553" s="250"/>
      <c r="F553" s="250"/>
      <c r="G553" s="250"/>
      <c r="H553" s="250"/>
      <c r="I553" s="250"/>
      <c r="J553" s="251"/>
      <c r="K553" s="252"/>
      <c r="L553" s="253"/>
      <c r="M553" s="253"/>
      <c r="N553" s="253"/>
      <c r="O553" s="254"/>
      <c r="P553" s="253"/>
      <c r="Q553" s="253"/>
      <c r="R553" s="255"/>
      <c r="S553" s="250"/>
      <c r="T553" s="254"/>
      <c r="U553" s="254"/>
      <c r="V553" s="254"/>
      <c r="W553" s="254"/>
      <c r="X553" s="254"/>
      <c r="Y553" s="254"/>
      <c r="Z553" s="254"/>
      <c r="AA553" s="254"/>
      <c r="AB553" s="254"/>
      <c r="AC553" s="254"/>
      <c r="AD553" s="257"/>
      <c r="AE553" s="253"/>
      <c r="AF553" s="257"/>
      <c r="AG553" s="250"/>
      <c r="AH553" s="250"/>
      <c r="AI553" s="250"/>
      <c r="AJ553" s="250"/>
      <c r="AK553" s="250"/>
      <c r="AL553" s="258"/>
      <c r="AM553" s="241"/>
      <c r="AN553" s="241"/>
      <c r="AO553" s="241"/>
      <c r="AP553" s="241"/>
      <c r="AQ553" s="241"/>
      <c r="AT553" s="240"/>
    </row>
    <row r="554" spans="1:52" ht="15.75" customHeight="1" x14ac:dyDescent="0.35">
      <c r="A554" s="3"/>
      <c r="B554" s="3"/>
      <c r="C554" s="3"/>
      <c r="D554" s="3"/>
      <c r="E554" s="3"/>
      <c r="F554" s="3"/>
      <c r="G554" s="3"/>
      <c r="H554" s="3"/>
      <c r="I554" s="3"/>
      <c r="J554" s="4"/>
      <c r="K554" s="227"/>
      <c r="L554" s="5"/>
      <c r="M554" s="5"/>
      <c r="N554" s="5"/>
      <c r="O554" s="6"/>
      <c r="P554" s="5"/>
      <c r="Q554" s="5"/>
      <c r="R554" s="7"/>
      <c r="S554" s="3"/>
      <c r="T554" s="6"/>
      <c r="U554" s="6"/>
      <c r="V554" s="6"/>
      <c r="W554" s="6"/>
      <c r="X554" s="6"/>
      <c r="Y554" s="6"/>
      <c r="Z554" s="6"/>
      <c r="AA554" s="6"/>
      <c r="AB554" s="6"/>
      <c r="AC554" s="6"/>
      <c r="AD554" s="8"/>
      <c r="AE554" s="5"/>
      <c r="AF554" s="8"/>
      <c r="AG554" s="3"/>
      <c r="AH554" s="3"/>
      <c r="AI554" s="3"/>
      <c r="AJ554" s="3"/>
      <c r="AK554" s="3"/>
      <c r="AL554" s="9"/>
    </row>
    <row r="555" spans="1:52" ht="15.75" customHeight="1" x14ac:dyDescent="0.35">
      <c r="A555" s="3"/>
      <c r="B555" s="3"/>
      <c r="C555" s="3"/>
      <c r="D555" s="3"/>
      <c r="E555" s="3"/>
      <c r="F555" s="3"/>
      <c r="G555" s="3"/>
      <c r="H555" s="3"/>
      <c r="I555" s="3"/>
      <c r="J555" s="4"/>
      <c r="K555" s="227"/>
      <c r="L555" s="5"/>
      <c r="M555" s="5"/>
      <c r="N555" s="5"/>
      <c r="O555" s="6"/>
      <c r="P555" s="5"/>
      <c r="Q555" s="5"/>
      <c r="R555" s="7"/>
      <c r="S555" s="3"/>
      <c r="T555" s="6"/>
      <c r="U555" s="6"/>
      <c r="V555" s="6"/>
      <c r="W555" s="6"/>
      <c r="X555" s="6"/>
      <c r="Y555" s="6"/>
      <c r="Z555" s="6"/>
      <c r="AA555" s="6"/>
      <c r="AB555" s="6"/>
      <c r="AC555" s="6"/>
      <c r="AD555" s="8"/>
      <c r="AE555" s="5"/>
      <c r="AF555" s="8"/>
      <c r="AG555" s="3"/>
      <c r="AH555" s="1"/>
      <c r="AI555" s="3"/>
      <c r="AJ555" s="3"/>
      <c r="AK555" s="3"/>
      <c r="AL555" s="9"/>
    </row>
    <row r="556" spans="1:52" ht="15.75" customHeight="1" x14ac:dyDescent="0.35">
      <c r="A556" s="3"/>
      <c r="B556" s="3"/>
      <c r="C556" s="3"/>
      <c r="D556" s="3"/>
      <c r="E556" s="3"/>
      <c r="F556" s="3"/>
      <c r="G556" s="3"/>
      <c r="H556" s="3"/>
      <c r="I556" s="3"/>
      <c r="J556" s="4"/>
      <c r="K556" s="227"/>
      <c r="L556" s="5"/>
      <c r="M556" s="5"/>
      <c r="N556" s="5"/>
      <c r="O556" s="6"/>
      <c r="P556" s="5"/>
      <c r="Q556" s="5"/>
      <c r="R556" s="7"/>
      <c r="S556" s="3"/>
      <c r="T556" s="6"/>
      <c r="U556" s="6"/>
      <c r="V556" s="6"/>
      <c r="W556" s="6"/>
      <c r="X556" s="6"/>
      <c r="Y556" s="6"/>
      <c r="Z556" s="6"/>
      <c r="AA556" s="6"/>
      <c r="AB556" s="6"/>
      <c r="AC556" s="6"/>
      <c r="AD556" s="8"/>
      <c r="AE556" s="5"/>
      <c r="AF556" s="8"/>
      <c r="AG556" s="3"/>
      <c r="AH556" s="3"/>
      <c r="AI556" s="3"/>
      <c r="AJ556" s="3"/>
      <c r="AK556" s="3"/>
      <c r="AL556" s="9"/>
    </row>
    <row r="557" spans="1:52" ht="15.75" customHeight="1" x14ac:dyDescent="0.35">
      <c r="A557" s="3"/>
      <c r="B557" s="3"/>
      <c r="C557" s="3"/>
      <c r="D557" s="3"/>
      <c r="E557" s="3"/>
      <c r="F557" s="3"/>
      <c r="G557" s="3"/>
      <c r="H557" s="3"/>
      <c r="I557" s="3"/>
      <c r="J557" s="4"/>
      <c r="K557" s="227"/>
      <c r="L557" s="5"/>
      <c r="M557" s="5"/>
      <c r="N557" s="5"/>
      <c r="O557" s="6"/>
      <c r="P557" s="5"/>
      <c r="Q557" s="5"/>
      <c r="R557" s="7"/>
      <c r="S557" s="3"/>
      <c r="T557" s="6"/>
      <c r="U557" s="6"/>
      <c r="V557" s="6"/>
      <c r="W557" s="6"/>
      <c r="X557" s="6"/>
      <c r="Y557" s="6"/>
      <c r="Z557" s="6"/>
      <c r="AA557" s="6"/>
      <c r="AB557" s="6"/>
      <c r="AC557" s="6"/>
      <c r="AD557" s="8"/>
      <c r="AE557" s="5"/>
      <c r="AF557" s="8"/>
      <c r="AG557" s="3"/>
      <c r="AH557" s="3"/>
      <c r="AI557" s="3"/>
      <c r="AJ557" s="3"/>
      <c r="AK557" s="3"/>
      <c r="AL557" s="9"/>
    </row>
    <row r="558" spans="1:52" ht="15.75" customHeight="1" x14ac:dyDescent="0.35">
      <c r="A558" s="3"/>
      <c r="B558" s="3"/>
      <c r="C558" s="3"/>
      <c r="D558" s="3"/>
      <c r="E558" s="3"/>
      <c r="F558" s="3"/>
      <c r="G558" s="3"/>
      <c r="H558" s="3"/>
      <c r="I558" s="3"/>
      <c r="J558" s="4"/>
      <c r="K558" s="227"/>
      <c r="L558" s="5"/>
      <c r="M558" s="5"/>
      <c r="N558" s="5"/>
      <c r="O558" s="6"/>
      <c r="P558" s="5"/>
      <c r="Q558" s="5"/>
      <c r="R558" s="7"/>
      <c r="S558" s="3"/>
      <c r="T558" s="6"/>
      <c r="U558" s="6"/>
      <c r="V558" s="6"/>
      <c r="W558" s="6"/>
      <c r="X558" s="6"/>
      <c r="Y558" s="6"/>
      <c r="Z558" s="6"/>
      <c r="AA558" s="6"/>
      <c r="AB558" s="6"/>
      <c r="AC558" s="6"/>
      <c r="AD558" s="8"/>
      <c r="AE558" s="5"/>
      <c r="AF558" s="8"/>
      <c r="AG558" s="3"/>
      <c r="AH558" s="3"/>
      <c r="AI558" s="3"/>
      <c r="AJ558" s="3"/>
      <c r="AK558" s="3"/>
      <c r="AL558" s="9"/>
    </row>
    <row r="559" spans="1:52" ht="15.75" customHeight="1" x14ac:dyDescent="0.35">
      <c r="A559" s="3"/>
      <c r="B559" s="3"/>
      <c r="C559" s="3"/>
      <c r="D559" s="3"/>
      <c r="E559" s="3"/>
      <c r="F559" s="3"/>
      <c r="G559" s="3"/>
      <c r="H559" s="3"/>
      <c r="I559" s="3"/>
      <c r="J559" s="4"/>
      <c r="K559" s="227"/>
      <c r="L559" s="5"/>
      <c r="M559" s="5"/>
      <c r="N559" s="5"/>
      <c r="O559" s="6"/>
      <c r="P559" s="5"/>
      <c r="Q559" s="5"/>
      <c r="R559" s="7"/>
      <c r="S559" s="3"/>
      <c r="T559" s="6"/>
      <c r="U559" s="6"/>
      <c r="V559" s="6"/>
      <c r="W559" s="6"/>
      <c r="X559" s="6"/>
      <c r="Y559" s="6"/>
      <c r="Z559" s="6"/>
      <c r="AA559" s="6"/>
      <c r="AB559" s="6"/>
      <c r="AC559" s="6"/>
      <c r="AD559" s="8"/>
      <c r="AE559" s="5"/>
      <c r="AF559" s="8"/>
      <c r="AG559" s="3"/>
      <c r="AH559" s="236"/>
      <c r="AI559" s="3"/>
      <c r="AJ559" s="3"/>
      <c r="AK559" s="3"/>
      <c r="AL559" s="9"/>
    </row>
    <row r="560" spans="1:52" ht="15.75" customHeight="1" x14ac:dyDescent="0.35">
      <c r="A560" s="3"/>
      <c r="B560" s="3"/>
      <c r="C560" s="3"/>
      <c r="D560" s="3"/>
      <c r="E560" s="3"/>
      <c r="F560" s="3"/>
      <c r="G560" s="3"/>
      <c r="H560" s="3"/>
      <c r="I560" s="3"/>
      <c r="J560" s="4"/>
      <c r="K560" s="227"/>
      <c r="L560" s="5"/>
      <c r="M560" s="5"/>
      <c r="N560" s="5"/>
      <c r="O560" s="6"/>
      <c r="P560" s="5"/>
      <c r="Q560" s="5"/>
      <c r="R560" s="7"/>
      <c r="S560" s="3"/>
      <c r="T560" s="6"/>
      <c r="U560" s="6"/>
      <c r="V560" s="6"/>
      <c r="W560" s="6"/>
      <c r="X560" s="6"/>
      <c r="Y560" s="6"/>
      <c r="Z560" s="6"/>
      <c r="AA560" s="6"/>
      <c r="AB560" s="6"/>
      <c r="AC560" s="6"/>
      <c r="AD560" s="8"/>
      <c r="AE560" s="5"/>
      <c r="AF560" s="8"/>
      <c r="AG560" s="3"/>
      <c r="AH560" s="3"/>
      <c r="AI560" s="3"/>
      <c r="AJ560" s="3"/>
      <c r="AK560" s="3"/>
      <c r="AL560" s="9"/>
    </row>
    <row r="561" spans="1:38" ht="15.75" customHeight="1" x14ac:dyDescent="0.35">
      <c r="A561" s="3"/>
      <c r="B561" s="3"/>
      <c r="C561" s="3"/>
      <c r="D561" s="3"/>
      <c r="E561" s="3"/>
      <c r="F561" s="3"/>
      <c r="G561" s="3"/>
      <c r="H561" s="3"/>
      <c r="I561" s="3"/>
      <c r="J561" s="4"/>
      <c r="K561" s="227"/>
      <c r="L561" s="5"/>
      <c r="M561" s="5"/>
      <c r="N561" s="5"/>
      <c r="O561" s="6"/>
      <c r="P561" s="5"/>
      <c r="Q561" s="5"/>
      <c r="R561" s="7"/>
      <c r="S561" s="3"/>
      <c r="T561" s="6"/>
      <c r="U561" s="6"/>
      <c r="V561" s="6"/>
      <c r="W561" s="6"/>
      <c r="X561" s="6"/>
      <c r="Y561" s="6"/>
      <c r="Z561" s="6"/>
      <c r="AA561" s="6"/>
      <c r="AB561" s="6"/>
      <c r="AC561" s="6"/>
      <c r="AD561" s="8"/>
      <c r="AE561" s="5"/>
      <c r="AF561" s="8"/>
      <c r="AG561" s="3"/>
      <c r="AH561" s="3"/>
      <c r="AI561" s="3"/>
      <c r="AJ561" s="3"/>
      <c r="AK561" s="3"/>
      <c r="AL561" s="9"/>
    </row>
    <row r="562" spans="1:38" ht="15.75" customHeight="1" x14ac:dyDescent="0.35">
      <c r="A562" s="3"/>
      <c r="B562" s="3"/>
      <c r="C562" s="3"/>
      <c r="D562" s="3"/>
      <c r="E562" s="3"/>
      <c r="F562" s="3"/>
      <c r="G562" s="3"/>
      <c r="H562" s="3"/>
      <c r="I562" s="3"/>
      <c r="J562" s="4"/>
      <c r="K562" s="227"/>
      <c r="L562" s="5"/>
      <c r="M562" s="5"/>
      <c r="N562" s="5"/>
      <c r="O562" s="6"/>
      <c r="P562" s="5"/>
      <c r="Q562" s="5"/>
      <c r="R562" s="7"/>
      <c r="S562" s="3"/>
      <c r="T562" s="6"/>
      <c r="U562" s="6"/>
      <c r="V562" s="6"/>
      <c r="W562" s="6"/>
      <c r="X562" s="6"/>
      <c r="Y562" s="6"/>
      <c r="Z562" s="6"/>
      <c r="AA562" s="6"/>
      <c r="AB562" s="6"/>
      <c r="AC562" s="6"/>
      <c r="AD562" s="8"/>
      <c r="AE562" s="5"/>
      <c r="AF562" s="8"/>
      <c r="AG562" s="3"/>
      <c r="AH562" s="3"/>
      <c r="AI562" s="3"/>
      <c r="AJ562" s="3"/>
      <c r="AK562" s="3"/>
      <c r="AL562" s="9"/>
    </row>
    <row r="563" spans="1:38" ht="15.75" customHeight="1" x14ac:dyDescent="0.35">
      <c r="A563" s="3"/>
      <c r="B563" s="3"/>
      <c r="C563" s="3"/>
      <c r="D563" s="3"/>
      <c r="E563" s="3"/>
      <c r="F563" s="3"/>
      <c r="G563" s="3"/>
      <c r="H563" s="3"/>
      <c r="I563" s="3"/>
      <c r="J563" s="4"/>
      <c r="K563" s="227"/>
      <c r="L563" s="5"/>
      <c r="M563" s="5"/>
      <c r="N563" s="5"/>
      <c r="O563" s="6"/>
      <c r="P563" s="5"/>
      <c r="Q563" s="5"/>
      <c r="R563" s="7"/>
      <c r="S563" s="3"/>
      <c r="T563" s="6"/>
      <c r="U563" s="6"/>
      <c r="V563" s="6"/>
      <c r="W563" s="6"/>
      <c r="X563" s="6"/>
      <c r="Y563" s="6"/>
      <c r="Z563" s="6"/>
      <c r="AA563" s="6"/>
      <c r="AB563" s="6"/>
      <c r="AC563" s="6"/>
      <c r="AD563" s="8"/>
      <c r="AE563" s="5"/>
      <c r="AF563" s="8"/>
      <c r="AG563" s="3"/>
      <c r="AH563" s="3"/>
      <c r="AI563" s="3"/>
      <c r="AJ563" s="3"/>
      <c r="AK563" s="3"/>
      <c r="AL563" s="9"/>
    </row>
    <row r="564" spans="1:38" ht="15.75" customHeight="1" x14ac:dyDescent="0.35">
      <c r="A564" s="3"/>
      <c r="B564" s="3"/>
      <c r="C564" s="3"/>
      <c r="D564" s="3"/>
      <c r="E564" s="3"/>
      <c r="F564" s="3"/>
      <c r="G564" s="3"/>
      <c r="H564" s="3"/>
      <c r="I564" s="3"/>
      <c r="J564" s="4"/>
      <c r="K564" s="227"/>
      <c r="L564" s="5"/>
      <c r="M564" s="5"/>
      <c r="N564" s="5"/>
      <c r="O564" s="6"/>
      <c r="P564" s="5"/>
      <c r="Q564" s="5"/>
      <c r="R564" s="7"/>
      <c r="S564" s="3"/>
      <c r="T564" s="6"/>
      <c r="U564" s="6"/>
      <c r="V564" s="6"/>
      <c r="W564" s="6"/>
      <c r="X564" s="6"/>
      <c r="Y564" s="6"/>
      <c r="Z564" s="6"/>
      <c r="AA564" s="6"/>
      <c r="AB564" s="6"/>
      <c r="AC564" s="6"/>
      <c r="AD564" s="8"/>
      <c r="AE564" s="5"/>
      <c r="AF564" s="8"/>
      <c r="AG564" s="3"/>
      <c r="AH564" s="3"/>
      <c r="AI564" s="3"/>
      <c r="AJ564" s="3"/>
      <c r="AK564" s="3"/>
      <c r="AL564" s="9"/>
    </row>
    <row r="565" spans="1:38" ht="15.75" customHeight="1" x14ac:dyDescent="0.35">
      <c r="A565" s="3"/>
      <c r="B565" s="3"/>
      <c r="C565" s="3"/>
      <c r="D565" s="3"/>
      <c r="E565" s="3"/>
      <c r="F565" s="3"/>
      <c r="G565" s="3"/>
      <c r="H565" s="3"/>
      <c r="I565" s="3"/>
      <c r="J565" s="4"/>
      <c r="K565" s="227"/>
      <c r="L565" s="5"/>
      <c r="M565" s="5"/>
      <c r="N565" s="5"/>
      <c r="O565" s="6"/>
      <c r="P565" s="5"/>
      <c r="Q565" s="5"/>
      <c r="R565" s="7"/>
      <c r="S565" s="3"/>
      <c r="T565" s="6"/>
      <c r="U565" s="6"/>
      <c r="V565" s="6"/>
      <c r="W565" s="6"/>
      <c r="X565" s="6"/>
      <c r="Y565" s="6"/>
      <c r="Z565" s="6"/>
      <c r="AA565" s="6"/>
      <c r="AB565" s="6"/>
      <c r="AC565" s="6"/>
      <c r="AD565" s="8"/>
      <c r="AE565" s="5"/>
      <c r="AF565" s="8"/>
      <c r="AG565" s="3"/>
      <c r="AH565" s="3"/>
      <c r="AI565" s="3"/>
      <c r="AJ565" s="3"/>
      <c r="AK565" s="3"/>
      <c r="AL565" s="9"/>
    </row>
    <row r="566" spans="1:38" ht="15.75" customHeight="1" x14ac:dyDescent="0.35">
      <c r="A566" s="3"/>
      <c r="B566" s="3"/>
      <c r="C566" s="3"/>
      <c r="D566" s="3"/>
      <c r="E566" s="3"/>
      <c r="F566" s="3"/>
      <c r="G566" s="3"/>
      <c r="H566" s="3"/>
      <c r="I566" s="3"/>
      <c r="J566" s="4"/>
      <c r="K566" s="227"/>
      <c r="L566" s="5"/>
      <c r="M566" s="5"/>
      <c r="N566" s="5"/>
      <c r="O566" s="6"/>
      <c r="P566" s="5"/>
      <c r="Q566" s="5"/>
      <c r="R566" s="7"/>
      <c r="S566" s="3"/>
      <c r="T566" s="6"/>
      <c r="U566" s="6"/>
      <c r="V566" s="6"/>
      <c r="W566" s="6"/>
      <c r="X566" s="6"/>
      <c r="Y566" s="6"/>
      <c r="Z566" s="6"/>
      <c r="AA566" s="6"/>
      <c r="AB566" s="6"/>
      <c r="AC566" s="6"/>
      <c r="AD566" s="8"/>
      <c r="AE566" s="5"/>
      <c r="AF566" s="8"/>
      <c r="AG566" s="3"/>
      <c r="AH566" s="3"/>
      <c r="AI566" s="3"/>
      <c r="AJ566" s="3"/>
      <c r="AK566" s="3"/>
      <c r="AL566" s="9"/>
    </row>
    <row r="567" spans="1:38" ht="15.75" customHeight="1" x14ac:dyDescent="0.35">
      <c r="A567" s="3"/>
      <c r="B567" s="3"/>
      <c r="C567" s="3"/>
      <c r="D567" s="3"/>
      <c r="E567" s="3"/>
      <c r="F567" s="3"/>
      <c r="G567" s="3"/>
      <c r="H567" s="3"/>
      <c r="I567" s="3"/>
      <c r="J567" s="4"/>
      <c r="K567" s="227"/>
      <c r="L567" s="5"/>
      <c r="M567" s="5"/>
      <c r="N567" s="5"/>
      <c r="O567" s="6"/>
      <c r="P567" s="5"/>
      <c r="Q567" s="5"/>
      <c r="R567" s="7"/>
      <c r="S567" s="3"/>
      <c r="T567" s="6"/>
      <c r="U567" s="6"/>
      <c r="V567" s="6"/>
      <c r="W567" s="6"/>
      <c r="X567" s="6"/>
      <c r="Y567" s="6"/>
      <c r="Z567" s="6"/>
      <c r="AA567" s="6"/>
      <c r="AB567" s="6"/>
      <c r="AC567" s="6"/>
      <c r="AD567" s="8"/>
      <c r="AE567" s="5"/>
      <c r="AF567" s="8"/>
      <c r="AG567" s="3"/>
      <c r="AH567" s="3"/>
      <c r="AI567" s="3"/>
      <c r="AJ567" s="3"/>
      <c r="AK567" s="3"/>
      <c r="AL567" s="9"/>
    </row>
    <row r="568" spans="1:38" ht="15.75" customHeight="1" x14ac:dyDescent="0.35">
      <c r="A568" s="3"/>
      <c r="B568" s="3"/>
      <c r="C568" s="3"/>
      <c r="D568" s="3"/>
      <c r="E568" s="3"/>
      <c r="F568" s="3"/>
      <c r="G568" s="3"/>
      <c r="H568" s="3"/>
      <c r="I568" s="3"/>
      <c r="J568" s="4"/>
      <c r="K568" s="227"/>
      <c r="L568" s="5"/>
      <c r="M568" s="5"/>
      <c r="N568" s="5"/>
      <c r="O568" s="6"/>
      <c r="P568" s="5"/>
      <c r="Q568" s="5"/>
      <c r="R568" s="7"/>
      <c r="S568" s="3"/>
      <c r="T568" s="6"/>
      <c r="U568" s="6"/>
      <c r="V568" s="6"/>
      <c r="W568" s="6"/>
      <c r="X568" s="6"/>
      <c r="Y568" s="6"/>
      <c r="Z568" s="6"/>
      <c r="AA568" s="6"/>
      <c r="AB568" s="6"/>
      <c r="AC568" s="6"/>
      <c r="AD568" s="8"/>
      <c r="AE568" s="5"/>
      <c r="AF568" s="8"/>
      <c r="AG568" s="3"/>
      <c r="AH568" s="3"/>
      <c r="AI568" s="3"/>
      <c r="AJ568" s="3"/>
      <c r="AK568" s="3"/>
      <c r="AL568" s="9"/>
    </row>
    <row r="569" spans="1:38" ht="15.75" customHeight="1" x14ac:dyDescent="0.35">
      <c r="A569" s="3"/>
      <c r="B569" s="3"/>
      <c r="C569" s="3"/>
      <c r="D569" s="3"/>
      <c r="E569" s="3"/>
      <c r="F569" s="3"/>
      <c r="G569" s="3"/>
      <c r="H569" s="3"/>
      <c r="I569" s="3"/>
      <c r="J569" s="4"/>
      <c r="K569" s="227"/>
      <c r="L569" s="5"/>
      <c r="M569" s="5"/>
      <c r="N569" s="5"/>
      <c r="O569" s="6"/>
      <c r="P569" s="5"/>
      <c r="Q569" s="5"/>
      <c r="R569" s="7"/>
      <c r="S569" s="3"/>
      <c r="T569" s="6"/>
      <c r="U569" s="6"/>
      <c r="V569" s="6"/>
      <c r="W569" s="6"/>
      <c r="X569" s="6"/>
      <c r="Y569" s="6"/>
      <c r="Z569" s="6"/>
      <c r="AA569" s="6"/>
      <c r="AB569" s="6"/>
      <c r="AC569" s="6"/>
      <c r="AD569" s="8"/>
      <c r="AE569" s="5"/>
      <c r="AF569" s="8"/>
      <c r="AG569" s="3"/>
      <c r="AH569" s="3"/>
      <c r="AI569" s="3"/>
      <c r="AJ569" s="3"/>
      <c r="AK569" s="3"/>
      <c r="AL569" s="9"/>
    </row>
    <row r="570" spans="1:38" ht="15.75" customHeight="1" x14ac:dyDescent="0.35">
      <c r="A570" s="3"/>
      <c r="B570" s="3"/>
      <c r="C570" s="3"/>
      <c r="D570" s="3"/>
      <c r="E570" s="3"/>
      <c r="F570" s="3"/>
      <c r="G570" s="3"/>
      <c r="H570" s="3"/>
      <c r="I570" s="3"/>
      <c r="J570" s="4"/>
      <c r="K570" s="227"/>
      <c r="L570" s="5"/>
      <c r="M570" s="5"/>
      <c r="N570" s="5"/>
      <c r="O570" s="6"/>
      <c r="P570" s="5"/>
      <c r="Q570" s="5"/>
      <c r="R570" s="7"/>
      <c r="S570" s="3"/>
      <c r="T570" s="6"/>
      <c r="U570" s="6"/>
      <c r="V570" s="6"/>
      <c r="W570" s="6"/>
      <c r="X570" s="6"/>
      <c r="Y570" s="6"/>
      <c r="Z570" s="6"/>
      <c r="AA570" s="6"/>
      <c r="AB570" s="6"/>
      <c r="AC570" s="6"/>
      <c r="AD570" s="8"/>
      <c r="AE570" s="5"/>
      <c r="AF570" s="8"/>
      <c r="AG570" s="3"/>
      <c r="AH570" s="3"/>
      <c r="AI570" s="3"/>
      <c r="AJ570" s="3"/>
      <c r="AK570" s="3"/>
      <c r="AL570" s="9"/>
    </row>
    <row r="571" spans="1:38" ht="15.75" customHeight="1" x14ac:dyDescent="0.35">
      <c r="A571" s="3"/>
      <c r="B571" s="3"/>
      <c r="C571" s="3"/>
      <c r="D571" s="3"/>
      <c r="E571" s="3"/>
      <c r="F571" s="3"/>
      <c r="G571" s="3"/>
      <c r="H571" s="3"/>
      <c r="I571" s="3"/>
      <c r="J571" s="4"/>
      <c r="K571" s="227"/>
      <c r="L571" s="5"/>
      <c r="M571" s="5"/>
      <c r="N571" s="5"/>
      <c r="O571" s="6"/>
      <c r="P571" s="5"/>
      <c r="Q571" s="5"/>
      <c r="R571" s="7"/>
      <c r="S571" s="3"/>
      <c r="T571" s="6"/>
      <c r="U571" s="6"/>
      <c r="V571" s="6"/>
      <c r="W571" s="6"/>
      <c r="X571" s="6"/>
      <c r="Y571" s="6"/>
      <c r="Z571" s="6"/>
      <c r="AA571" s="6"/>
      <c r="AB571" s="6"/>
      <c r="AC571" s="6"/>
      <c r="AD571" s="8"/>
      <c r="AE571" s="5"/>
      <c r="AF571" s="8"/>
      <c r="AG571" s="3"/>
      <c r="AH571" s="3"/>
      <c r="AI571" s="3"/>
      <c r="AJ571" s="3"/>
      <c r="AK571" s="3"/>
      <c r="AL571" s="9"/>
    </row>
    <row r="572" spans="1:38" ht="15.75" customHeight="1" x14ac:dyDescent="0.35">
      <c r="A572" s="3"/>
      <c r="B572" s="3"/>
      <c r="C572" s="3"/>
      <c r="D572" s="3"/>
      <c r="E572" s="3"/>
      <c r="F572" s="3"/>
      <c r="G572" s="3"/>
      <c r="H572" s="3"/>
      <c r="I572" s="3"/>
      <c r="J572" s="4"/>
      <c r="K572" s="227"/>
      <c r="L572" s="5"/>
      <c r="M572" s="5"/>
      <c r="N572" s="5"/>
      <c r="O572" s="6"/>
      <c r="P572" s="5"/>
      <c r="Q572" s="5"/>
      <c r="R572" s="7"/>
      <c r="S572" s="3"/>
      <c r="T572" s="6"/>
      <c r="U572" s="6"/>
      <c r="V572" s="6"/>
      <c r="W572" s="6"/>
      <c r="X572" s="6"/>
      <c r="Y572" s="6"/>
      <c r="Z572" s="6"/>
      <c r="AA572" s="6"/>
      <c r="AB572" s="6"/>
      <c r="AC572" s="6"/>
      <c r="AD572" s="8"/>
      <c r="AE572" s="5"/>
      <c r="AF572" s="8"/>
      <c r="AG572" s="3"/>
      <c r="AH572" s="3"/>
      <c r="AI572" s="3"/>
      <c r="AJ572" s="3"/>
      <c r="AK572" s="3"/>
      <c r="AL572" s="9"/>
    </row>
    <row r="573" spans="1:38" ht="15.75" customHeight="1" x14ac:dyDescent="0.35">
      <c r="A573" s="3"/>
      <c r="B573" s="3"/>
      <c r="C573" s="3"/>
      <c r="D573" s="3"/>
      <c r="E573" s="3"/>
      <c r="F573" s="3"/>
      <c r="G573" s="3"/>
      <c r="H573" s="3"/>
      <c r="I573" s="3"/>
      <c r="J573" s="4"/>
      <c r="K573" s="227"/>
      <c r="L573" s="5"/>
      <c r="M573" s="5"/>
      <c r="N573" s="5"/>
      <c r="O573" s="6"/>
      <c r="P573" s="5"/>
      <c r="Q573" s="5"/>
      <c r="R573" s="7"/>
      <c r="S573" s="3"/>
      <c r="T573" s="6"/>
      <c r="U573" s="6"/>
      <c r="V573" s="6"/>
      <c r="W573" s="6"/>
      <c r="X573" s="6"/>
      <c r="Y573" s="6"/>
      <c r="Z573" s="6"/>
      <c r="AA573" s="6"/>
      <c r="AB573" s="6"/>
      <c r="AC573" s="6"/>
      <c r="AD573" s="8"/>
      <c r="AE573" s="5"/>
      <c r="AF573" s="8"/>
      <c r="AG573" s="3"/>
      <c r="AH573" s="3"/>
      <c r="AI573" s="3"/>
      <c r="AJ573" s="3"/>
      <c r="AK573" s="3"/>
      <c r="AL573" s="9"/>
    </row>
    <row r="574" spans="1:38" ht="15.75" customHeight="1" x14ac:dyDescent="0.35">
      <c r="A574" s="3"/>
      <c r="B574" s="3"/>
      <c r="C574" s="3"/>
      <c r="D574" s="3"/>
      <c r="E574" s="3"/>
      <c r="F574" s="3"/>
      <c r="G574" s="3"/>
      <c r="H574" s="3"/>
      <c r="I574" s="3"/>
      <c r="J574" s="4"/>
      <c r="K574" s="227"/>
      <c r="L574" s="5"/>
      <c r="M574" s="5"/>
      <c r="N574" s="5"/>
      <c r="O574" s="6"/>
      <c r="P574" s="5"/>
      <c r="Q574" s="5"/>
      <c r="R574" s="7"/>
      <c r="S574" s="3"/>
      <c r="T574" s="6"/>
      <c r="U574" s="6"/>
      <c r="V574" s="6"/>
      <c r="W574" s="6"/>
      <c r="X574" s="6"/>
      <c r="Y574" s="6"/>
      <c r="Z574" s="6"/>
      <c r="AA574" s="6"/>
      <c r="AB574" s="6"/>
      <c r="AC574" s="6"/>
      <c r="AD574" s="8"/>
      <c r="AE574" s="5"/>
      <c r="AF574" s="8"/>
      <c r="AG574" s="3"/>
      <c r="AH574" s="3"/>
      <c r="AI574" s="3"/>
      <c r="AJ574" s="3"/>
      <c r="AK574" s="3"/>
      <c r="AL574" s="9"/>
    </row>
    <row r="575" spans="1:38" ht="15.75" customHeight="1" x14ac:dyDescent="0.35">
      <c r="A575" s="3"/>
      <c r="B575" s="3"/>
      <c r="C575" s="3"/>
      <c r="D575" s="3"/>
      <c r="E575" s="3"/>
      <c r="F575" s="3"/>
      <c r="G575" s="3"/>
      <c r="H575" s="3"/>
      <c r="I575" s="3"/>
      <c r="J575" s="4"/>
      <c r="K575" s="227"/>
      <c r="L575" s="5"/>
      <c r="M575" s="5"/>
      <c r="N575" s="5"/>
      <c r="O575" s="6"/>
      <c r="P575" s="5"/>
      <c r="Q575" s="5"/>
      <c r="R575" s="7"/>
      <c r="S575" s="3"/>
      <c r="T575" s="6"/>
      <c r="U575" s="6"/>
      <c r="V575" s="6"/>
      <c r="W575" s="6"/>
      <c r="X575" s="6"/>
      <c r="Y575" s="6"/>
      <c r="Z575" s="6"/>
      <c r="AA575" s="6"/>
      <c r="AB575" s="6"/>
      <c r="AC575" s="6"/>
      <c r="AD575" s="8"/>
      <c r="AE575" s="5"/>
      <c r="AF575" s="8"/>
      <c r="AG575" s="3"/>
      <c r="AH575" s="3"/>
      <c r="AI575" s="3"/>
      <c r="AJ575" s="3"/>
      <c r="AK575" s="3"/>
      <c r="AL575" s="9"/>
    </row>
    <row r="576" spans="1:38" ht="15.75" customHeight="1" x14ac:dyDescent="0.35">
      <c r="A576" s="3"/>
      <c r="B576" s="3"/>
      <c r="C576" s="3"/>
      <c r="D576" s="3"/>
      <c r="E576" s="3"/>
      <c r="F576" s="3"/>
      <c r="G576" s="3"/>
      <c r="H576" s="3"/>
      <c r="I576" s="3"/>
      <c r="J576" s="4"/>
      <c r="K576" s="227"/>
      <c r="L576" s="5"/>
      <c r="M576" s="5"/>
      <c r="N576" s="5"/>
      <c r="O576" s="6"/>
      <c r="P576" s="5"/>
      <c r="Q576" s="5"/>
      <c r="R576" s="7"/>
      <c r="S576" s="3"/>
      <c r="T576" s="6"/>
      <c r="U576" s="6"/>
      <c r="V576" s="6"/>
      <c r="W576" s="6"/>
      <c r="X576" s="6"/>
      <c r="Y576" s="6"/>
      <c r="Z576" s="6"/>
      <c r="AA576" s="6"/>
      <c r="AB576" s="6"/>
      <c r="AC576" s="6"/>
      <c r="AD576" s="8"/>
      <c r="AE576" s="5"/>
      <c r="AF576" s="8"/>
      <c r="AG576" s="3"/>
      <c r="AH576" s="3"/>
      <c r="AI576" s="3"/>
      <c r="AJ576" s="3"/>
      <c r="AK576" s="3"/>
      <c r="AL576" s="9"/>
    </row>
    <row r="577" spans="1:38" ht="15.75" customHeight="1" x14ac:dyDescent="0.35">
      <c r="A577" s="3"/>
      <c r="B577" s="3"/>
      <c r="C577" s="3"/>
      <c r="D577" s="3"/>
      <c r="E577" s="3"/>
      <c r="F577" s="3"/>
      <c r="G577" s="3"/>
      <c r="H577" s="3"/>
      <c r="I577" s="3"/>
      <c r="J577" s="4"/>
      <c r="K577" s="227"/>
      <c r="L577" s="5"/>
      <c r="M577" s="5"/>
      <c r="N577" s="5"/>
      <c r="O577" s="6"/>
      <c r="P577" s="5"/>
      <c r="Q577" s="5"/>
      <c r="R577" s="7"/>
      <c r="S577" s="3"/>
      <c r="T577" s="6"/>
      <c r="U577" s="6"/>
      <c r="V577" s="6"/>
      <c r="W577" s="6"/>
      <c r="X577" s="6"/>
      <c r="Y577" s="6"/>
      <c r="Z577" s="6"/>
      <c r="AA577" s="6"/>
      <c r="AB577" s="6"/>
      <c r="AC577" s="6"/>
      <c r="AD577" s="8"/>
      <c r="AE577" s="5"/>
      <c r="AF577" s="8"/>
      <c r="AG577" s="3"/>
      <c r="AH577" s="3"/>
      <c r="AI577" s="3"/>
      <c r="AJ577" s="3"/>
      <c r="AK577" s="3"/>
      <c r="AL577" s="9"/>
    </row>
    <row r="578" spans="1:38" ht="15.75" customHeight="1" x14ac:dyDescent="0.35">
      <c r="A578" s="3"/>
      <c r="B578" s="3"/>
      <c r="C578" s="3"/>
      <c r="D578" s="3"/>
      <c r="E578" s="3"/>
      <c r="F578" s="3"/>
      <c r="G578" s="3"/>
      <c r="H578" s="3"/>
      <c r="I578" s="3"/>
      <c r="J578" s="4"/>
      <c r="K578" s="227"/>
      <c r="L578" s="5"/>
      <c r="M578" s="5"/>
      <c r="N578" s="5"/>
      <c r="O578" s="6"/>
      <c r="P578" s="5"/>
      <c r="Q578" s="5"/>
      <c r="R578" s="7"/>
      <c r="S578" s="3"/>
      <c r="T578" s="6"/>
      <c r="U578" s="6"/>
      <c r="V578" s="6"/>
      <c r="W578" s="6"/>
      <c r="X578" s="6"/>
      <c r="Y578" s="6"/>
      <c r="Z578" s="6"/>
      <c r="AA578" s="6"/>
      <c r="AB578" s="6"/>
      <c r="AC578" s="6"/>
      <c r="AD578" s="8"/>
      <c r="AE578" s="5"/>
      <c r="AF578" s="8"/>
      <c r="AG578" s="3"/>
      <c r="AH578" s="3"/>
      <c r="AI578" s="3"/>
      <c r="AJ578" s="3"/>
      <c r="AK578" s="3"/>
      <c r="AL578" s="9"/>
    </row>
    <row r="579" spans="1:38" ht="15.75" customHeight="1" x14ac:dyDescent="0.35">
      <c r="A579" s="3"/>
      <c r="B579" s="3"/>
      <c r="C579" s="3"/>
      <c r="D579" s="3"/>
      <c r="E579" s="3"/>
      <c r="F579" s="3"/>
      <c r="G579" s="3"/>
      <c r="H579" s="3"/>
      <c r="I579" s="3"/>
      <c r="J579" s="4"/>
      <c r="K579" s="227"/>
      <c r="L579" s="5"/>
      <c r="M579" s="5"/>
      <c r="N579" s="5"/>
      <c r="O579" s="6"/>
      <c r="P579" s="5"/>
      <c r="Q579" s="5"/>
      <c r="R579" s="7"/>
      <c r="S579" s="3"/>
      <c r="T579" s="6"/>
      <c r="U579" s="6"/>
      <c r="V579" s="6"/>
      <c r="W579" s="6"/>
      <c r="X579" s="6"/>
      <c r="Y579" s="6"/>
      <c r="Z579" s="6"/>
      <c r="AA579" s="6"/>
      <c r="AB579" s="6"/>
      <c r="AC579" s="6"/>
      <c r="AD579" s="8"/>
      <c r="AE579" s="5"/>
      <c r="AF579" s="8"/>
      <c r="AG579" s="3"/>
      <c r="AH579" s="3"/>
      <c r="AI579" s="3"/>
      <c r="AJ579" s="3"/>
      <c r="AK579" s="3"/>
      <c r="AL579" s="9"/>
    </row>
    <row r="580" spans="1:38" ht="15.75" customHeight="1" x14ac:dyDescent="0.35">
      <c r="A580" s="3"/>
      <c r="B580" s="3"/>
      <c r="C580" s="3"/>
      <c r="D580" s="3"/>
      <c r="E580" s="3"/>
      <c r="F580" s="3"/>
      <c r="G580" s="3"/>
      <c r="H580" s="3"/>
      <c r="I580" s="3"/>
      <c r="J580" s="4"/>
      <c r="K580" s="227"/>
      <c r="L580" s="5"/>
      <c r="M580" s="5"/>
      <c r="N580" s="5"/>
      <c r="O580" s="6"/>
      <c r="P580" s="5"/>
      <c r="Q580" s="5"/>
      <c r="R580" s="7"/>
      <c r="S580" s="3"/>
      <c r="T580" s="6"/>
      <c r="U580" s="6"/>
      <c r="V580" s="6"/>
      <c r="W580" s="6"/>
      <c r="X580" s="6"/>
      <c r="Y580" s="6"/>
      <c r="Z580" s="6"/>
      <c r="AA580" s="6"/>
      <c r="AB580" s="6"/>
      <c r="AC580" s="6"/>
      <c r="AD580" s="8"/>
      <c r="AE580" s="5"/>
      <c r="AF580" s="8"/>
      <c r="AG580" s="3"/>
      <c r="AH580" s="3"/>
      <c r="AI580" s="3"/>
      <c r="AJ580" s="3"/>
      <c r="AK580" s="3"/>
      <c r="AL580" s="9"/>
    </row>
    <row r="581" spans="1:38" ht="15.75" customHeight="1" x14ac:dyDescent="0.35">
      <c r="A581" s="3"/>
      <c r="B581" s="3"/>
      <c r="C581" s="3"/>
      <c r="D581" s="3"/>
      <c r="E581" s="3"/>
      <c r="F581" s="3"/>
      <c r="G581" s="3"/>
      <c r="H581" s="3"/>
      <c r="I581" s="3"/>
      <c r="J581" s="4"/>
      <c r="K581" s="227"/>
      <c r="L581" s="5"/>
      <c r="M581" s="5"/>
      <c r="N581" s="5"/>
      <c r="O581" s="6"/>
      <c r="P581" s="5"/>
      <c r="Q581" s="5"/>
      <c r="R581" s="7"/>
      <c r="S581" s="3"/>
      <c r="T581" s="6"/>
      <c r="U581" s="6"/>
      <c r="V581" s="6"/>
      <c r="W581" s="6"/>
      <c r="X581" s="6"/>
      <c r="Y581" s="6"/>
      <c r="Z581" s="6"/>
      <c r="AA581" s="6"/>
      <c r="AB581" s="6"/>
      <c r="AC581" s="6"/>
      <c r="AD581" s="8"/>
      <c r="AE581" s="5"/>
      <c r="AF581" s="8"/>
      <c r="AG581" s="3"/>
      <c r="AH581" s="3"/>
      <c r="AI581" s="3"/>
      <c r="AJ581" s="3"/>
      <c r="AK581" s="3"/>
      <c r="AL581" s="9"/>
    </row>
    <row r="582" spans="1:38" ht="15.75" customHeight="1" x14ac:dyDescent="0.35">
      <c r="A582" s="3"/>
      <c r="B582" s="3"/>
      <c r="C582" s="3"/>
      <c r="D582" s="3"/>
      <c r="E582" s="3"/>
      <c r="F582" s="3"/>
      <c r="G582" s="3"/>
      <c r="H582" s="3"/>
      <c r="I582" s="3"/>
      <c r="J582" s="4"/>
      <c r="K582" s="227"/>
      <c r="L582" s="5"/>
      <c r="M582" s="5"/>
      <c r="N582" s="5"/>
      <c r="O582" s="6"/>
      <c r="P582" s="5"/>
      <c r="Q582" s="5"/>
      <c r="R582" s="7"/>
      <c r="S582" s="3"/>
      <c r="T582" s="6"/>
      <c r="U582" s="6"/>
      <c r="V582" s="6"/>
      <c r="W582" s="6"/>
      <c r="X582" s="6"/>
      <c r="Y582" s="6"/>
      <c r="Z582" s="6"/>
      <c r="AA582" s="6"/>
      <c r="AB582" s="6"/>
      <c r="AC582" s="6"/>
      <c r="AD582" s="8"/>
      <c r="AE582" s="5"/>
      <c r="AF582" s="8"/>
      <c r="AG582" s="3"/>
      <c r="AH582" s="3"/>
      <c r="AI582" s="3"/>
      <c r="AJ582" s="3"/>
      <c r="AK582" s="3"/>
      <c r="AL582" s="9"/>
    </row>
    <row r="583" spans="1:38" ht="15.75" customHeight="1" x14ac:dyDescent="0.35">
      <c r="A583" s="3"/>
      <c r="B583" s="3"/>
      <c r="C583" s="3"/>
      <c r="D583" s="3"/>
      <c r="E583" s="3"/>
      <c r="F583" s="3"/>
      <c r="G583" s="3"/>
      <c r="H583" s="3"/>
      <c r="I583" s="3"/>
      <c r="J583" s="4"/>
      <c r="K583" s="227"/>
      <c r="L583" s="5"/>
      <c r="M583" s="5"/>
      <c r="N583" s="5"/>
      <c r="O583" s="6"/>
      <c r="P583" s="5"/>
      <c r="Q583" s="5"/>
      <c r="R583" s="7"/>
      <c r="S583" s="3"/>
      <c r="T583" s="6"/>
      <c r="U583" s="6"/>
      <c r="V583" s="6"/>
      <c r="W583" s="6"/>
      <c r="X583" s="6"/>
      <c r="Y583" s="6"/>
      <c r="Z583" s="6"/>
      <c r="AA583" s="6"/>
      <c r="AB583" s="6"/>
      <c r="AC583" s="6"/>
      <c r="AD583" s="8"/>
      <c r="AE583" s="5"/>
      <c r="AF583" s="8"/>
      <c r="AG583" s="3"/>
      <c r="AH583" s="3"/>
      <c r="AI583" s="3"/>
      <c r="AJ583" s="3"/>
      <c r="AK583" s="3"/>
      <c r="AL583" s="9"/>
    </row>
    <row r="584" spans="1:38" ht="15.75" customHeight="1" x14ac:dyDescent="0.35">
      <c r="A584" s="3"/>
      <c r="B584" s="3"/>
      <c r="C584" s="3"/>
      <c r="D584" s="3"/>
      <c r="E584" s="3"/>
      <c r="F584" s="3"/>
      <c r="G584" s="3"/>
      <c r="H584" s="3"/>
      <c r="I584" s="3"/>
      <c r="J584" s="4"/>
      <c r="K584" s="227"/>
      <c r="L584" s="5"/>
      <c r="M584" s="5"/>
      <c r="N584" s="5"/>
      <c r="O584" s="6"/>
      <c r="P584" s="5"/>
      <c r="Q584" s="5"/>
      <c r="R584" s="7"/>
      <c r="S584" s="3"/>
      <c r="T584" s="6"/>
      <c r="U584" s="6"/>
      <c r="V584" s="6"/>
      <c r="W584" s="6"/>
      <c r="X584" s="6"/>
      <c r="Y584" s="6"/>
      <c r="Z584" s="6"/>
      <c r="AA584" s="6"/>
      <c r="AB584" s="6"/>
      <c r="AC584" s="6"/>
      <c r="AD584" s="8"/>
      <c r="AE584" s="5"/>
      <c r="AF584" s="8"/>
      <c r="AG584" s="3"/>
      <c r="AH584" s="3"/>
      <c r="AI584" s="3"/>
      <c r="AJ584" s="3"/>
      <c r="AK584" s="3"/>
      <c r="AL584" s="9"/>
    </row>
    <row r="585" spans="1:38" ht="15.75" customHeight="1" x14ac:dyDescent="0.35">
      <c r="A585" s="3"/>
      <c r="B585" s="3"/>
      <c r="C585" s="3"/>
      <c r="D585" s="3"/>
      <c r="E585" s="3"/>
      <c r="F585" s="3"/>
      <c r="G585" s="3"/>
      <c r="H585" s="3"/>
      <c r="I585" s="3"/>
      <c r="J585" s="4"/>
      <c r="K585" s="227"/>
      <c r="L585" s="5"/>
      <c r="M585" s="5"/>
      <c r="N585" s="5"/>
      <c r="O585" s="6"/>
      <c r="P585" s="5"/>
      <c r="Q585" s="5"/>
      <c r="R585" s="7"/>
      <c r="S585" s="3"/>
      <c r="T585" s="6"/>
      <c r="U585" s="6"/>
      <c r="V585" s="6"/>
      <c r="W585" s="6"/>
      <c r="X585" s="6"/>
      <c r="Y585" s="6"/>
      <c r="Z585" s="6"/>
      <c r="AA585" s="6"/>
      <c r="AB585" s="6"/>
      <c r="AC585" s="6"/>
      <c r="AD585" s="8"/>
      <c r="AE585" s="5"/>
      <c r="AF585" s="8"/>
      <c r="AG585" s="3"/>
      <c r="AH585" s="3"/>
      <c r="AI585" s="3"/>
      <c r="AJ585" s="3"/>
      <c r="AK585" s="3"/>
      <c r="AL585" s="9"/>
    </row>
    <row r="586" spans="1:38" ht="15.75" customHeight="1" x14ac:dyDescent="0.35">
      <c r="A586" s="3"/>
      <c r="B586" s="3"/>
      <c r="C586" s="3"/>
      <c r="D586" s="3"/>
      <c r="E586" s="3"/>
      <c r="F586" s="3"/>
      <c r="G586" s="3"/>
      <c r="H586" s="3"/>
      <c r="I586" s="3"/>
      <c r="J586" s="4"/>
      <c r="K586" s="227"/>
      <c r="L586" s="5"/>
      <c r="M586" s="5"/>
      <c r="N586" s="5"/>
      <c r="O586" s="6"/>
      <c r="P586" s="5"/>
      <c r="Q586" s="5"/>
      <c r="R586" s="7"/>
      <c r="S586" s="3"/>
      <c r="T586" s="6"/>
      <c r="U586" s="6"/>
      <c r="V586" s="6"/>
      <c r="W586" s="6"/>
      <c r="X586" s="6"/>
      <c r="Y586" s="6"/>
      <c r="Z586" s="6"/>
      <c r="AA586" s="6"/>
      <c r="AB586" s="6"/>
      <c r="AC586" s="6"/>
      <c r="AD586" s="8"/>
      <c r="AE586" s="5"/>
      <c r="AF586" s="8"/>
      <c r="AG586" s="3"/>
      <c r="AH586" s="3"/>
      <c r="AI586" s="3"/>
      <c r="AJ586" s="3"/>
      <c r="AK586" s="3"/>
      <c r="AL586" s="9"/>
    </row>
    <row r="587" spans="1:38" ht="15.75" customHeight="1" x14ac:dyDescent="0.35">
      <c r="A587" s="3"/>
      <c r="B587" s="3"/>
      <c r="C587" s="3"/>
      <c r="D587" s="3"/>
      <c r="E587" s="3"/>
      <c r="F587" s="3"/>
      <c r="G587" s="3"/>
      <c r="H587" s="3"/>
      <c r="I587" s="3"/>
      <c r="J587" s="4"/>
      <c r="K587" s="227"/>
      <c r="L587" s="5"/>
      <c r="M587" s="5"/>
      <c r="N587" s="5"/>
      <c r="O587" s="6"/>
      <c r="P587" s="5"/>
      <c r="Q587" s="5"/>
      <c r="R587" s="7"/>
      <c r="S587" s="3"/>
      <c r="T587" s="6"/>
      <c r="U587" s="6"/>
      <c r="V587" s="6"/>
      <c r="W587" s="6"/>
      <c r="X587" s="6"/>
      <c r="Y587" s="6"/>
      <c r="Z587" s="6"/>
      <c r="AA587" s="6"/>
      <c r="AB587" s="6"/>
      <c r="AC587" s="6"/>
      <c r="AD587" s="8"/>
      <c r="AE587" s="5"/>
      <c r="AF587" s="8"/>
      <c r="AG587" s="3"/>
      <c r="AH587" s="3"/>
      <c r="AI587" s="3"/>
      <c r="AJ587" s="3"/>
      <c r="AK587" s="3"/>
      <c r="AL587" s="9"/>
    </row>
    <row r="588" spans="1:38" ht="15.75" customHeight="1" x14ac:dyDescent="0.35">
      <c r="A588" s="3"/>
      <c r="B588" s="3"/>
      <c r="C588" s="3"/>
      <c r="D588" s="3"/>
      <c r="E588" s="3"/>
      <c r="F588" s="3"/>
      <c r="G588" s="3"/>
      <c r="H588" s="3"/>
      <c r="I588" s="3"/>
      <c r="J588" s="4"/>
      <c r="K588" s="227"/>
      <c r="L588" s="5"/>
      <c r="M588" s="5"/>
      <c r="N588" s="5"/>
      <c r="O588" s="6"/>
      <c r="P588" s="5"/>
      <c r="Q588" s="5"/>
      <c r="R588" s="7"/>
      <c r="S588" s="3"/>
      <c r="T588" s="6"/>
      <c r="U588" s="6"/>
      <c r="V588" s="6"/>
      <c r="W588" s="6"/>
      <c r="X588" s="6"/>
      <c r="Y588" s="6"/>
      <c r="Z588" s="6"/>
      <c r="AA588" s="6"/>
      <c r="AB588" s="6"/>
      <c r="AC588" s="6"/>
      <c r="AD588" s="8"/>
      <c r="AE588" s="5"/>
      <c r="AF588" s="8"/>
      <c r="AG588" s="3"/>
      <c r="AH588" s="3"/>
      <c r="AI588" s="3"/>
      <c r="AJ588" s="3"/>
      <c r="AK588" s="3"/>
      <c r="AL588" s="9"/>
    </row>
    <row r="589" spans="1:38" ht="15.75" customHeight="1" x14ac:dyDescent="0.35">
      <c r="A589" s="3"/>
      <c r="B589" s="3"/>
      <c r="C589" s="3"/>
      <c r="D589" s="3"/>
      <c r="E589" s="3"/>
      <c r="F589" s="3"/>
      <c r="G589" s="3"/>
      <c r="H589" s="3"/>
      <c r="I589" s="3"/>
      <c r="J589" s="4"/>
      <c r="K589" s="227"/>
      <c r="L589" s="5"/>
      <c r="M589" s="5"/>
      <c r="N589" s="5"/>
      <c r="O589" s="6"/>
      <c r="P589" s="5"/>
      <c r="Q589" s="5"/>
      <c r="R589" s="7"/>
      <c r="S589" s="3"/>
      <c r="T589" s="6"/>
      <c r="U589" s="6"/>
      <c r="V589" s="6"/>
      <c r="W589" s="6"/>
      <c r="X589" s="6"/>
      <c r="Y589" s="6"/>
      <c r="Z589" s="6"/>
      <c r="AA589" s="6"/>
      <c r="AB589" s="6"/>
      <c r="AC589" s="6"/>
      <c r="AD589" s="8"/>
      <c r="AE589" s="5"/>
      <c r="AF589" s="8"/>
      <c r="AG589" s="3"/>
      <c r="AH589" s="3"/>
      <c r="AI589" s="3"/>
      <c r="AJ589" s="3"/>
      <c r="AK589" s="3"/>
      <c r="AL589" s="9"/>
    </row>
    <row r="590" spans="1:38" ht="15.75" customHeight="1" x14ac:dyDescent="0.35">
      <c r="A590" s="3"/>
      <c r="B590" s="3"/>
      <c r="C590" s="3"/>
      <c r="D590" s="3"/>
      <c r="E590" s="3"/>
      <c r="F590" s="3"/>
      <c r="G590" s="3"/>
      <c r="H590" s="3"/>
      <c r="I590" s="3"/>
      <c r="J590" s="4"/>
      <c r="K590" s="227"/>
      <c r="L590" s="5"/>
      <c r="M590" s="5"/>
      <c r="N590" s="5"/>
      <c r="O590" s="6"/>
      <c r="P590" s="5"/>
      <c r="Q590" s="5"/>
      <c r="R590" s="7"/>
      <c r="S590" s="3"/>
      <c r="T590" s="6"/>
      <c r="U590" s="6"/>
      <c r="V590" s="6"/>
      <c r="W590" s="6"/>
      <c r="X590" s="6"/>
      <c r="Y590" s="6"/>
      <c r="Z590" s="6"/>
      <c r="AA590" s="6"/>
      <c r="AB590" s="6"/>
      <c r="AC590" s="6"/>
      <c r="AD590" s="8"/>
      <c r="AE590" s="5"/>
      <c r="AF590" s="8"/>
      <c r="AG590" s="3"/>
      <c r="AH590" s="3"/>
      <c r="AI590" s="3"/>
      <c r="AJ590" s="3"/>
      <c r="AK590" s="3"/>
      <c r="AL590" s="9"/>
    </row>
    <row r="591" spans="1:38" ht="15.75" customHeight="1" x14ac:dyDescent="0.35">
      <c r="A591" s="3"/>
      <c r="B591" s="3"/>
      <c r="C591" s="3"/>
      <c r="D591" s="3"/>
      <c r="E591" s="3"/>
      <c r="F591" s="3"/>
      <c r="G591" s="3"/>
      <c r="H591" s="3"/>
      <c r="I591" s="3"/>
      <c r="J591" s="4"/>
      <c r="K591" s="227"/>
      <c r="L591" s="5"/>
      <c r="M591" s="5"/>
      <c r="N591" s="5"/>
      <c r="O591" s="6"/>
      <c r="P591" s="5"/>
      <c r="Q591" s="5"/>
      <c r="R591" s="7"/>
      <c r="S591" s="3"/>
      <c r="T591" s="6"/>
      <c r="U591" s="6"/>
      <c r="V591" s="6"/>
      <c r="W591" s="6"/>
      <c r="X591" s="6"/>
      <c r="Y591" s="6"/>
      <c r="Z591" s="6"/>
      <c r="AA591" s="6"/>
      <c r="AB591" s="6"/>
      <c r="AC591" s="6"/>
      <c r="AD591" s="8"/>
      <c r="AE591" s="5"/>
      <c r="AF591" s="8"/>
      <c r="AG591" s="3"/>
      <c r="AH591" s="3"/>
      <c r="AI591" s="3"/>
      <c r="AJ591" s="3"/>
      <c r="AK591" s="3"/>
      <c r="AL591" s="9"/>
    </row>
    <row r="592" spans="1:38" ht="15.75" customHeight="1" x14ac:dyDescent="0.35">
      <c r="A592" s="3"/>
      <c r="B592" s="3"/>
      <c r="C592" s="3"/>
      <c r="D592" s="3"/>
      <c r="E592" s="3"/>
      <c r="F592" s="3"/>
      <c r="G592" s="3"/>
      <c r="H592" s="3"/>
      <c r="I592" s="3"/>
      <c r="J592" s="4"/>
      <c r="K592" s="227"/>
      <c r="L592" s="5"/>
      <c r="M592" s="5"/>
      <c r="N592" s="5"/>
      <c r="O592" s="6"/>
      <c r="P592" s="5"/>
      <c r="Q592" s="5"/>
      <c r="R592" s="7"/>
      <c r="S592" s="3"/>
      <c r="T592" s="6"/>
      <c r="U592" s="6"/>
      <c r="V592" s="6"/>
      <c r="W592" s="6"/>
      <c r="X592" s="6"/>
      <c r="Y592" s="6"/>
      <c r="Z592" s="6"/>
      <c r="AA592" s="6"/>
      <c r="AB592" s="6"/>
      <c r="AC592" s="6"/>
      <c r="AD592" s="8"/>
      <c r="AE592" s="5"/>
      <c r="AF592" s="8"/>
      <c r="AG592" s="3"/>
      <c r="AH592" s="3"/>
      <c r="AI592" s="3"/>
      <c r="AJ592" s="3"/>
      <c r="AK592" s="3"/>
      <c r="AL592" s="9"/>
    </row>
    <row r="593" spans="1:38" ht="15.75" customHeight="1" x14ac:dyDescent="0.35">
      <c r="A593" s="3"/>
      <c r="B593" s="3"/>
      <c r="C593" s="3"/>
      <c r="D593" s="3"/>
      <c r="E593" s="3"/>
      <c r="F593" s="3"/>
      <c r="G593" s="3"/>
      <c r="H593" s="3"/>
      <c r="I593" s="3"/>
      <c r="J593" s="4"/>
      <c r="K593" s="227"/>
      <c r="L593" s="5"/>
      <c r="M593" s="5"/>
      <c r="N593" s="5"/>
      <c r="O593" s="6"/>
      <c r="P593" s="5"/>
      <c r="Q593" s="5"/>
      <c r="R593" s="7"/>
      <c r="S593" s="3"/>
      <c r="T593" s="6"/>
      <c r="U593" s="6"/>
      <c r="V593" s="6"/>
      <c r="W593" s="6"/>
      <c r="X593" s="6"/>
      <c r="Y593" s="6"/>
      <c r="Z593" s="6"/>
      <c r="AA593" s="6"/>
      <c r="AB593" s="6"/>
      <c r="AC593" s="6"/>
      <c r="AD593" s="8"/>
      <c r="AE593" s="5"/>
      <c r="AF593" s="8"/>
      <c r="AG593" s="3"/>
      <c r="AH593" s="3"/>
      <c r="AI593" s="3"/>
      <c r="AJ593" s="3"/>
      <c r="AK593" s="3"/>
      <c r="AL593" s="9"/>
    </row>
    <row r="594" spans="1:38" ht="15.75" customHeight="1" x14ac:dyDescent="0.35">
      <c r="A594" s="3"/>
      <c r="B594" s="3"/>
      <c r="C594" s="3"/>
      <c r="D594" s="3"/>
      <c r="E594" s="3"/>
      <c r="F594" s="3"/>
      <c r="G594" s="3"/>
      <c r="H594" s="3"/>
      <c r="I594" s="3"/>
      <c r="J594" s="4"/>
      <c r="K594" s="227"/>
      <c r="L594" s="5"/>
      <c r="M594" s="5"/>
      <c r="N594" s="5"/>
      <c r="O594" s="6"/>
      <c r="P594" s="5"/>
      <c r="Q594" s="5"/>
      <c r="R594" s="7"/>
      <c r="S594" s="3"/>
      <c r="T594" s="6"/>
      <c r="U594" s="6"/>
      <c r="V594" s="6"/>
      <c r="W594" s="6"/>
      <c r="X594" s="6"/>
      <c r="Y594" s="6"/>
      <c r="Z594" s="6"/>
      <c r="AA594" s="6"/>
      <c r="AB594" s="6"/>
      <c r="AC594" s="6"/>
      <c r="AD594" s="8"/>
      <c r="AE594" s="5"/>
      <c r="AF594" s="8"/>
      <c r="AG594" s="3"/>
      <c r="AH594" s="3"/>
      <c r="AI594" s="3"/>
      <c r="AJ594" s="3"/>
      <c r="AK594" s="3"/>
      <c r="AL594" s="9"/>
    </row>
    <row r="595" spans="1:38" ht="15.75" customHeight="1" x14ac:dyDescent="0.35">
      <c r="A595" s="3"/>
      <c r="B595" s="3"/>
      <c r="C595" s="3"/>
      <c r="D595" s="3"/>
      <c r="E595" s="3"/>
      <c r="F595" s="3"/>
      <c r="G595" s="3"/>
      <c r="H595" s="3"/>
      <c r="I595" s="3"/>
      <c r="J595" s="4"/>
      <c r="K595" s="227"/>
      <c r="L595" s="5"/>
      <c r="M595" s="5"/>
      <c r="N595" s="5"/>
      <c r="O595" s="6"/>
      <c r="P595" s="5"/>
      <c r="Q595" s="5"/>
      <c r="R595" s="7"/>
      <c r="S595" s="3"/>
      <c r="T595" s="6"/>
      <c r="U595" s="6"/>
      <c r="V595" s="6"/>
      <c r="W595" s="6"/>
      <c r="X595" s="6"/>
      <c r="Y595" s="6"/>
      <c r="Z595" s="6"/>
      <c r="AA595" s="6"/>
      <c r="AB595" s="6"/>
      <c r="AC595" s="6"/>
      <c r="AD595" s="8"/>
      <c r="AE595" s="5"/>
      <c r="AF595" s="8"/>
      <c r="AG595" s="3"/>
      <c r="AH595" s="3"/>
      <c r="AI595" s="3"/>
      <c r="AJ595" s="3"/>
      <c r="AK595" s="3"/>
      <c r="AL595" s="9"/>
    </row>
    <row r="596" spans="1:38" ht="15.75" customHeight="1" x14ac:dyDescent="0.35">
      <c r="A596" s="3"/>
      <c r="B596" s="3"/>
      <c r="C596" s="3"/>
      <c r="D596" s="3"/>
      <c r="E596" s="3"/>
      <c r="F596" s="3"/>
      <c r="G596" s="3"/>
      <c r="H596" s="3"/>
      <c r="I596" s="3"/>
      <c r="J596" s="4"/>
      <c r="K596" s="227"/>
      <c r="L596" s="5"/>
      <c r="M596" s="5"/>
      <c r="N596" s="5"/>
      <c r="O596" s="6"/>
      <c r="P596" s="5"/>
      <c r="Q596" s="5"/>
      <c r="R596" s="7"/>
      <c r="S596" s="3"/>
      <c r="T596" s="6"/>
      <c r="U596" s="6"/>
      <c r="V596" s="6"/>
      <c r="W596" s="6"/>
      <c r="X596" s="6"/>
      <c r="Y596" s="6"/>
      <c r="Z596" s="6"/>
      <c r="AA596" s="6"/>
      <c r="AB596" s="6"/>
      <c r="AC596" s="6"/>
      <c r="AD596" s="8"/>
      <c r="AE596" s="5"/>
      <c r="AF596" s="8"/>
      <c r="AG596" s="3"/>
      <c r="AH596" s="3"/>
      <c r="AI596" s="3"/>
      <c r="AJ596" s="3"/>
      <c r="AK596" s="3"/>
      <c r="AL596" s="9"/>
    </row>
    <row r="597" spans="1:38" ht="15.75" customHeight="1" x14ac:dyDescent="0.35">
      <c r="A597" s="3"/>
      <c r="B597" s="3"/>
      <c r="C597" s="3"/>
      <c r="D597" s="3"/>
      <c r="E597" s="3"/>
      <c r="F597" s="3"/>
      <c r="G597" s="3"/>
      <c r="H597" s="3"/>
      <c r="I597" s="3"/>
      <c r="J597" s="4"/>
      <c r="K597" s="227"/>
      <c r="L597" s="5"/>
      <c r="M597" s="5"/>
      <c r="N597" s="5"/>
      <c r="O597" s="6"/>
      <c r="P597" s="5"/>
      <c r="Q597" s="5"/>
      <c r="R597" s="7"/>
      <c r="S597" s="3"/>
      <c r="T597" s="6"/>
      <c r="U597" s="6"/>
      <c r="V597" s="6"/>
      <c r="W597" s="6"/>
      <c r="X597" s="6"/>
      <c r="Y597" s="6"/>
      <c r="Z597" s="6"/>
      <c r="AA597" s="6"/>
      <c r="AB597" s="6"/>
      <c r="AC597" s="6"/>
      <c r="AD597" s="8"/>
      <c r="AE597" s="5"/>
      <c r="AF597" s="8"/>
      <c r="AG597" s="3"/>
      <c r="AH597" s="3"/>
      <c r="AI597" s="3"/>
      <c r="AJ597" s="3"/>
      <c r="AK597" s="3"/>
      <c r="AL597" s="9"/>
    </row>
    <row r="598" spans="1:38" ht="15.75" customHeight="1" x14ac:dyDescent="0.35">
      <c r="A598" s="3"/>
      <c r="B598" s="3"/>
      <c r="C598" s="3"/>
      <c r="D598" s="3"/>
      <c r="E598" s="3"/>
      <c r="F598" s="3"/>
      <c r="G598" s="3"/>
      <c r="H598" s="3"/>
      <c r="I598" s="3"/>
      <c r="J598" s="4"/>
      <c r="K598" s="227"/>
      <c r="L598" s="5"/>
      <c r="M598" s="5"/>
      <c r="N598" s="5"/>
      <c r="O598" s="6"/>
      <c r="P598" s="5"/>
      <c r="Q598" s="5"/>
      <c r="R598" s="7"/>
      <c r="S598" s="3"/>
      <c r="T598" s="6"/>
      <c r="U598" s="6"/>
      <c r="V598" s="6"/>
      <c r="W598" s="6"/>
      <c r="X598" s="6"/>
      <c r="Y598" s="6"/>
      <c r="Z598" s="6"/>
      <c r="AA598" s="6"/>
      <c r="AB598" s="6"/>
      <c r="AC598" s="6"/>
      <c r="AD598" s="8"/>
      <c r="AE598" s="5"/>
      <c r="AF598" s="8"/>
      <c r="AG598" s="3"/>
      <c r="AH598" s="3"/>
      <c r="AI598" s="3"/>
      <c r="AJ598" s="3"/>
      <c r="AK598" s="3"/>
      <c r="AL598" s="9"/>
    </row>
    <row r="599" spans="1:38" ht="15.75" customHeight="1" x14ac:dyDescent="0.35">
      <c r="A599" s="3"/>
      <c r="B599" s="3"/>
      <c r="C599" s="3"/>
      <c r="D599" s="3"/>
      <c r="E599" s="3"/>
      <c r="F599" s="3"/>
      <c r="G599" s="3"/>
      <c r="H599" s="3"/>
      <c r="I599" s="3"/>
      <c r="J599" s="4"/>
      <c r="K599" s="227"/>
      <c r="L599" s="5"/>
      <c r="M599" s="5"/>
      <c r="N599" s="5"/>
      <c r="O599" s="6"/>
      <c r="P599" s="5"/>
      <c r="Q599" s="5"/>
      <c r="R599" s="7"/>
      <c r="S599" s="3"/>
      <c r="T599" s="6"/>
      <c r="U599" s="6"/>
      <c r="V599" s="6"/>
      <c r="W599" s="6"/>
      <c r="X599" s="6"/>
      <c r="Y599" s="6"/>
      <c r="Z599" s="6"/>
      <c r="AA599" s="6"/>
      <c r="AB599" s="6"/>
      <c r="AC599" s="6"/>
      <c r="AD599" s="8"/>
      <c r="AE599" s="5"/>
      <c r="AF599" s="8"/>
      <c r="AG599" s="3"/>
      <c r="AH599" s="3"/>
      <c r="AI599" s="3"/>
      <c r="AJ599" s="3"/>
      <c r="AK599" s="3"/>
      <c r="AL599" s="9"/>
    </row>
    <row r="600" spans="1:38" ht="15.75" customHeight="1" x14ac:dyDescent="0.35">
      <c r="A600" s="3"/>
      <c r="B600" s="3"/>
      <c r="C600" s="3"/>
      <c r="D600" s="3"/>
      <c r="E600" s="3"/>
      <c r="F600" s="3"/>
      <c r="G600" s="3"/>
      <c r="H600" s="3"/>
      <c r="I600" s="3"/>
      <c r="J600" s="4"/>
      <c r="K600" s="227"/>
      <c r="L600" s="5"/>
      <c r="M600" s="5"/>
      <c r="N600" s="5"/>
      <c r="O600" s="6"/>
      <c r="P600" s="5"/>
      <c r="Q600" s="5"/>
      <c r="R600" s="7"/>
      <c r="S600" s="3"/>
      <c r="T600" s="6"/>
      <c r="U600" s="6"/>
      <c r="V600" s="6"/>
      <c r="W600" s="6"/>
      <c r="X600" s="6"/>
      <c r="Y600" s="6"/>
      <c r="Z600" s="6"/>
      <c r="AA600" s="6"/>
      <c r="AB600" s="6"/>
      <c r="AC600" s="6"/>
      <c r="AD600" s="8"/>
      <c r="AE600" s="5"/>
      <c r="AF600" s="8"/>
      <c r="AG600" s="3"/>
      <c r="AH600" s="3"/>
      <c r="AI600" s="3"/>
      <c r="AJ600" s="3"/>
      <c r="AK600" s="3"/>
      <c r="AL600" s="9"/>
    </row>
    <row r="601" spans="1:38" ht="15.75" customHeight="1" x14ac:dyDescent="0.35">
      <c r="A601" s="3"/>
      <c r="B601" s="3"/>
      <c r="C601" s="3"/>
      <c r="D601" s="3"/>
      <c r="E601" s="3"/>
      <c r="F601" s="3"/>
      <c r="G601" s="3"/>
      <c r="H601" s="3"/>
      <c r="I601" s="3"/>
      <c r="J601" s="4"/>
      <c r="K601" s="227"/>
      <c r="L601" s="5"/>
      <c r="M601" s="5"/>
      <c r="N601" s="5"/>
      <c r="O601" s="6"/>
      <c r="P601" s="5"/>
      <c r="Q601" s="5"/>
      <c r="R601" s="7"/>
      <c r="S601" s="3"/>
      <c r="T601" s="6"/>
      <c r="U601" s="6"/>
      <c r="V601" s="6"/>
      <c r="W601" s="6"/>
      <c r="X601" s="6"/>
      <c r="Y601" s="6"/>
      <c r="Z601" s="6"/>
      <c r="AA601" s="6"/>
      <c r="AB601" s="6"/>
      <c r="AC601" s="6"/>
      <c r="AD601" s="8"/>
      <c r="AE601" s="5"/>
      <c r="AF601" s="8"/>
      <c r="AG601" s="3"/>
      <c r="AH601" s="3"/>
      <c r="AI601" s="3"/>
      <c r="AJ601" s="3"/>
      <c r="AK601" s="3"/>
      <c r="AL601" s="9"/>
    </row>
    <row r="602" spans="1:38" ht="15.75" customHeight="1" x14ac:dyDescent="0.35">
      <c r="A602" s="3"/>
      <c r="B602" s="3"/>
      <c r="C602" s="3"/>
      <c r="D602" s="3"/>
      <c r="E602" s="3"/>
      <c r="F602" s="3"/>
      <c r="G602" s="3"/>
      <c r="H602" s="3"/>
      <c r="I602" s="3"/>
      <c r="J602" s="4"/>
      <c r="K602" s="227"/>
      <c r="L602" s="5"/>
      <c r="M602" s="5"/>
      <c r="N602" s="5"/>
      <c r="O602" s="6"/>
      <c r="P602" s="5"/>
      <c r="Q602" s="5"/>
      <c r="R602" s="7"/>
      <c r="S602" s="3"/>
      <c r="T602" s="6"/>
      <c r="U602" s="6"/>
      <c r="V602" s="6"/>
      <c r="W602" s="6"/>
      <c r="X602" s="6"/>
      <c r="Y602" s="6"/>
      <c r="Z602" s="6"/>
      <c r="AA602" s="6"/>
      <c r="AB602" s="6"/>
      <c r="AC602" s="6"/>
      <c r="AD602" s="8"/>
      <c r="AE602" s="5"/>
      <c r="AF602" s="8"/>
      <c r="AG602" s="3"/>
      <c r="AH602" s="3"/>
      <c r="AI602" s="3"/>
      <c r="AJ602" s="3"/>
      <c r="AK602" s="3"/>
      <c r="AL602" s="9"/>
    </row>
    <row r="603" spans="1:38" ht="15.75" customHeight="1" x14ac:dyDescent="0.35">
      <c r="A603" s="3"/>
      <c r="B603" s="3"/>
      <c r="C603" s="3"/>
      <c r="D603" s="3"/>
      <c r="E603" s="3"/>
      <c r="F603" s="3"/>
      <c r="G603" s="3"/>
      <c r="H603" s="3"/>
      <c r="I603" s="3"/>
      <c r="J603" s="4"/>
      <c r="K603" s="227"/>
      <c r="L603" s="5"/>
      <c r="M603" s="5"/>
      <c r="N603" s="5"/>
      <c r="O603" s="6"/>
      <c r="P603" s="5"/>
      <c r="Q603" s="5"/>
      <c r="R603" s="7"/>
      <c r="S603" s="3"/>
      <c r="T603" s="6"/>
      <c r="U603" s="6"/>
      <c r="V603" s="6"/>
      <c r="W603" s="6"/>
      <c r="X603" s="6"/>
      <c r="Y603" s="6"/>
      <c r="Z603" s="6"/>
      <c r="AA603" s="6"/>
      <c r="AB603" s="6"/>
      <c r="AC603" s="6"/>
      <c r="AD603" s="8"/>
      <c r="AE603" s="5"/>
      <c r="AF603" s="8"/>
      <c r="AG603" s="3"/>
      <c r="AH603" s="3"/>
      <c r="AI603" s="3"/>
      <c r="AJ603" s="3"/>
      <c r="AK603" s="3"/>
      <c r="AL603" s="9"/>
    </row>
    <row r="604" spans="1:38" ht="15.75" customHeight="1" x14ac:dyDescent="0.35">
      <c r="A604" s="3"/>
      <c r="B604" s="3"/>
      <c r="C604" s="3"/>
      <c r="D604" s="3"/>
      <c r="E604" s="3"/>
      <c r="F604" s="3"/>
      <c r="G604" s="3"/>
      <c r="H604" s="3"/>
      <c r="I604" s="3"/>
      <c r="J604" s="4"/>
      <c r="K604" s="227"/>
      <c r="L604" s="5"/>
      <c r="M604" s="5"/>
      <c r="N604" s="5"/>
      <c r="O604" s="6"/>
      <c r="P604" s="5"/>
      <c r="Q604" s="5"/>
      <c r="R604" s="7"/>
      <c r="S604" s="3"/>
      <c r="T604" s="6"/>
      <c r="U604" s="6"/>
      <c r="V604" s="6"/>
      <c r="W604" s="6"/>
      <c r="X604" s="6"/>
      <c r="Y604" s="6"/>
      <c r="Z604" s="6"/>
      <c r="AA604" s="6"/>
      <c r="AB604" s="6"/>
      <c r="AC604" s="6"/>
      <c r="AD604" s="8"/>
      <c r="AE604" s="5"/>
      <c r="AF604" s="8"/>
      <c r="AG604" s="3"/>
      <c r="AH604" s="3"/>
      <c r="AI604" s="3"/>
      <c r="AJ604" s="3"/>
      <c r="AK604" s="3"/>
      <c r="AL604" s="9"/>
    </row>
    <row r="605" spans="1:38" ht="15.75" customHeight="1" x14ac:dyDescent="0.35">
      <c r="A605" s="3"/>
      <c r="B605" s="3"/>
      <c r="C605" s="3"/>
      <c r="D605" s="3"/>
      <c r="E605" s="3"/>
      <c r="F605" s="3"/>
      <c r="G605" s="3"/>
      <c r="H605" s="3"/>
      <c r="I605" s="3"/>
      <c r="J605" s="4"/>
      <c r="K605" s="227"/>
      <c r="L605" s="5"/>
      <c r="M605" s="5"/>
      <c r="N605" s="5"/>
      <c r="O605" s="6"/>
      <c r="P605" s="5"/>
      <c r="Q605" s="5"/>
      <c r="R605" s="7"/>
      <c r="S605" s="3"/>
      <c r="T605" s="6"/>
      <c r="U605" s="6"/>
      <c r="V605" s="6"/>
      <c r="W605" s="6"/>
      <c r="X605" s="6"/>
      <c r="Y605" s="6"/>
      <c r="Z605" s="6"/>
      <c r="AA605" s="6"/>
      <c r="AB605" s="6"/>
      <c r="AC605" s="6"/>
      <c r="AD605" s="8"/>
      <c r="AE605" s="5"/>
      <c r="AF605" s="8"/>
      <c r="AG605" s="3"/>
      <c r="AH605" s="3"/>
      <c r="AI605" s="3"/>
      <c r="AJ605" s="3"/>
      <c r="AK605" s="3"/>
      <c r="AL605" s="9"/>
    </row>
    <row r="606" spans="1:38" ht="15.75" customHeight="1" x14ac:dyDescent="0.35">
      <c r="A606" s="3"/>
      <c r="B606" s="3"/>
      <c r="C606" s="3"/>
      <c r="D606" s="3"/>
      <c r="E606" s="3"/>
      <c r="F606" s="3"/>
      <c r="G606" s="3"/>
      <c r="H606" s="3"/>
      <c r="I606" s="3"/>
      <c r="J606" s="4"/>
      <c r="K606" s="227"/>
      <c r="L606" s="5"/>
      <c r="M606" s="5"/>
      <c r="N606" s="5"/>
      <c r="O606" s="6"/>
      <c r="P606" s="5"/>
      <c r="Q606" s="5"/>
      <c r="R606" s="7"/>
      <c r="S606" s="3"/>
      <c r="T606" s="6"/>
      <c r="U606" s="6"/>
      <c r="V606" s="6"/>
      <c r="W606" s="6"/>
      <c r="X606" s="6"/>
      <c r="Y606" s="6"/>
      <c r="Z606" s="6"/>
      <c r="AA606" s="6"/>
      <c r="AB606" s="6"/>
      <c r="AC606" s="6"/>
      <c r="AD606" s="8"/>
      <c r="AE606" s="5"/>
      <c r="AF606" s="8"/>
      <c r="AG606" s="3"/>
      <c r="AH606" s="3"/>
      <c r="AI606" s="3"/>
      <c r="AJ606" s="3"/>
      <c r="AK606" s="3"/>
      <c r="AL606" s="9"/>
    </row>
    <row r="607" spans="1:38" ht="15.75" customHeight="1" x14ac:dyDescent="0.35">
      <c r="A607" s="3"/>
      <c r="B607" s="3"/>
      <c r="C607" s="3"/>
      <c r="D607" s="3"/>
      <c r="E607" s="3"/>
      <c r="F607" s="3"/>
      <c r="G607" s="3"/>
      <c r="H607" s="3"/>
      <c r="I607" s="3"/>
      <c r="J607" s="4"/>
      <c r="K607" s="227"/>
      <c r="L607" s="5"/>
      <c r="M607" s="5"/>
      <c r="N607" s="5"/>
      <c r="O607" s="6"/>
      <c r="P607" s="5"/>
      <c r="Q607" s="5"/>
      <c r="R607" s="7"/>
      <c r="S607" s="3"/>
      <c r="T607" s="6"/>
      <c r="U607" s="6"/>
      <c r="V607" s="6"/>
      <c r="W607" s="6"/>
      <c r="X607" s="6"/>
      <c r="Y607" s="6"/>
      <c r="Z607" s="6"/>
      <c r="AA607" s="6"/>
      <c r="AB607" s="6"/>
      <c r="AC607" s="6"/>
      <c r="AD607" s="8"/>
      <c r="AE607" s="5"/>
      <c r="AF607" s="8"/>
      <c r="AG607" s="3"/>
      <c r="AH607" s="3"/>
      <c r="AI607" s="3"/>
      <c r="AJ607" s="3"/>
      <c r="AK607" s="3"/>
      <c r="AL607" s="9"/>
    </row>
    <row r="608" spans="1:38" ht="15.75" customHeight="1" x14ac:dyDescent="0.35">
      <c r="A608" s="3"/>
      <c r="B608" s="3"/>
      <c r="C608" s="3"/>
      <c r="D608" s="3"/>
      <c r="E608" s="3"/>
      <c r="F608" s="3"/>
      <c r="G608" s="3"/>
      <c r="H608" s="3"/>
      <c r="I608" s="3"/>
      <c r="J608" s="4"/>
      <c r="K608" s="227"/>
      <c r="L608" s="5"/>
      <c r="M608" s="5"/>
      <c r="N608" s="5"/>
      <c r="O608" s="6"/>
      <c r="P608" s="5"/>
      <c r="Q608" s="5"/>
      <c r="R608" s="7"/>
      <c r="S608" s="3"/>
      <c r="T608" s="6"/>
      <c r="U608" s="6"/>
      <c r="V608" s="6"/>
      <c r="W608" s="6"/>
      <c r="X608" s="6"/>
      <c r="Y608" s="6"/>
      <c r="Z608" s="6"/>
      <c r="AA608" s="6"/>
      <c r="AB608" s="6"/>
      <c r="AC608" s="6"/>
      <c r="AD608" s="8"/>
      <c r="AE608" s="5"/>
      <c r="AF608" s="8"/>
      <c r="AG608" s="3"/>
      <c r="AH608" s="3"/>
      <c r="AI608" s="3"/>
      <c r="AJ608" s="3"/>
      <c r="AK608" s="3"/>
      <c r="AL608" s="9"/>
    </row>
    <row r="609" spans="1:38" ht="15.75" customHeight="1" x14ac:dyDescent="0.35">
      <c r="A609" s="3"/>
      <c r="B609" s="3"/>
      <c r="C609" s="3"/>
      <c r="D609" s="3"/>
      <c r="E609" s="3"/>
      <c r="F609" s="3"/>
      <c r="G609" s="3"/>
      <c r="H609" s="3"/>
      <c r="I609" s="3"/>
      <c r="J609" s="4"/>
      <c r="K609" s="227"/>
      <c r="L609" s="5"/>
      <c r="M609" s="5"/>
      <c r="N609" s="5"/>
      <c r="O609" s="6"/>
      <c r="P609" s="5"/>
      <c r="Q609" s="5"/>
      <c r="R609" s="7"/>
      <c r="S609" s="3"/>
      <c r="T609" s="6"/>
      <c r="U609" s="6"/>
      <c r="V609" s="6"/>
      <c r="W609" s="6"/>
      <c r="X609" s="6"/>
      <c r="Y609" s="6"/>
      <c r="Z609" s="6"/>
      <c r="AA609" s="6"/>
      <c r="AB609" s="6"/>
      <c r="AC609" s="6"/>
      <c r="AD609" s="8"/>
      <c r="AE609" s="5"/>
      <c r="AF609" s="8"/>
      <c r="AG609" s="3"/>
      <c r="AH609" s="3"/>
      <c r="AI609" s="3"/>
      <c r="AJ609" s="3"/>
      <c r="AK609" s="3"/>
      <c r="AL609" s="9"/>
    </row>
    <row r="610" spans="1:38" ht="15.75" customHeight="1" x14ac:dyDescent="0.35">
      <c r="A610" s="3"/>
      <c r="B610" s="3"/>
      <c r="C610" s="3"/>
      <c r="D610" s="3"/>
      <c r="E610" s="3"/>
      <c r="F610" s="3"/>
      <c r="G610" s="3"/>
      <c r="H610" s="3"/>
      <c r="I610" s="3"/>
      <c r="J610" s="4"/>
      <c r="K610" s="227"/>
      <c r="L610" s="5"/>
      <c r="M610" s="5"/>
      <c r="N610" s="5"/>
      <c r="O610" s="6"/>
      <c r="P610" s="5"/>
      <c r="Q610" s="5"/>
      <c r="R610" s="7"/>
      <c r="S610" s="3"/>
      <c r="T610" s="6"/>
      <c r="U610" s="6"/>
      <c r="V610" s="6"/>
      <c r="W610" s="6"/>
      <c r="X610" s="6"/>
      <c r="Y610" s="6"/>
      <c r="Z610" s="6"/>
      <c r="AA610" s="6"/>
      <c r="AB610" s="6"/>
      <c r="AC610" s="6"/>
      <c r="AD610" s="8"/>
      <c r="AE610" s="5"/>
      <c r="AF610" s="8"/>
      <c r="AG610" s="3"/>
      <c r="AH610" s="3"/>
      <c r="AI610" s="3"/>
      <c r="AJ610" s="3"/>
      <c r="AK610" s="3"/>
      <c r="AL610" s="9"/>
    </row>
    <row r="611" spans="1:38" ht="15.75" customHeight="1" x14ac:dyDescent="0.35">
      <c r="A611" s="3"/>
      <c r="B611" s="3"/>
      <c r="C611" s="3"/>
      <c r="D611" s="3"/>
      <c r="E611" s="3"/>
      <c r="F611" s="3"/>
      <c r="G611" s="3"/>
      <c r="H611" s="3"/>
      <c r="I611" s="3"/>
      <c r="J611" s="4"/>
      <c r="K611" s="227"/>
      <c r="L611" s="5"/>
      <c r="M611" s="5"/>
      <c r="N611" s="5"/>
      <c r="O611" s="6"/>
      <c r="P611" s="5"/>
      <c r="Q611" s="5"/>
      <c r="R611" s="7"/>
      <c r="S611" s="3"/>
      <c r="T611" s="6"/>
      <c r="U611" s="6"/>
      <c r="V611" s="6"/>
      <c r="W611" s="6"/>
      <c r="X611" s="6"/>
      <c r="Y611" s="6"/>
      <c r="Z611" s="6"/>
      <c r="AA611" s="6"/>
      <c r="AB611" s="6"/>
      <c r="AC611" s="6"/>
      <c r="AD611" s="8"/>
      <c r="AE611" s="5"/>
      <c r="AF611" s="8"/>
      <c r="AG611" s="3"/>
      <c r="AH611" s="3"/>
      <c r="AI611" s="3"/>
      <c r="AJ611" s="3"/>
      <c r="AK611" s="3"/>
      <c r="AL611" s="9"/>
    </row>
    <row r="612" spans="1:38" ht="15.75" customHeight="1" x14ac:dyDescent="0.35">
      <c r="A612" s="3"/>
      <c r="B612" s="3"/>
      <c r="C612" s="3"/>
      <c r="D612" s="3"/>
      <c r="E612" s="3"/>
      <c r="F612" s="3"/>
      <c r="G612" s="3"/>
      <c r="H612" s="3"/>
      <c r="I612" s="3"/>
      <c r="J612" s="4"/>
      <c r="K612" s="227"/>
      <c r="L612" s="5"/>
      <c r="M612" s="5"/>
      <c r="N612" s="5"/>
      <c r="O612" s="6"/>
      <c r="P612" s="5"/>
      <c r="Q612" s="5"/>
      <c r="R612" s="7"/>
      <c r="S612" s="3"/>
      <c r="T612" s="6"/>
      <c r="U612" s="6"/>
      <c r="V612" s="6"/>
      <c r="W612" s="6"/>
      <c r="X612" s="6"/>
      <c r="Y612" s="6"/>
      <c r="Z612" s="6"/>
      <c r="AA612" s="6"/>
      <c r="AB612" s="6"/>
      <c r="AC612" s="6"/>
      <c r="AD612" s="8"/>
      <c r="AE612" s="5"/>
      <c r="AF612" s="8"/>
      <c r="AG612" s="3"/>
      <c r="AH612" s="3"/>
      <c r="AI612" s="3"/>
      <c r="AJ612" s="3"/>
      <c r="AK612" s="3"/>
      <c r="AL612" s="9"/>
    </row>
    <row r="613" spans="1:38" ht="15.75" customHeight="1" x14ac:dyDescent="0.35">
      <c r="A613" s="3"/>
      <c r="B613" s="3"/>
      <c r="C613" s="3"/>
      <c r="D613" s="3"/>
      <c r="E613" s="3"/>
      <c r="F613" s="3"/>
      <c r="G613" s="3"/>
      <c r="H613" s="3"/>
      <c r="I613" s="3"/>
      <c r="J613" s="4"/>
      <c r="K613" s="227"/>
      <c r="L613" s="5"/>
      <c r="M613" s="5"/>
      <c r="N613" s="5"/>
      <c r="O613" s="6"/>
      <c r="P613" s="5"/>
      <c r="Q613" s="5"/>
      <c r="R613" s="7"/>
      <c r="S613" s="3"/>
      <c r="T613" s="6"/>
      <c r="U613" s="6"/>
      <c r="V613" s="6"/>
      <c r="W613" s="6"/>
      <c r="X613" s="6"/>
      <c r="Y613" s="6"/>
      <c r="Z613" s="6"/>
      <c r="AA613" s="6"/>
      <c r="AB613" s="6"/>
      <c r="AC613" s="6"/>
      <c r="AD613" s="8"/>
      <c r="AE613" s="5"/>
      <c r="AF613" s="8"/>
      <c r="AG613" s="3"/>
      <c r="AH613" s="3"/>
      <c r="AI613" s="3"/>
      <c r="AJ613" s="3"/>
      <c r="AK613" s="3"/>
      <c r="AL613" s="9"/>
    </row>
    <row r="614" spans="1:38" ht="15.75" customHeight="1" x14ac:dyDescent="0.35">
      <c r="A614" s="3"/>
      <c r="B614" s="3"/>
      <c r="C614" s="3"/>
      <c r="D614" s="3"/>
      <c r="E614" s="3"/>
      <c r="F614" s="3"/>
      <c r="G614" s="3"/>
      <c r="H614" s="3"/>
      <c r="I614" s="3"/>
      <c r="J614" s="4"/>
      <c r="K614" s="227"/>
      <c r="L614" s="5"/>
      <c r="M614" s="5"/>
      <c r="N614" s="5"/>
      <c r="O614" s="6"/>
      <c r="P614" s="5"/>
      <c r="Q614" s="5"/>
      <c r="R614" s="7"/>
      <c r="S614" s="3"/>
      <c r="T614" s="6"/>
      <c r="U614" s="6"/>
      <c r="V614" s="6"/>
      <c r="W614" s="6"/>
      <c r="X614" s="6"/>
      <c r="Y614" s="6"/>
      <c r="Z614" s="6"/>
      <c r="AA614" s="6"/>
      <c r="AB614" s="6"/>
      <c r="AC614" s="6"/>
      <c r="AD614" s="8"/>
      <c r="AE614" s="5"/>
      <c r="AF614" s="8"/>
      <c r="AG614" s="3"/>
      <c r="AH614" s="3"/>
      <c r="AI614" s="3"/>
      <c r="AJ614" s="3"/>
      <c r="AK614" s="3"/>
      <c r="AL614" s="9"/>
    </row>
    <row r="615" spans="1:38" ht="15.75" customHeight="1" x14ac:dyDescent="0.35">
      <c r="A615" s="3"/>
      <c r="B615" s="3"/>
      <c r="C615" s="3"/>
      <c r="D615" s="3"/>
      <c r="E615" s="3"/>
      <c r="F615" s="3"/>
      <c r="G615" s="3"/>
      <c r="H615" s="3"/>
      <c r="I615" s="3"/>
      <c r="J615" s="4"/>
      <c r="K615" s="227"/>
      <c r="L615" s="5"/>
      <c r="M615" s="5"/>
      <c r="N615" s="5"/>
      <c r="O615" s="6"/>
      <c r="P615" s="5"/>
      <c r="Q615" s="5"/>
      <c r="R615" s="7"/>
      <c r="S615" s="3"/>
      <c r="T615" s="6"/>
      <c r="U615" s="6"/>
      <c r="V615" s="6"/>
      <c r="W615" s="6"/>
      <c r="X615" s="6"/>
      <c r="Y615" s="6"/>
      <c r="Z615" s="6"/>
      <c r="AA615" s="6"/>
      <c r="AB615" s="6"/>
      <c r="AC615" s="6"/>
      <c r="AD615" s="8"/>
      <c r="AE615" s="5"/>
      <c r="AF615" s="8"/>
      <c r="AG615" s="3"/>
      <c r="AH615" s="3"/>
      <c r="AI615" s="3"/>
      <c r="AJ615" s="3"/>
      <c r="AK615" s="3"/>
      <c r="AL615" s="9"/>
    </row>
    <row r="616" spans="1:38" ht="15.75" customHeight="1" x14ac:dyDescent="0.35">
      <c r="A616" s="3"/>
      <c r="B616" s="3"/>
      <c r="C616" s="3"/>
      <c r="D616" s="3"/>
      <c r="E616" s="3"/>
      <c r="F616" s="3"/>
      <c r="G616" s="3"/>
      <c r="H616" s="3"/>
      <c r="I616" s="3"/>
      <c r="J616" s="4"/>
      <c r="K616" s="227"/>
      <c r="L616" s="5"/>
      <c r="M616" s="5"/>
      <c r="N616" s="5"/>
      <c r="O616" s="6"/>
      <c r="P616" s="5"/>
      <c r="Q616" s="5"/>
      <c r="R616" s="7"/>
      <c r="S616" s="3"/>
      <c r="T616" s="6"/>
      <c r="U616" s="6"/>
      <c r="V616" s="6"/>
      <c r="W616" s="6"/>
      <c r="X616" s="6"/>
      <c r="Y616" s="6"/>
      <c r="Z616" s="6"/>
      <c r="AA616" s="6"/>
      <c r="AB616" s="6"/>
      <c r="AC616" s="6"/>
      <c r="AD616" s="8"/>
      <c r="AE616" s="5"/>
      <c r="AF616" s="8"/>
      <c r="AG616" s="3"/>
      <c r="AH616" s="3"/>
      <c r="AI616" s="3"/>
      <c r="AJ616" s="3"/>
      <c r="AK616" s="3"/>
      <c r="AL616" s="9"/>
    </row>
    <row r="617" spans="1:38" ht="15.75" customHeight="1" x14ac:dyDescent="0.35">
      <c r="A617" s="3"/>
      <c r="B617" s="3"/>
      <c r="C617" s="3"/>
      <c r="D617" s="3"/>
      <c r="E617" s="3"/>
      <c r="F617" s="3"/>
      <c r="G617" s="3"/>
      <c r="H617" s="3"/>
      <c r="I617" s="3"/>
      <c r="J617" s="4"/>
      <c r="K617" s="227"/>
      <c r="L617" s="5"/>
      <c r="M617" s="5"/>
      <c r="N617" s="5"/>
      <c r="O617" s="6"/>
      <c r="P617" s="5"/>
      <c r="Q617" s="5"/>
      <c r="R617" s="7"/>
      <c r="S617" s="3"/>
      <c r="T617" s="6"/>
      <c r="U617" s="6"/>
      <c r="V617" s="6"/>
      <c r="W617" s="6"/>
      <c r="X617" s="6"/>
      <c r="Y617" s="6"/>
      <c r="Z617" s="6"/>
      <c r="AA617" s="6"/>
      <c r="AB617" s="6"/>
      <c r="AC617" s="6"/>
      <c r="AD617" s="8"/>
      <c r="AE617" s="5"/>
      <c r="AF617" s="8"/>
      <c r="AG617" s="3"/>
      <c r="AH617" s="3"/>
      <c r="AI617" s="3"/>
      <c r="AJ617" s="3"/>
      <c r="AK617" s="3"/>
      <c r="AL617" s="9"/>
    </row>
    <row r="618" spans="1:38" ht="15.75" customHeight="1" x14ac:dyDescent="0.35">
      <c r="A618" s="3"/>
      <c r="B618" s="3"/>
      <c r="C618" s="3"/>
      <c r="D618" s="3"/>
      <c r="E618" s="3"/>
      <c r="F618" s="3"/>
      <c r="G618" s="3"/>
      <c r="H618" s="3"/>
      <c r="I618" s="3"/>
      <c r="J618" s="4"/>
      <c r="K618" s="227"/>
      <c r="L618" s="5"/>
      <c r="M618" s="5"/>
      <c r="N618" s="5"/>
      <c r="O618" s="6"/>
      <c r="P618" s="5"/>
      <c r="Q618" s="5"/>
      <c r="R618" s="7"/>
      <c r="S618" s="3"/>
      <c r="T618" s="6"/>
      <c r="U618" s="6"/>
      <c r="V618" s="6"/>
      <c r="W618" s="6"/>
      <c r="X618" s="6"/>
      <c r="Y618" s="6"/>
      <c r="Z618" s="6"/>
      <c r="AA618" s="6"/>
      <c r="AB618" s="6"/>
      <c r="AC618" s="6"/>
      <c r="AD618" s="8"/>
      <c r="AE618" s="5"/>
      <c r="AF618" s="8"/>
      <c r="AG618" s="3"/>
      <c r="AH618" s="3"/>
      <c r="AI618" s="3"/>
      <c r="AJ618" s="3"/>
      <c r="AK618" s="3"/>
      <c r="AL618" s="9"/>
    </row>
    <row r="619" spans="1:38" ht="15.75" customHeight="1" x14ac:dyDescent="0.35">
      <c r="A619" s="3"/>
      <c r="B619" s="3"/>
      <c r="C619" s="3"/>
      <c r="D619" s="3"/>
      <c r="E619" s="3"/>
      <c r="F619" s="3"/>
      <c r="G619" s="3"/>
      <c r="H619" s="3"/>
      <c r="I619" s="3"/>
      <c r="J619" s="4"/>
      <c r="K619" s="227"/>
      <c r="L619" s="5"/>
      <c r="M619" s="5"/>
      <c r="N619" s="5"/>
      <c r="O619" s="6"/>
      <c r="P619" s="5"/>
      <c r="Q619" s="5"/>
      <c r="R619" s="7"/>
      <c r="S619" s="3"/>
      <c r="T619" s="6"/>
      <c r="U619" s="6"/>
      <c r="V619" s="6"/>
      <c r="W619" s="6"/>
      <c r="X619" s="6"/>
      <c r="Y619" s="6"/>
      <c r="Z619" s="6"/>
      <c r="AA619" s="6"/>
      <c r="AB619" s="6"/>
      <c r="AC619" s="6"/>
      <c r="AD619" s="8"/>
      <c r="AE619" s="5"/>
      <c r="AF619" s="8"/>
      <c r="AG619" s="3"/>
      <c r="AH619" s="3"/>
      <c r="AI619" s="3"/>
      <c r="AJ619" s="3"/>
      <c r="AK619" s="3"/>
      <c r="AL619" s="9"/>
    </row>
    <row r="620" spans="1:38" ht="15.75" customHeight="1" x14ac:dyDescent="0.35">
      <c r="A620" s="3"/>
      <c r="B620" s="3"/>
      <c r="C620" s="3"/>
      <c r="D620" s="3"/>
      <c r="E620" s="3"/>
      <c r="F620" s="3"/>
      <c r="G620" s="3"/>
      <c r="H620" s="3"/>
      <c r="I620" s="3"/>
      <c r="J620" s="4"/>
      <c r="K620" s="227"/>
      <c r="L620" s="5"/>
      <c r="M620" s="5"/>
      <c r="N620" s="5"/>
      <c r="O620" s="6"/>
      <c r="P620" s="5"/>
      <c r="Q620" s="5"/>
      <c r="R620" s="7"/>
      <c r="S620" s="3"/>
      <c r="T620" s="6"/>
      <c r="U620" s="6"/>
      <c r="V620" s="6"/>
      <c r="W620" s="6"/>
      <c r="X620" s="6"/>
      <c r="Y620" s="6"/>
      <c r="Z620" s="6"/>
      <c r="AA620" s="6"/>
      <c r="AB620" s="6"/>
      <c r="AC620" s="6"/>
      <c r="AD620" s="8"/>
      <c r="AE620" s="5"/>
      <c r="AF620" s="8"/>
      <c r="AG620" s="3"/>
      <c r="AH620" s="3"/>
      <c r="AI620" s="3"/>
      <c r="AJ620" s="3"/>
      <c r="AK620" s="3"/>
      <c r="AL620" s="9"/>
    </row>
    <row r="621" spans="1:38" ht="15.75" customHeight="1" x14ac:dyDescent="0.35">
      <c r="A621" s="3"/>
      <c r="B621" s="3"/>
      <c r="C621" s="3"/>
      <c r="D621" s="3"/>
      <c r="E621" s="3"/>
      <c r="F621" s="3"/>
      <c r="G621" s="3"/>
      <c r="H621" s="3"/>
      <c r="I621" s="3"/>
      <c r="J621" s="4"/>
      <c r="K621" s="227"/>
      <c r="L621" s="5"/>
      <c r="M621" s="5"/>
      <c r="N621" s="5"/>
      <c r="O621" s="6"/>
      <c r="P621" s="5"/>
      <c r="Q621" s="5"/>
      <c r="R621" s="7"/>
      <c r="S621" s="3"/>
      <c r="T621" s="6"/>
      <c r="U621" s="6"/>
      <c r="V621" s="6"/>
      <c r="W621" s="6"/>
      <c r="X621" s="6"/>
      <c r="Y621" s="6"/>
      <c r="Z621" s="6"/>
      <c r="AA621" s="6"/>
      <c r="AB621" s="6"/>
      <c r="AC621" s="6"/>
      <c r="AD621" s="8"/>
      <c r="AE621" s="5"/>
      <c r="AF621" s="8"/>
      <c r="AG621" s="3"/>
      <c r="AH621" s="3"/>
      <c r="AI621" s="3"/>
      <c r="AJ621" s="3"/>
      <c r="AK621" s="3"/>
      <c r="AL621" s="9"/>
    </row>
    <row r="622" spans="1:38" ht="15.75" customHeight="1" x14ac:dyDescent="0.35">
      <c r="A622" s="3"/>
      <c r="B622" s="3"/>
      <c r="C622" s="3"/>
      <c r="D622" s="3"/>
      <c r="E622" s="3"/>
      <c r="F622" s="3"/>
      <c r="G622" s="3"/>
      <c r="H622" s="3"/>
      <c r="I622" s="3"/>
      <c r="J622" s="4"/>
      <c r="K622" s="227"/>
      <c r="L622" s="5"/>
      <c r="M622" s="5"/>
      <c r="N622" s="5"/>
      <c r="O622" s="6"/>
      <c r="P622" s="5"/>
      <c r="Q622" s="5"/>
      <c r="R622" s="7"/>
      <c r="S622" s="3"/>
      <c r="T622" s="6"/>
      <c r="U622" s="6"/>
      <c r="V622" s="6"/>
      <c r="W622" s="6"/>
      <c r="X622" s="6"/>
      <c r="Y622" s="6"/>
      <c r="Z622" s="6"/>
      <c r="AA622" s="6"/>
      <c r="AB622" s="6"/>
      <c r="AC622" s="6"/>
      <c r="AD622" s="8"/>
      <c r="AE622" s="5"/>
      <c r="AF622" s="8"/>
      <c r="AG622" s="3"/>
      <c r="AH622" s="3"/>
      <c r="AI622" s="3"/>
      <c r="AJ622" s="3"/>
      <c r="AK622" s="3"/>
      <c r="AL622" s="9"/>
    </row>
    <row r="623" spans="1:38" ht="15.75" customHeight="1" x14ac:dyDescent="0.35">
      <c r="A623" s="3"/>
      <c r="B623" s="3"/>
      <c r="C623" s="3"/>
      <c r="D623" s="3"/>
      <c r="E623" s="3"/>
      <c r="F623" s="3"/>
      <c r="G623" s="3"/>
      <c r="H623" s="3"/>
      <c r="I623" s="3"/>
      <c r="J623" s="4"/>
      <c r="K623" s="227"/>
      <c r="L623" s="5"/>
      <c r="M623" s="5"/>
      <c r="N623" s="5"/>
      <c r="O623" s="6"/>
      <c r="P623" s="5"/>
      <c r="Q623" s="5"/>
      <c r="R623" s="7"/>
      <c r="S623" s="3"/>
      <c r="T623" s="6"/>
      <c r="U623" s="6"/>
      <c r="V623" s="6"/>
      <c r="W623" s="6"/>
      <c r="X623" s="6"/>
      <c r="Y623" s="6"/>
      <c r="Z623" s="6"/>
      <c r="AA623" s="6"/>
      <c r="AB623" s="6"/>
      <c r="AC623" s="6"/>
      <c r="AD623" s="8"/>
      <c r="AE623" s="5"/>
      <c r="AF623" s="8"/>
      <c r="AG623" s="3"/>
      <c r="AH623" s="3"/>
      <c r="AI623" s="3"/>
      <c r="AJ623" s="3"/>
      <c r="AK623" s="3"/>
      <c r="AL623" s="9"/>
    </row>
    <row r="624" spans="1:38" ht="15.75" customHeight="1" x14ac:dyDescent="0.35">
      <c r="A624" s="3"/>
      <c r="B624" s="3"/>
      <c r="C624" s="3"/>
      <c r="D624" s="3"/>
      <c r="E624" s="3"/>
      <c r="F624" s="3"/>
      <c r="G624" s="3"/>
      <c r="H624" s="3"/>
      <c r="I624" s="3"/>
      <c r="J624" s="4"/>
      <c r="K624" s="227"/>
      <c r="L624" s="5"/>
      <c r="M624" s="5"/>
      <c r="N624" s="5"/>
      <c r="O624" s="6"/>
      <c r="P624" s="5"/>
      <c r="Q624" s="5"/>
      <c r="R624" s="7"/>
      <c r="S624" s="3"/>
      <c r="T624" s="6"/>
      <c r="U624" s="6"/>
      <c r="V624" s="6"/>
      <c r="W624" s="6"/>
      <c r="X624" s="6"/>
      <c r="Y624" s="6"/>
      <c r="Z624" s="6"/>
      <c r="AA624" s="6"/>
      <c r="AB624" s="6"/>
      <c r="AC624" s="6"/>
      <c r="AD624" s="8"/>
      <c r="AE624" s="5"/>
      <c r="AF624" s="8"/>
      <c r="AG624" s="3"/>
      <c r="AH624" s="3"/>
      <c r="AI624" s="3"/>
      <c r="AJ624" s="3"/>
      <c r="AK624" s="3"/>
      <c r="AL624" s="9"/>
    </row>
    <row r="625" spans="1:38" ht="15.75" customHeight="1" x14ac:dyDescent="0.35">
      <c r="A625" s="3"/>
      <c r="B625" s="3"/>
      <c r="C625" s="3"/>
      <c r="D625" s="3"/>
      <c r="E625" s="3"/>
      <c r="F625" s="3"/>
      <c r="G625" s="3"/>
      <c r="H625" s="3"/>
      <c r="I625" s="3"/>
      <c r="J625" s="4"/>
      <c r="K625" s="227"/>
      <c r="L625" s="5"/>
      <c r="M625" s="5"/>
      <c r="N625" s="5"/>
      <c r="O625" s="6"/>
      <c r="P625" s="5"/>
      <c r="Q625" s="5"/>
      <c r="R625" s="7"/>
      <c r="S625" s="3"/>
      <c r="T625" s="6"/>
      <c r="U625" s="6"/>
      <c r="V625" s="6"/>
      <c r="W625" s="6"/>
      <c r="X625" s="6"/>
      <c r="Y625" s="6"/>
      <c r="Z625" s="6"/>
      <c r="AA625" s="6"/>
      <c r="AB625" s="6"/>
      <c r="AC625" s="6"/>
      <c r="AD625" s="8"/>
      <c r="AE625" s="5"/>
      <c r="AF625" s="8"/>
      <c r="AG625" s="3"/>
      <c r="AH625" s="3"/>
      <c r="AI625" s="3"/>
      <c r="AJ625" s="3"/>
      <c r="AK625" s="3"/>
      <c r="AL625" s="9"/>
    </row>
    <row r="626" spans="1:38" ht="15.75" customHeight="1" x14ac:dyDescent="0.35">
      <c r="A626" s="3"/>
      <c r="B626" s="3"/>
      <c r="C626" s="3"/>
      <c r="D626" s="3"/>
      <c r="E626" s="3"/>
      <c r="F626" s="3"/>
      <c r="G626" s="3"/>
      <c r="H626" s="3"/>
      <c r="I626" s="3"/>
      <c r="J626" s="4"/>
      <c r="K626" s="227"/>
      <c r="L626" s="5"/>
      <c r="M626" s="5"/>
      <c r="N626" s="5"/>
      <c r="O626" s="6"/>
      <c r="P626" s="5"/>
      <c r="Q626" s="5"/>
      <c r="R626" s="7"/>
      <c r="S626" s="3"/>
      <c r="T626" s="6"/>
      <c r="U626" s="6"/>
      <c r="V626" s="6"/>
      <c r="W626" s="6"/>
      <c r="X626" s="6"/>
      <c r="Y626" s="6"/>
      <c r="Z626" s="6"/>
      <c r="AA626" s="6"/>
      <c r="AB626" s="6"/>
      <c r="AC626" s="6"/>
      <c r="AD626" s="8"/>
      <c r="AE626" s="5"/>
      <c r="AF626" s="8"/>
      <c r="AG626" s="3"/>
      <c r="AH626" s="3"/>
      <c r="AI626" s="3"/>
      <c r="AJ626" s="3"/>
      <c r="AK626" s="3"/>
      <c r="AL626" s="9"/>
    </row>
    <row r="627" spans="1:38" ht="15.75" customHeight="1" x14ac:dyDescent="0.35">
      <c r="A627" s="3"/>
      <c r="B627" s="3"/>
      <c r="C627" s="3"/>
      <c r="D627" s="3"/>
      <c r="E627" s="3"/>
      <c r="F627" s="3"/>
      <c r="G627" s="3"/>
      <c r="H627" s="3"/>
      <c r="I627" s="3"/>
      <c r="J627" s="4"/>
      <c r="K627" s="227"/>
      <c r="L627" s="5"/>
      <c r="M627" s="5"/>
      <c r="N627" s="5"/>
      <c r="O627" s="6"/>
      <c r="P627" s="5"/>
      <c r="Q627" s="5"/>
      <c r="R627" s="7"/>
      <c r="S627" s="3"/>
      <c r="T627" s="6"/>
      <c r="U627" s="6"/>
      <c r="V627" s="6"/>
      <c r="W627" s="6"/>
      <c r="X627" s="6"/>
      <c r="Y627" s="6"/>
      <c r="Z627" s="6"/>
      <c r="AA627" s="6"/>
      <c r="AB627" s="6"/>
      <c r="AC627" s="6"/>
      <c r="AD627" s="8"/>
      <c r="AE627" s="5"/>
      <c r="AF627" s="8"/>
      <c r="AG627" s="3"/>
      <c r="AH627" s="3"/>
      <c r="AI627" s="3"/>
      <c r="AJ627" s="3"/>
      <c r="AK627" s="3"/>
      <c r="AL627" s="9"/>
    </row>
    <row r="628" spans="1:38" ht="15.75" customHeight="1" x14ac:dyDescent="0.35">
      <c r="A628" s="3"/>
      <c r="B628" s="3"/>
      <c r="C628" s="3"/>
      <c r="D628" s="3"/>
      <c r="E628" s="3"/>
      <c r="F628" s="3"/>
      <c r="G628" s="3"/>
      <c r="H628" s="3"/>
      <c r="I628" s="3"/>
      <c r="J628" s="4"/>
      <c r="K628" s="227"/>
      <c r="L628" s="5"/>
      <c r="M628" s="5"/>
      <c r="N628" s="5"/>
      <c r="O628" s="6"/>
      <c r="P628" s="5"/>
      <c r="Q628" s="5"/>
      <c r="R628" s="7"/>
      <c r="S628" s="3"/>
      <c r="T628" s="6"/>
      <c r="U628" s="6"/>
      <c r="V628" s="6"/>
      <c r="W628" s="6"/>
      <c r="X628" s="6"/>
      <c r="Y628" s="6"/>
      <c r="Z628" s="6"/>
      <c r="AA628" s="6"/>
      <c r="AB628" s="6"/>
      <c r="AC628" s="6"/>
      <c r="AD628" s="8"/>
      <c r="AE628" s="5"/>
      <c r="AF628" s="8"/>
      <c r="AG628" s="3"/>
      <c r="AH628" s="3"/>
      <c r="AI628" s="3"/>
      <c r="AJ628" s="3"/>
      <c r="AK628" s="3"/>
      <c r="AL628" s="9"/>
    </row>
    <row r="629" spans="1:38" ht="15.75" customHeight="1" x14ac:dyDescent="0.35">
      <c r="A629" s="3"/>
      <c r="B629" s="3"/>
      <c r="C629" s="3"/>
      <c r="D629" s="3"/>
      <c r="E629" s="3"/>
      <c r="F629" s="3"/>
      <c r="G629" s="3"/>
      <c r="H629" s="3"/>
      <c r="I629" s="3"/>
      <c r="J629" s="4"/>
      <c r="K629" s="227"/>
      <c r="L629" s="5"/>
      <c r="M629" s="5"/>
      <c r="N629" s="5"/>
      <c r="O629" s="6"/>
      <c r="P629" s="5"/>
      <c r="Q629" s="5"/>
      <c r="R629" s="7"/>
      <c r="S629" s="3"/>
      <c r="T629" s="6"/>
      <c r="U629" s="6"/>
      <c r="V629" s="6"/>
      <c r="W629" s="6"/>
      <c r="X629" s="6"/>
      <c r="Y629" s="6"/>
      <c r="Z629" s="6"/>
      <c r="AA629" s="6"/>
      <c r="AB629" s="6"/>
      <c r="AC629" s="6"/>
      <c r="AD629" s="8"/>
      <c r="AE629" s="5"/>
      <c r="AF629" s="8"/>
      <c r="AG629" s="3"/>
      <c r="AH629" s="3"/>
      <c r="AI629" s="3"/>
      <c r="AJ629" s="3"/>
      <c r="AK629" s="3"/>
      <c r="AL629" s="9"/>
    </row>
    <row r="630" spans="1:38" ht="15.75" customHeight="1" x14ac:dyDescent="0.35">
      <c r="A630" s="3"/>
      <c r="B630" s="3"/>
      <c r="C630" s="3"/>
      <c r="D630" s="3"/>
      <c r="E630" s="3"/>
      <c r="F630" s="3"/>
      <c r="G630" s="3"/>
      <c r="H630" s="3"/>
      <c r="I630" s="3"/>
      <c r="J630" s="4"/>
      <c r="K630" s="227"/>
      <c r="L630" s="5"/>
      <c r="M630" s="5"/>
      <c r="N630" s="5"/>
      <c r="O630" s="6"/>
      <c r="P630" s="5"/>
      <c r="Q630" s="5"/>
      <c r="R630" s="7"/>
      <c r="S630" s="3"/>
      <c r="T630" s="6"/>
      <c r="U630" s="6"/>
      <c r="V630" s="6"/>
      <c r="W630" s="6"/>
      <c r="X630" s="6"/>
      <c r="Y630" s="6"/>
      <c r="Z630" s="6"/>
      <c r="AA630" s="6"/>
      <c r="AB630" s="6"/>
      <c r="AC630" s="6"/>
      <c r="AD630" s="8"/>
      <c r="AE630" s="5"/>
      <c r="AF630" s="8"/>
      <c r="AG630" s="3"/>
      <c r="AH630" s="3"/>
      <c r="AI630" s="3"/>
      <c r="AJ630" s="3"/>
      <c r="AK630" s="3"/>
      <c r="AL630" s="9"/>
    </row>
    <row r="631" spans="1:38" ht="15.75" customHeight="1" x14ac:dyDescent="0.35">
      <c r="A631" s="3"/>
      <c r="B631" s="3"/>
      <c r="C631" s="3"/>
      <c r="D631" s="3"/>
      <c r="E631" s="3"/>
      <c r="F631" s="3"/>
      <c r="G631" s="3"/>
      <c r="H631" s="3"/>
      <c r="I631" s="3"/>
      <c r="J631" s="4"/>
      <c r="K631" s="227"/>
      <c r="L631" s="5"/>
      <c r="M631" s="5"/>
      <c r="N631" s="5"/>
      <c r="O631" s="6"/>
      <c r="P631" s="5"/>
      <c r="Q631" s="5"/>
      <c r="R631" s="7"/>
      <c r="S631" s="3"/>
      <c r="T631" s="6"/>
      <c r="U631" s="6"/>
      <c r="V631" s="6"/>
      <c r="W631" s="6"/>
      <c r="X631" s="6"/>
      <c r="Y631" s="6"/>
      <c r="Z631" s="6"/>
      <c r="AA631" s="6"/>
      <c r="AB631" s="6"/>
      <c r="AC631" s="6"/>
      <c r="AD631" s="8"/>
      <c r="AE631" s="5"/>
      <c r="AF631" s="8"/>
      <c r="AG631" s="3"/>
      <c r="AH631" s="3"/>
      <c r="AI631" s="3"/>
      <c r="AJ631" s="3"/>
      <c r="AK631" s="3"/>
      <c r="AL631" s="9"/>
    </row>
    <row r="632" spans="1:38" ht="15.75" customHeight="1" x14ac:dyDescent="0.35">
      <c r="A632" s="3"/>
      <c r="B632" s="3"/>
      <c r="C632" s="3"/>
      <c r="D632" s="3"/>
      <c r="E632" s="3"/>
      <c r="F632" s="3"/>
      <c r="G632" s="3"/>
      <c r="H632" s="3"/>
      <c r="I632" s="3"/>
      <c r="J632" s="4"/>
      <c r="K632" s="227"/>
      <c r="L632" s="5"/>
      <c r="M632" s="5"/>
      <c r="N632" s="5"/>
      <c r="O632" s="6"/>
      <c r="P632" s="5"/>
      <c r="Q632" s="5"/>
      <c r="R632" s="7"/>
      <c r="S632" s="3"/>
      <c r="T632" s="6"/>
      <c r="U632" s="6"/>
      <c r="V632" s="6"/>
      <c r="W632" s="6"/>
      <c r="X632" s="6"/>
      <c r="Y632" s="6"/>
      <c r="Z632" s="6"/>
      <c r="AA632" s="6"/>
      <c r="AB632" s="6"/>
      <c r="AC632" s="6"/>
      <c r="AD632" s="8"/>
      <c r="AE632" s="5"/>
      <c r="AF632" s="8"/>
      <c r="AG632" s="3"/>
      <c r="AH632" s="3"/>
      <c r="AI632" s="3"/>
      <c r="AJ632" s="3"/>
      <c r="AK632" s="3"/>
      <c r="AL632" s="9"/>
    </row>
    <row r="633" spans="1:38" ht="15.75" customHeight="1" x14ac:dyDescent="0.35">
      <c r="A633" s="3"/>
      <c r="B633" s="3"/>
      <c r="C633" s="3"/>
      <c r="D633" s="3"/>
      <c r="E633" s="3"/>
      <c r="F633" s="3"/>
      <c r="G633" s="3"/>
      <c r="H633" s="3"/>
      <c r="I633" s="3"/>
      <c r="J633" s="4"/>
      <c r="K633" s="227"/>
      <c r="L633" s="5"/>
      <c r="M633" s="5"/>
      <c r="N633" s="5"/>
      <c r="O633" s="6"/>
      <c r="P633" s="5"/>
      <c r="Q633" s="5"/>
      <c r="R633" s="7"/>
      <c r="S633" s="3"/>
      <c r="T633" s="6"/>
      <c r="U633" s="6"/>
      <c r="V633" s="6"/>
      <c r="W633" s="6"/>
      <c r="X633" s="6"/>
      <c r="Y633" s="6"/>
      <c r="Z633" s="6"/>
      <c r="AA633" s="6"/>
      <c r="AB633" s="6"/>
      <c r="AC633" s="6"/>
      <c r="AD633" s="8"/>
      <c r="AE633" s="5"/>
      <c r="AF633" s="8"/>
      <c r="AG633" s="3"/>
      <c r="AH633" s="3"/>
      <c r="AI633" s="3"/>
      <c r="AJ633" s="3"/>
      <c r="AK633" s="3"/>
      <c r="AL633" s="9"/>
    </row>
    <row r="634" spans="1:38" ht="15.75" customHeight="1" x14ac:dyDescent="0.35">
      <c r="A634" s="3"/>
      <c r="B634" s="3"/>
      <c r="C634" s="3"/>
      <c r="D634" s="3"/>
      <c r="E634" s="3"/>
      <c r="F634" s="3"/>
      <c r="G634" s="3"/>
      <c r="H634" s="3"/>
      <c r="I634" s="3"/>
      <c r="J634" s="4"/>
      <c r="K634" s="227"/>
      <c r="L634" s="5"/>
      <c r="M634" s="5"/>
      <c r="N634" s="5"/>
      <c r="O634" s="6"/>
      <c r="P634" s="5"/>
      <c r="Q634" s="5"/>
      <c r="R634" s="7"/>
      <c r="S634" s="3"/>
      <c r="T634" s="6"/>
      <c r="U634" s="6"/>
      <c r="V634" s="6"/>
      <c r="W634" s="6"/>
      <c r="X634" s="6"/>
      <c r="Y634" s="6"/>
      <c r="Z634" s="6"/>
      <c r="AA634" s="6"/>
      <c r="AB634" s="6"/>
      <c r="AC634" s="6"/>
      <c r="AD634" s="8"/>
      <c r="AE634" s="5"/>
      <c r="AF634" s="8"/>
      <c r="AG634" s="3"/>
      <c r="AH634" s="3"/>
      <c r="AI634" s="3"/>
      <c r="AJ634" s="3"/>
      <c r="AK634" s="3"/>
      <c r="AL634" s="9"/>
    </row>
    <row r="635" spans="1:38" ht="15.75" customHeight="1" x14ac:dyDescent="0.35">
      <c r="A635" s="3"/>
      <c r="B635" s="3"/>
      <c r="C635" s="3"/>
      <c r="D635" s="3"/>
      <c r="E635" s="3"/>
      <c r="F635" s="3"/>
      <c r="G635" s="3"/>
      <c r="H635" s="3"/>
      <c r="I635" s="3"/>
      <c r="J635" s="4"/>
      <c r="K635" s="227"/>
      <c r="L635" s="5"/>
      <c r="M635" s="5"/>
      <c r="N635" s="5"/>
      <c r="O635" s="6"/>
      <c r="P635" s="5"/>
      <c r="Q635" s="5"/>
      <c r="R635" s="7"/>
      <c r="S635" s="3"/>
      <c r="T635" s="6"/>
      <c r="U635" s="6"/>
      <c r="V635" s="6"/>
      <c r="W635" s="6"/>
      <c r="X635" s="6"/>
      <c r="Y635" s="6"/>
      <c r="Z635" s="6"/>
      <c r="AA635" s="6"/>
      <c r="AB635" s="6"/>
      <c r="AC635" s="6"/>
      <c r="AD635" s="8"/>
      <c r="AE635" s="5"/>
      <c r="AF635" s="8"/>
      <c r="AG635" s="3"/>
      <c r="AH635" s="3"/>
      <c r="AI635" s="3"/>
      <c r="AJ635" s="3"/>
      <c r="AK635" s="3"/>
      <c r="AL635" s="9"/>
    </row>
    <row r="636" spans="1:38" ht="15.75" customHeight="1" x14ac:dyDescent="0.35">
      <c r="A636" s="3"/>
      <c r="B636" s="3"/>
      <c r="C636" s="3"/>
      <c r="D636" s="3"/>
      <c r="E636" s="3"/>
      <c r="F636" s="3"/>
      <c r="G636" s="3"/>
      <c r="H636" s="3"/>
      <c r="I636" s="3"/>
      <c r="J636" s="4"/>
      <c r="K636" s="227"/>
      <c r="L636" s="5"/>
      <c r="M636" s="5"/>
      <c r="N636" s="5"/>
      <c r="O636" s="6"/>
      <c r="P636" s="5"/>
      <c r="Q636" s="5"/>
      <c r="R636" s="7"/>
      <c r="S636" s="3"/>
      <c r="T636" s="6"/>
      <c r="U636" s="6"/>
      <c r="V636" s="6"/>
      <c r="W636" s="6"/>
      <c r="X636" s="6"/>
      <c r="Y636" s="6"/>
      <c r="Z636" s="6"/>
      <c r="AA636" s="6"/>
      <c r="AB636" s="6"/>
      <c r="AC636" s="6"/>
      <c r="AD636" s="8"/>
      <c r="AE636" s="5"/>
      <c r="AF636" s="8"/>
      <c r="AG636" s="3"/>
      <c r="AH636" s="3"/>
      <c r="AI636" s="3"/>
      <c r="AJ636" s="3"/>
      <c r="AK636" s="3"/>
      <c r="AL636" s="9"/>
    </row>
    <row r="637" spans="1:38" ht="15.75" customHeight="1" x14ac:dyDescent="0.35">
      <c r="A637" s="3"/>
      <c r="B637" s="3"/>
      <c r="C637" s="3"/>
      <c r="D637" s="3"/>
      <c r="E637" s="3"/>
      <c r="F637" s="3"/>
      <c r="G637" s="3"/>
      <c r="H637" s="3"/>
      <c r="I637" s="3"/>
      <c r="J637" s="4"/>
      <c r="K637" s="227"/>
      <c r="L637" s="5"/>
      <c r="M637" s="5"/>
      <c r="N637" s="5"/>
      <c r="O637" s="6"/>
      <c r="P637" s="5"/>
      <c r="Q637" s="5"/>
      <c r="R637" s="7"/>
      <c r="S637" s="3"/>
      <c r="T637" s="6"/>
      <c r="U637" s="6"/>
      <c r="V637" s="6"/>
      <c r="W637" s="6"/>
      <c r="X637" s="6"/>
      <c r="Y637" s="6"/>
      <c r="Z637" s="6"/>
      <c r="AA637" s="6"/>
      <c r="AB637" s="6"/>
      <c r="AC637" s="6"/>
      <c r="AD637" s="8"/>
      <c r="AE637" s="5"/>
      <c r="AF637" s="8"/>
      <c r="AG637" s="3"/>
      <c r="AH637" s="3"/>
      <c r="AI637" s="3"/>
      <c r="AJ637" s="3"/>
      <c r="AK637" s="3"/>
      <c r="AL637" s="9"/>
    </row>
    <row r="638" spans="1:38" ht="15.75" customHeight="1" x14ac:dyDescent="0.35">
      <c r="A638" s="3"/>
      <c r="B638" s="3"/>
      <c r="C638" s="3"/>
      <c r="D638" s="3"/>
      <c r="E638" s="3"/>
      <c r="F638" s="3"/>
      <c r="G638" s="3"/>
      <c r="H638" s="3"/>
      <c r="I638" s="3"/>
      <c r="J638" s="4"/>
      <c r="K638" s="227"/>
      <c r="L638" s="5"/>
      <c r="M638" s="5"/>
      <c r="N638" s="5"/>
      <c r="O638" s="6"/>
      <c r="P638" s="5"/>
      <c r="Q638" s="5"/>
      <c r="R638" s="7"/>
      <c r="S638" s="3"/>
      <c r="T638" s="6"/>
      <c r="U638" s="6"/>
      <c r="V638" s="6"/>
      <c r="W638" s="6"/>
      <c r="X638" s="6"/>
      <c r="Y638" s="6"/>
      <c r="Z638" s="6"/>
      <c r="AA638" s="6"/>
      <c r="AB638" s="6"/>
      <c r="AC638" s="6"/>
      <c r="AD638" s="8"/>
      <c r="AE638" s="5"/>
      <c r="AF638" s="8"/>
      <c r="AG638" s="3"/>
      <c r="AH638" s="3"/>
      <c r="AI638" s="3"/>
      <c r="AJ638" s="3"/>
      <c r="AK638" s="3"/>
      <c r="AL638" s="9"/>
    </row>
    <row r="639" spans="1:38" ht="15.75" customHeight="1" x14ac:dyDescent="0.35">
      <c r="A639" s="3"/>
      <c r="B639" s="3"/>
      <c r="C639" s="3"/>
      <c r="D639" s="3"/>
      <c r="E639" s="3"/>
      <c r="F639" s="3"/>
      <c r="G639" s="3"/>
      <c r="H639" s="3"/>
      <c r="I639" s="3"/>
      <c r="J639" s="4"/>
      <c r="K639" s="227"/>
      <c r="L639" s="5"/>
      <c r="M639" s="5"/>
      <c r="N639" s="5"/>
      <c r="O639" s="6"/>
      <c r="P639" s="5"/>
      <c r="Q639" s="5"/>
      <c r="R639" s="7"/>
      <c r="S639" s="3"/>
      <c r="T639" s="6"/>
      <c r="U639" s="6"/>
      <c r="V639" s="6"/>
      <c r="W639" s="6"/>
      <c r="X639" s="6"/>
      <c r="Y639" s="6"/>
      <c r="Z639" s="6"/>
      <c r="AA639" s="6"/>
      <c r="AB639" s="6"/>
      <c r="AC639" s="6"/>
      <c r="AD639" s="8"/>
      <c r="AE639" s="5"/>
      <c r="AF639" s="8"/>
      <c r="AG639" s="3"/>
      <c r="AH639" s="3"/>
      <c r="AI639" s="3"/>
      <c r="AJ639" s="3"/>
      <c r="AK639" s="3"/>
      <c r="AL639" s="9"/>
    </row>
    <row r="640" spans="1:38" ht="15.75" customHeight="1" x14ac:dyDescent="0.35">
      <c r="A640" s="3"/>
      <c r="B640" s="3"/>
      <c r="C640" s="3"/>
      <c r="D640" s="3"/>
      <c r="E640" s="3"/>
      <c r="F640" s="3"/>
      <c r="G640" s="3"/>
      <c r="H640" s="3"/>
      <c r="I640" s="3"/>
      <c r="J640" s="4"/>
      <c r="K640" s="227"/>
      <c r="L640" s="5"/>
      <c r="M640" s="5"/>
      <c r="N640" s="5"/>
      <c r="O640" s="6"/>
      <c r="P640" s="5"/>
      <c r="Q640" s="5"/>
      <c r="R640" s="7"/>
      <c r="S640" s="3"/>
      <c r="T640" s="6"/>
      <c r="U640" s="6"/>
      <c r="V640" s="6"/>
      <c r="W640" s="6"/>
      <c r="X640" s="6"/>
      <c r="Y640" s="6"/>
      <c r="Z640" s="6"/>
      <c r="AA640" s="6"/>
      <c r="AB640" s="6"/>
      <c r="AC640" s="6"/>
      <c r="AD640" s="8"/>
      <c r="AE640" s="5"/>
      <c r="AF640" s="8"/>
      <c r="AG640" s="3"/>
      <c r="AH640" s="3"/>
      <c r="AI640" s="3"/>
      <c r="AJ640" s="3"/>
      <c r="AK640" s="3"/>
      <c r="AL640" s="9"/>
    </row>
    <row r="641" spans="1:38" ht="15.75" customHeight="1" x14ac:dyDescent="0.35">
      <c r="A641" s="3"/>
      <c r="B641" s="3"/>
      <c r="C641" s="3"/>
      <c r="D641" s="3"/>
      <c r="E641" s="3"/>
      <c r="F641" s="3"/>
      <c r="G641" s="3"/>
      <c r="H641" s="3"/>
      <c r="I641" s="3"/>
      <c r="J641" s="4"/>
      <c r="K641" s="227"/>
      <c r="L641" s="5"/>
      <c r="M641" s="5"/>
      <c r="N641" s="5"/>
      <c r="O641" s="6"/>
      <c r="P641" s="5"/>
      <c r="Q641" s="5"/>
      <c r="R641" s="7"/>
      <c r="S641" s="3"/>
      <c r="T641" s="6"/>
      <c r="U641" s="6"/>
      <c r="V641" s="6"/>
      <c r="W641" s="6"/>
      <c r="X641" s="6"/>
      <c r="Y641" s="6"/>
      <c r="Z641" s="6"/>
      <c r="AA641" s="6"/>
      <c r="AB641" s="6"/>
      <c r="AC641" s="6"/>
      <c r="AD641" s="8"/>
      <c r="AE641" s="5"/>
      <c r="AF641" s="8"/>
      <c r="AG641" s="3"/>
      <c r="AH641" s="3"/>
      <c r="AI641" s="3"/>
      <c r="AJ641" s="3"/>
      <c r="AK641" s="3"/>
      <c r="AL641" s="9"/>
    </row>
    <row r="642" spans="1:38" ht="15.75" customHeight="1" x14ac:dyDescent="0.35">
      <c r="A642" s="3"/>
      <c r="B642" s="3"/>
      <c r="C642" s="3"/>
      <c r="D642" s="3"/>
      <c r="E642" s="3"/>
      <c r="F642" s="3"/>
      <c r="G642" s="3"/>
      <c r="H642" s="3"/>
      <c r="I642" s="3"/>
      <c r="J642" s="4"/>
      <c r="K642" s="227"/>
      <c r="L642" s="5"/>
      <c r="M642" s="5"/>
      <c r="N642" s="5"/>
      <c r="O642" s="6"/>
      <c r="P642" s="5"/>
      <c r="Q642" s="5"/>
      <c r="R642" s="7"/>
      <c r="S642" s="3"/>
      <c r="T642" s="6"/>
      <c r="U642" s="6"/>
      <c r="V642" s="6"/>
      <c r="W642" s="6"/>
      <c r="X642" s="6"/>
      <c r="Y642" s="6"/>
      <c r="Z642" s="6"/>
      <c r="AA642" s="6"/>
      <c r="AB642" s="6"/>
      <c r="AC642" s="6"/>
      <c r="AD642" s="8"/>
      <c r="AE642" s="5"/>
      <c r="AF642" s="8"/>
      <c r="AG642" s="3"/>
      <c r="AH642" s="3"/>
      <c r="AI642" s="3"/>
      <c r="AJ642" s="3"/>
      <c r="AK642" s="3"/>
      <c r="AL642" s="9"/>
    </row>
    <row r="643" spans="1:38" ht="15.75" customHeight="1" x14ac:dyDescent="0.35">
      <c r="A643" s="3"/>
      <c r="B643" s="3"/>
      <c r="C643" s="3"/>
      <c r="D643" s="3"/>
      <c r="E643" s="3"/>
      <c r="F643" s="3"/>
      <c r="G643" s="3"/>
      <c r="H643" s="3"/>
      <c r="I643" s="3"/>
      <c r="J643" s="4"/>
      <c r="K643" s="227"/>
      <c r="L643" s="5"/>
      <c r="M643" s="5"/>
      <c r="N643" s="5"/>
      <c r="O643" s="6"/>
      <c r="P643" s="5"/>
      <c r="Q643" s="5"/>
      <c r="R643" s="7"/>
      <c r="S643" s="3"/>
      <c r="T643" s="6"/>
      <c r="U643" s="6"/>
      <c r="V643" s="6"/>
      <c r="W643" s="6"/>
      <c r="X643" s="6"/>
      <c r="Y643" s="6"/>
      <c r="Z643" s="6"/>
      <c r="AA643" s="6"/>
      <c r="AB643" s="6"/>
      <c r="AC643" s="6"/>
      <c r="AD643" s="8"/>
      <c r="AE643" s="5"/>
      <c r="AF643" s="8"/>
      <c r="AG643" s="3"/>
      <c r="AH643" s="3"/>
      <c r="AI643" s="3"/>
      <c r="AJ643" s="3"/>
      <c r="AK643" s="3"/>
      <c r="AL643" s="9"/>
    </row>
    <row r="644" spans="1:38" ht="15.75" customHeight="1" x14ac:dyDescent="0.35">
      <c r="A644" s="3"/>
      <c r="B644" s="3"/>
      <c r="C644" s="3"/>
      <c r="D644" s="3"/>
      <c r="E644" s="3"/>
      <c r="F644" s="3"/>
      <c r="G644" s="3"/>
      <c r="H644" s="3"/>
      <c r="I644" s="3"/>
      <c r="J644" s="4"/>
      <c r="K644" s="227"/>
      <c r="L644" s="5"/>
      <c r="M644" s="5"/>
      <c r="N644" s="5"/>
      <c r="O644" s="6"/>
      <c r="P644" s="5"/>
      <c r="Q644" s="5"/>
      <c r="R644" s="7"/>
      <c r="S644" s="3"/>
      <c r="T644" s="6"/>
      <c r="U644" s="6"/>
      <c r="V644" s="6"/>
      <c r="W644" s="6"/>
      <c r="X644" s="6"/>
      <c r="Y644" s="6"/>
      <c r="Z644" s="6"/>
      <c r="AA644" s="6"/>
      <c r="AB644" s="6"/>
      <c r="AC644" s="6"/>
      <c r="AD644" s="8"/>
      <c r="AE644" s="5"/>
      <c r="AF644" s="8"/>
      <c r="AG644" s="3"/>
      <c r="AH644" s="3"/>
      <c r="AI644" s="3"/>
      <c r="AJ644" s="3"/>
      <c r="AK644" s="3"/>
      <c r="AL644" s="9"/>
    </row>
    <row r="645" spans="1:38" ht="15.75" customHeight="1" x14ac:dyDescent="0.35">
      <c r="A645" s="3"/>
      <c r="B645" s="3"/>
      <c r="C645" s="3"/>
      <c r="D645" s="3"/>
      <c r="E645" s="3"/>
      <c r="F645" s="3"/>
      <c r="G645" s="3"/>
      <c r="H645" s="3"/>
      <c r="I645" s="3"/>
      <c r="J645" s="4"/>
      <c r="K645" s="227"/>
      <c r="L645" s="5"/>
      <c r="M645" s="5"/>
      <c r="N645" s="5"/>
      <c r="O645" s="6"/>
      <c r="P645" s="5"/>
      <c r="Q645" s="5"/>
      <c r="R645" s="7"/>
      <c r="S645" s="3"/>
      <c r="T645" s="6"/>
      <c r="U645" s="6"/>
      <c r="V645" s="6"/>
      <c r="W645" s="6"/>
      <c r="X645" s="6"/>
      <c r="Y645" s="6"/>
      <c r="Z645" s="6"/>
      <c r="AA645" s="6"/>
      <c r="AB645" s="6"/>
      <c r="AC645" s="6"/>
      <c r="AD645" s="8"/>
      <c r="AE645" s="5"/>
      <c r="AF645" s="8"/>
      <c r="AG645" s="3"/>
      <c r="AH645" s="3"/>
      <c r="AI645" s="3"/>
      <c r="AJ645" s="3"/>
      <c r="AK645" s="3"/>
      <c r="AL645" s="9"/>
    </row>
    <row r="646" spans="1:38" ht="15.75" customHeight="1" x14ac:dyDescent="0.35">
      <c r="A646" s="3"/>
      <c r="B646" s="3"/>
      <c r="C646" s="3"/>
      <c r="D646" s="3"/>
      <c r="E646" s="3"/>
      <c r="F646" s="3"/>
      <c r="G646" s="3"/>
      <c r="H646" s="3"/>
      <c r="I646" s="3"/>
      <c r="J646" s="4"/>
      <c r="K646" s="227"/>
      <c r="L646" s="5"/>
      <c r="M646" s="5"/>
      <c r="N646" s="5"/>
      <c r="O646" s="6"/>
      <c r="P646" s="5"/>
      <c r="Q646" s="5"/>
      <c r="R646" s="7"/>
      <c r="S646" s="3"/>
      <c r="T646" s="6"/>
      <c r="U646" s="6"/>
      <c r="V646" s="6"/>
      <c r="W646" s="6"/>
      <c r="X646" s="6"/>
      <c r="Y646" s="6"/>
      <c r="Z646" s="6"/>
      <c r="AA646" s="6"/>
      <c r="AB646" s="6"/>
      <c r="AC646" s="6"/>
      <c r="AD646" s="8"/>
      <c r="AE646" s="5"/>
      <c r="AF646" s="8"/>
      <c r="AG646" s="3"/>
      <c r="AH646" s="3"/>
      <c r="AI646" s="3"/>
      <c r="AJ646" s="3"/>
      <c r="AK646" s="3"/>
      <c r="AL646" s="9"/>
    </row>
    <row r="647" spans="1:38" ht="15.75" customHeight="1" x14ac:dyDescent="0.35">
      <c r="A647" s="3"/>
      <c r="B647" s="3"/>
      <c r="C647" s="3"/>
      <c r="D647" s="3"/>
      <c r="E647" s="3"/>
      <c r="F647" s="3"/>
      <c r="G647" s="3"/>
      <c r="H647" s="3"/>
      <c r="I647" s="3"/>
      <c r="J647" s="4"/>
      <c r="K647" s="227"/>
      <c r="L647" s="5"/>
      <c r="M647" s="5"/>
      <c r="N647" s="5"/>
      <c r="O647" s="6"/>
      <c r="P647" s="5"/>
      <c r="Q647" s="5"/>
      <c r="R647" s="7"/>
      <c r="S647" s="3"/>
      <c r="T647" s="6"/>
      <c r="U647" s="6"/>
      <c r="V647" s="6"/>
      <c r="W647" s="6"/>
      <c r="X647" s="6"/>
      <c r="Y647" s="6"/>
      <c r="Z647" s="6"/>
      <c r="AA647" s="6"/>
      <c r="AB647" s="6"/>
      <c r="AC647" s="6"/>
      <c r="AD647" s="8"/>
      <c r="AE647" s="5"/>
      <c r="AF647" s="8"/>
      <c r="AG647" s="3"/>
      <c r="AH647" s="3"/>
      <c r="AI647" s="3"/>
      <c r="AJ647" s="3"/>
      <c r="AK647" s="3"/>
      <c r="AL647" s="9"/>
    </row>
    <row r="648" spans="1:38" ht="15.75" customHeight="1" x14ac:dyDescent="0.35">
      <c r="A648" s="3"/>
      <c r="B648" s="3"/>
      <c r="C648" s="3"/>
      <c r="D648" s="3"/>
      <c r="E648" s="3"/>
      <c r="F648" s="3"/>
      <c r="G648" s="3"/>
      <c r="H648" s="3"/>
      <c r="I648" s="3"/>
      <c r="J648" s="4"/>
      <c r="K648" s="227"/>
      <c r="L648" s="5"/>
      <c r="M648" s="5"/>
      <c r="N648" s="5"/>
      <c r="O648" s="6"/>
      <c r="P648" s="5"/>
      <c r="Q648" s="5"/>
      <c r="R648" s="7"/>
      <c r="S648" s="3"/>
      <c r="T648" s="6"/>
      <c r="U648" s="6"/>
      <c r="V648" s="6"/>
      <c r="W648" s="6"/>
      <c r="X648" s="6"/>
      <c r="Y648" s="6"/>
      <c r="Z648" s="6"/>
      <c r="AA648" s="6"/>
      <c r="AB648" s="6"/>
      <c r="AC648" s="6"/>
      <c r="AD648" s="8"/>
      <c r="AE648" s="5"/>
      <c r="AF648" s="8"/>
      <c r="AG648" s="3"/>
      <c r="AH648" s="3"/>
      <c r="AI648" s="3"/>
      <c r="AJ648" s="3"/>
      <c r="AK648" s="3"/>
      <c r="AL648" s="9"/>
    </row>
    <row r="649" spans="1:38" ht="15.75" customHeight="1" x14ac:dyDescent="0.35">
      <c r="A649" s="3"/>
      <c r="B649" s="3"/>
      <c r="C649" s="3"/>
      <c r="D649" s="3"/>
      <c r="E649" s="3"/>
      <c r="F649" s="3"/>
      <c r="G649" s="3"/>
      <c r="H649" s="3"/>
      <c r="I649" s="3"/>
      <c r="J649" s="4"/>
      <c r="K649" s="227"/>
      <c r="L649" s="5"/>
      <c r="M649" s="5"/>
      <c r="N649" s="5"/>
      <c r="O649" s="6"/>
      <c r="P649" s="5"/>
      <c r="Q649" s="5"/>
      <c r="R649" s="7"/>
      <c r="S649" s="3"/>
      <c r="T649" s="6"/>
      <c r="U649" s="6"/>
      <c r="V649" s="6"/>
      <c r="W649" s="6"/>
      <c r="X649" s="6"/>
      <c r="Y649" s="6"/>
      <c r="Z649" s="6"/>
      <c r="AA649" s="6"/>
      <c r="AB649" s="6"/>
      <c r="AC649" s="6"/>
      <c r="AD649" s="8"/>
      <c r="AE649" s="5"/>
      <c r="AF649" s="8"/>
      <c r="AG649" s="3"/>
      <c r="AH649" s="3"/>
      <c r="AI649" s="3"/>
      <c r="AJ649" s="3"/>
      <c r="AK649" s="3"/>
      <c r="AL649" s="9"/>
    </row>
    <row r="650" spans="1:38" ht="15.75" customHeight="1" x14ac:dyDescent="0.35">
      <c r="A650" s="3"/>
      <c r="B650" s="3"/>
      <c r="C650" s="3"/>
      <c r="D650" s="3"/>
      <c r="E650" s="3"/>
      <c r="F650" s="3"/>
      <c r="G650" s="3"/>
      <c r="H650" s="3"/>
      <c r="I650" s="3"/>
      <c r="J650" s="4"/>
      <c r="K650" s="227"/>
      <c r="L650" s="5"/>
      <c r="M650" s="5"/>
      <c r="N650" s="5"/>
      <c r="O650" s="6"/>
      <c r="P650" s="5"/>
      <c r="Q650" s="5"/>
      <c r="R650" s="7"/>
      <c r="S650" s="3"/>
      <c r="T650" s="6"/>
      <c r="U650" s="6"/>
      <c r="V650" s="6"/>
      <c r="W650" s="6"/>
      <c r="X650" s="6"/>
      <c r="Y650" s="6"/>
      <c r="Z650" s="6"/>
      <c r="AA650" s="6"/>
      <c r="AB650" s="6"/>
      <c r="AC650" s="6"/>
      <c r="AD650" s="8"/>
      <c r="AE650" s="5"/>
      <c r="AF650" s="8"/>
      <c r="AG650" s="3"/>
      <c r="AH650" s="3"/>
      <c r="AI650" s="3"/>
      <c r="AJ650" s="3"/>
      <c r="AK650" s="3"/>
      <c r="AL650" s="9"/>
    </row>
    <row r="651" spans="1:38" ht="15.75" customHeight="1" x14ac:dyDescent="0.35">
      <c r="A651" s="3"/>
      <c r="B651" s="3"/>
      <c r="C651" s="3"/>
      <c r="D651" s="3"/>
      <c r="E651" s="3"/>
      <c r="F651" s="3"/>
      <c r="G651" s="3"/>
      <c r="H651" s="3"/>
      <c r="I651" s="3"/>
      <c r="J651" s="4"/>
      <c r="K651" s="227"/>
      <c r="L651" s="5"/>
      <c r="M651" s="5"/>
      <c r="N651" s="5"/>
      <c r="O651" s="6"/>
      <c r="P651" s="5"/>
      <c r="Q651" s="5"/>
      <c r="R651" s="7"/>
      <c r="S651" s="3"/>
      <c r="T651" s="6"/>
      <c r="U651" s="6"/>
      <c r="V651" s="6"/>
      <c r="W651" s="6"/>
      <c r="X651" s="6"/>
      <c r="Y651" s="6"/>
      <c r="Z651" s="6"/>
      <c r="AA651" s="6"/>
      <c r="AB651" s="6"/>
      <c r="AC651" s="6"/>
      <c r="AD651" s="8"/>
      <c r="AE651" s="5"/>
      <c r="AF651" s="8"/>
      <c r="AG651" s="3"/>
      <c r="AH651" s="3"/>
      <c r="AI651" s="3"/>
      <c r="AJ651" s="3"/>
      <c r="AK651" s="3"/>
      <c r="AL651" s="9"/>
    </row>
    <row r="652" spans="1:38" ht="15.75" customHeight="1" x14ac:dyDescent="0.35">
      <c r="A652" s="3"/>
      <c r="B652" s="3"/>
      <c r="C652" s="3"/>
      <c r="D652" s="3"/>
      <c r="E652" s="3"/>
      <c r="F652" s="3"/>
      <c r="G652" s="3"/>
      <c r="H652" s="3"/>
      <c r="I652" s="3"/>
      <c r="J652" s="4"/>
      <c r="K652" s="227"/>
      <c r="L652" s="5"/>
      <c r="M652" s="5"/>
      <c r="N652" s="5"/>
      <c r="O652" s="6"/>
      <c r="P652" s="5"/>
      <c r="Q652" s="5"/>
      <c r="R652" s="7"/>
      <c r="S652" s="3"/>
      <c r="T652" s="6"/>
      <c r="U652" s="6"/>
      <c r="V652" s="6"/>
      <c r="W652" s="6"/>
      <c r="X652" s="6"/>
      <c r="Y652" s="6"/>
      <c r="Z652" s="6"/>
      <c r="AA652" s="6"/>
      <c r="AB652" s="6"/>
      <c r="AC652" s="6"/>
      <c r="AD652" s="8"/>
      <c r="AE652" s="5"/>
      <c r="AF652" s="8"/>
      <c r="AG652" s="3"/>
      <c r="AH652" s="3"/>
      <c r="AI652" s="3"/>
      <c r="AJ652" s="3"/>
      <c r="AK652" s="3"/>
      <c r="AL652" s="9"/>
    </row>
    <row r="653" spans="1:38" ht="15.75" customHeight="1" x14ac:dyDescent="0.35">
      <c r="A653" s="3"/>
      <c r="B653" s="3"/>
      <c r="C653" s="3"/>
      <c r="D653" s="3"/>
      <c r="E653" s="3"/>
      <c r="F653" s="3"/>
      <c r="G653" s="3"/>
      <c r="H653" s="3"/>
      <c r="I653" s="3"/>
      <c r="J653" s="4"/>
      <c r="K653" s="227"/>
      <c r="L653" s="5"/>
      <c r="M653" s="5"/>
      <c r="N653" s="5"/>
      <c r="O653" s="6"/>
      <c r="P653" s="5"/>
      <c r="Q653" s="5"/>
      <c r="R653" s="7"/>
      <c r="S653" s="3"/>
      <c r="T653" s="6"/>
      <c r="U653" s="6"/>
      <c r="V653" s="6"/>
      <c r="W653" s="6"/>
      <c r="X653" s="6"/>
      <c r="Y653" s="6"/>
      <c r="Z653" s="6"/>
      <c r="AA653" s="6"/>
      <c r="AB653" s="6"/>
      <c r="AC653" s="6"/>
      <c r="AD653" s="8"/>
      <c r="AE653" s="5"/>
      <c r="AF653" s="8"/>
      <c r="AG653" s="3"/>
      <c r="AH653" s="3"/>
      <c r="AI653" s="3"/>
      <c r="AJ653" s="3"/>
      <c r="AK653" s="3"/>
      <c r="AL653" s="9"/>
    </row>
    <row r="654" spans="1:38" ht="15.75" customHeight="1" x14ac:dyDescent="0.35">
      <c r="A654" s="3"/>
      <c r="B654" s="3"/>
      <c r="C654" s="3"/>
      <c r="D654" s="3"/>
      <c r="E654" s="3"/>
      <c r="F654" s="3"/>
      <c r="G654" s="3"/>
      <c r="H654" s="3"/>
      <c r="I654" s="3"/>
      <c r="J654" s="4"/>
      <c r="K654" s="227"/>
      <c r="L654" s="5"/>
      <c r="M654" s="5"/>
      <c r="N654" s="5"/>
      <c r="O654" s="6"/>
      <c r="P654" s="5"/>
      <c r="Q654" s="5"/>
      <c r="R654" s="7"/>
      <c r="S654" s="3"/>
      <c r="T654" s="6"/>
      <c r="U654" s="6"/>
      <c r="V654" s="6"/>
      <c r="W654" s="6"/>
      <c r="X654" s="6"/>
      <c r="Y654" s="6"/>
      <c r="Z654" s="6"/>
      <c r="AA654" s="6"/>
      <c r="AB654" s="6"/>
      <c r="AC654" s="6"/>
      <c r="AD654" s="8"/>
      <c r="AE654" s="5"/>
      <c r="AF654" s="8"/>
      <c r="AG654" s="3"/>
      <c r="AH654" s="3"/>
      <c r="AI654" s="3"/>
      <c r="AJ654" s="3"/>
      <c r="AK654" s="3"/>
      <c r="AL654" s="9"/>
    </row>
    <row r="655" spans="1:38" ht="15.75" customHeight="1" x14ac:dyDescent="0.35">
      <c r="A655" s="3"/>
      <c r="B655" s="3"/>
      <c r="C655" s="3"/>
      <c r="D655" s="3"/>
      <c r="E655" s="3"/>
      <c r="F655" s="3"/>
      <c r="G655" s="3"/>
      <c r="H655" s="3"/>
      <c r="I655" s="3"/>
      <c r="J655" s="4"/>
      <c r="K655" s="227"/>
      <c r="L655" s="5"/>
      <c r="M655" s="5"/>
      <c r="N655" s="5"/>
      <c r="O655" s="6"/>
      <c r="P655" s="5"/>
      <c r="Q655" s="5"/>
      <c r="R655" s="7"/>
      <c r="S655" s="3"/>
      <c r="T655" s="6"/>
      <c r="U655" s="6"/>
      <c r="V655" s="6"/>
      <c r="W655" s="6"/>
      <c r="X655" s="6"/>
      <c r="Y655" s="6"/>
      <c r="Z655" s="6"/>
      <c r="AA655" s="6"/>
      <c r="AB655" s="6"/>
      <c r="AC655" s="6"/>
      <c r="AD655" s="8"/>
      <c r="AE655" s="5"/>
      <c r="AF655" s="8"/>
      <c r="AG655" s="3"/>
      <c r="AH655" s="3"/>
      <c r="AI655" s="3"/>
      <c r="AJ655" s="3"/>
      <c r="AK655" s="3"/>
      <c r="AL655" s="9"/>
    </row>
    <row r="656" spans="1:38" ht="15.75" customHeight="1" x14ac:dyDescent="0.35">
      <c r="A656" s="3"/>
      <c r="B656" s="3"/>
      <c r="C656" s="3"/>
      <c r="D656" s="3"/>
      <c r="E656" s="3"/>
      <c r="F656" s="3"/>
      <c r="G656" s="3"/>
      <c r="H656" s="3"/>
      <c r="I656" s="3"/>
      <c r="J656" s="4"/>
      <c r="K656" s="227"/>
      <c r="L656" s="5"/>
      <c r="M656" s="5"/>
      <c r="N656" s="5"/>
      <c r="O656" s="6"/>
      <c r="P656" s="5"/>
      <c r="Q656" s="5"/>
      <c r="R656" s="7"/>
      <c r="S656" s="3"/>
      <c r="T656" s="6"/>
      <c r="U656" s="6"/>
      <c r="V656" s="6"/>
      <c r="W656" s="6"/>
      <c r="X656" s="6"/>
      <c r="Y656" s="6"/>
      <c r="Z656" s="6"/>
      <c r="AA656" s="6"/>
      <c r="AB656" s="6"/>
      <c r="AC656" s="6"/>
      <c r="AD656" s="8"/>
      <c r="AE656" s="5"/>
      <c r="AF656" s="8"/>
      <c r="AG656" s="3"/>
      <c r="AH656" s="3"/>
      <c r="AI656" s="3"/>
      <c r="AJ656" s="3"/>
      <c r="AK656" s="3"/>
      <c r="AL656" s="9"/>
    </row>
    <row r="657" spans="1:38" ht="15.75" customHeight="1" x14ac:dyDescent="0.35">
      <c r="A657" s="3"/>
      <c r="B657" s="3"/>
      <c r="C657" s="3"/>
      <c r="D657" s="3"/>
      <c r="E657" s="3"/>
      <c r="F657" s="3"/>
      <c r="G657" s="3"/>
      <c r="H657" s="3"/>
      <c r="I657" s="3"/>
      <c r="J657" s="4"/>
      <c r="K657" s="227"/>
      <c r="L657" s="5"/>
      <c r="M657" s="5"/>
      <c r="N657" s="5"/>
      <c r="O657" s="6"/>
      <c r="P657" s="5"/>
      <c r="Q657" s="5"/>
      <c r="R657" s="7"/>
      <c r="S657" s="3"/>
      <c r="T657" s="6"/>
      <c r="U657" s="6"/>
      <c r="V657" s="6"/>
      <c r="W657" s="6"/>
      <c r="X657" s="6"/>
      <c r="Y657" s="6"/>
      <c r="Z657" s="6"/>
      <c r="AA657" s="6"/>
      <c r="AB657" s="6"/>
      <c r="AC657" s="6"/>
      <c r="AD657" s="8"/>
      <c r="AE657" s="5"/>
      <c r="AF657" s="8"/>
      <c r="AG657" s="3"/>
      <c r="AH657" s="3"/>
      <c r="AI657" s="3"/>
      <c r="AJ657" s="3"/>
      <c r="AK657" s="3"/>
      <c r="AL657" s="9"/>
    </row>
    <row r="658" spans="1:38" ht="15.75" customHeight="1" x14ac:dyDescent="0.35">
      <c r="A658" s="3"/>
      <c r="B658" s="3"/>
      <c r="C658" s="3"/>
      <c r="D658" s="3"/>
      <c r="E658" s="3"/>
      <c r="F658" s="3"/>
      <c r="G658" s="3"/>
      <c r="H658" s="3"/>
      <c r="I658" s="3"/>
      <c r="J658" s="4"/>
      <c r="K658" s="227"/>
      <c r="L658" s="5"/>
      <c r="M658" s="5"/>
      <c r="N658" s="5"/>
      <c r="O658" s="6"/>
      <c r="P658" s="5"/>
      <c r="Q658" s="5"/>
      <c r="R658" s="7"/>
      <c r="S658" s="3"/>
      <c r="T658" s="6"/>
      <c r="U658" s="6"/>
      <c r="V658" s="6"/>
      <c r="W658" s="6"/>
      <c r="X658" s="6"/>
      <c r="Y658" s="6"/>
      <c r="Z658" s="6"/>
      <c r="AA658" s="6"/>
      <c r="AB658" s="6"/>
      <c r="AC658" s="6"/>
      <c r="AD658" s="8"/>
      <c r="AE658" s="5"/>
      <c r="AF658" s="8"/>
      <c r="AG658" s="3"/>
      <c r="AH658" s="3"/>
      <c r="AI658" s="3"/>
      <c r="AJ658" s="3"/>
      <c r="AK658" s="3"/>
      <c r="AL658" s="9"/>
    </row>
    <row r="659" spans="1:38" ht="15.75" customHeight="1" x14ac:dyDescent="0.35">
      <c r="A659" s="3"/>
      <c r="B659" s="3"/>
      <c r="C659" s="3"/>
      <c r="D659" s="3"/>
      <c r="E659" s="3"/>
      <c r="F659" s="3"/>
      <c r="G659" s="3"/>
      <c r="H659" s="3"/>
      <c r="I659" s="3"/>
      <c r="J659" s="4"/>
      <c r="K659" s="227"/>
      <c r="L659" s="5"/>
      <c r="M659" s="5"/>
      <c r="N659" s="5"/>
      <c r="O659" s="6"/>
      <c r="P659" s="5"/>
      <c r="Q659" s="5"/>
      <c r="R659" s="7"/>
      <c r="S659" s="3"/>
      <c r="T659" s="6"/>
      <c r="U659" s="6"/>
      <c r="V659" s="6"/>
      <c r="W659" s="6"/>
      <c r="X659" s="6"/>
      <c r="Y659" s="6"/>
      <c r="Z659" s="6"/>
      <c r="AA659" s="6"/>
      <c r="AB659" s="6"/>
      <c r="AC659" s="6"/>
      <c r="AD659" s="8"/>
      <c r="AE659" s="5"/>
      <c r="AF659" s="8"/>
      <c r="AG659" s="3"/>
      <c r="AH659" s="3"/>
      <c r="AI659" s="3"/>
      <c r="AJ659" s="3"/>
      <c r="AK659" s="3"/>
      <c r="AL659" s="9"/>
    </row>
    <row r="660" spans="1:38" ht="15.75" customHeight="1" x14ac:dyDescent="0.35">
      <c r="A660" s="3"/>
      <c r="B660" s="3"/>
      <c r="C660" s="3"/>
      <c r="D660" s="3"/>
      <c r="E660" s="3"/>
      <c r="F660" s="3"/>
      <c r="G660" s="3"/>
      <c r="H660" s="3"/>
      <c r="I660" s="3"/>
      <c r="J660" s="4"/>
      <c r="K660" s="227"/>
      <c r="L660" s="5"/>
      <c r="M660" s="5"/>
      <c r="N660" s="5"/>
      <c r="O660" s="6"/>
      <c r="P660" s="5"/>
      <c r="Q660" s="5"/>
      <c r="R660" s="7"/>
      <c r="S660" s="3"/>
      <c r="T660" s="6"/>
      <c r="U660" s="6"/>
      <c r="V660" s="6"/>
      <c r="W660" s="6"/>
      <c r="X660" s="6"/>
      <c r="Y660" s="6"/>
      <c r="Z660" s="6"/>
      <c r="AA660" s="6"/>
      <c r="AB660" s="6"/>
      <c r="AC660" s="6"/>
      <c r="AD660" s="8"/>
      <c r="AE660" s="5"/>
      <c r="AF660" s="8"/>
      <c r="AG660" s="3"/>
      <c r="AH660" s="3"/>
      <c r="AI660" s="3"/>
      <c r="AJ660" s="3"/>
      <c r="AK660" s="3"/>
      <c r="AL660" s="9"/>
    </row>
    <row r="661" spans="1:38" ht="15.75" customHeight="1" x14ac:dyDescent="0.35">
      <c r="A661" s="3"/>
      <c r="B661" s="3"/>
      <c r="C661" s="3"/>
      <c r="D661" s="3"/>
      <c r="E661" s="3"/>
      <c r="F661" s="3"/>
      <c r="G661" s="3"/>
      <c r="H661" s="3"/>
      <c r="I661" s="3"/>
      <c r="J661" s="4"/>
      <c r="K661" s="227"/>
      <c r="L661" s="5"/>
      <c r="M661" s="5"/>
      <c r="N661" s="5"/>
      <c r="O661" s="6"/>
      <c r="P661" s="5"/>
      <c r="Q661" s="5"/>
      <c r="R661" s="7"/>
      <c r="S661" s="3"/>
      <c r="T661" s="6"/>
      <c r="U661" s="6"/>
      <c r="V661" s="6"/>
      <c r="W661" s="6"/>
      <c r="X661" s="6"/>
      <c r="Y661" s="6"/>
      <c r="Z661" s="6"/>
      <c r="AA661" s="6"/>
      <c r="AB661" s="6"/>
      <c r="AC661" s="6"/>
      <c r="AD661" s="8"/>
      <c r="AE661" s="5"/>
      <c r="AF661" s="8"/>
      <c r="AG661" s="3"/>
      <c r="AH661" s="3"/>
      <c r="AI661" s="3"/>
      <c r="AJ661" s="3"/>
      <c r="AK661" s="3"/>
      <c r="AL661" s="9"/>
    </row>
    <row r="662" spans="1:38" ht="15.75" customHeight="1" x14ac:dyDescent="0.35">
      <c r="A662" s="3"/>
      <c r="B662" s="3"/>
      <c r="C662" s="3"/>
      <c r="D662" s="3"/>
      <c r="E662" s="3"/>
      <c r="F662" s="3"/>
      <c r="G662" s="3"/>
      <c r="H662" s="3"/>
      <c r="I662" s="3"/>
      <c r="J662" s="4"/>
      <c r="K662" s="227"/>
      <c r="L662" s="5"/>
      <c r="M662" s="5"/>
      <c r="N662" s="5"/>
      <c r="O662" s="6"/>
      <c r="P662" s="5"/>
      <c r="Q662" s="5"/>
      <c r="R662" s="7"/>
      <c r="S662" s="3"/>
      <c r="T662" s="6"/>
      <c r="U662" s="6"/>
      <c r="V662" s="6"/>
      <c r="W662" s="6"/>
      <c r="X662" s="6"/>
      <c r="Y662" s="6"/>
      <c r="Z662" s="6"/>
      <c r="AA662" s="6"/>
      <c r="AB662" s="6"/>
      <c r="AC662" s="6"/>
      <c r="AD662" s="8"/>
      <c r="AE662" s="5"/>
      <c r="AF662" s="8"/>
      <c r="AG662" s="3"/>
      <c r="AH662" s="3"/>
      <c r="AI662" s="3"/>
      <c r="AJ662" s="3"/>
      <c r="AK662" s="3"/>
      <c r="AL662" s="9"/>
    </row>
    <row r="663" spans="1:38" ht="15.75" customHeight="1" x14ac:dyDescent="0.35">
      <c r="A663" s="3"/>
      <c r="B663" s="3"/>
      <c r="C663" s="3"/>
      <c r="D663" s="3"/>
      <c r="E663" s="3"/>
      <c r="F663" s="3"/>
      <c r="G663" s="3"/>
      <c r="H663" s="3"/>
      <c r="I663" s="3"/>
      <c r="J663" s="4"/>
      <c r="K663" s="227"/>
      <c r="L663" s="5"/>
      <c r="M663" s="5"/>
      <c r="N663" s="5"/>
      <c r="O663" s="6"/>
      <c r="P663" s="5"/>
      <c r="Q663" s="5"/>
      <c r="R663" s="7"/>
      <c r="S663" s="3"/>
      <c r="T663" s="6"/>
      <c r="U663" s="6"/>
      <c r="V663" s="6"/>
      <c r="W663" s="6"/>
      <c r="X663" s="6"/>
      <c r="Y663" s="6"/>
      <c r="Z663" s="6"/>
      <c r="AA663" s="6"/>
      <c r="AB663" s="6"/>
      <c r="AC663" s="6"/>
      <c r="AD663" s="8"/>
      <c r="AE663" s="5"/>
      <c r="AF663" s="8"/>
      <c r="AG663" s="3"/>
      <c r="AH663" s="3"/>
      <c r="AI663" s="3"/>
      <c r="AJ663" s="3"/>
      <c r="AK663" s="3"/>
      <c r="AL663" s="9"/>
    </row>
    <row r="664" spans="1:38" ht="15.75" customHeight="1" x14ac:dyDescent="0.35">
      <c r="A664" s="3"/>
      <c r="B664" s="3"/>
      <c r="C664" s="3"/>
      <c r="D664" s="3"/>
      <c r="E664" s="3"/>
      <c r="F664" s="3"/>
      <c r="G664" s="3"/>
      <c r="H664" s="3"/>
      <c r="I664" s="3"/>
      <c r="J664" s="4"/>
      <c r="K664" s="227"/>
      <c r="L664" s="5"/>
      <c r="M664" s="5"/>
      <c r="N664" s="5"/>
      <c r="O664" s="6"/>
      <c r="P664" s="5"/>
      <c r="Q664" s="5"/>
      <c r="R664" s="7"/>
      <c r="S664" s="3"/>
      <c r="T664" s="6"/>
      <c r="U664" s="6"/>
      <c r="V664" s="6"/>
      <c r="W664" s="6"/>
      <c r="X664" s="6"/>
      <c r="Y664" s="6"/>
      <c r="Z664" s="6"/>
      <c r="AA664" s="6"/>
      <c r="AB664" s="6"/>
      <c r="AC664" s="6"/>
      <c r="AD664" s="8"/>
      <c r="AE664" s="5"/>
      <c r="AF664" s="8"/>
      <c r="AG664" s="3"/>
      <c r="AH664" s="3"/>
      <c r="AI664" s="3"/>
      <c r="AJ664" s="3"/>
      <c r="AK664" s="3"/>
      <c r="AL664" s="9"/>
    </row>
    <row r="665" spans="1:38" ht="15.75" customHeight="1" x14ac:dyDescent="0.35">
      <c r="A665" s="3"/>
      <c r="B665" s="3"/>
      <c r="C665" s="3"/>
      <c r="D665" s="3"/>
      <c r="E665" s="3"/>
      <c r="F665" s="3"/>
      <c r="G665" s="3"/>
      <c r="H665" s="3"/>
      <c r="I665" s="3"/>
      <c r="J665" s="4"/>
      <c r="K665" s="227"/>
      <c r="L665" s="5"/>
      <c r="M665" s="5"/>
      <c r="N665" s="5"/>
      <c r="O665" s="6"/>
      <c r="P665" s="5"/>
      <c r="Q665" s="5"/>
      <c r="R665" s="7"/>
      <c r="S665" s="3"/>
      <c r="T665" s="6"/>
      <c r="U665" s="6"/>
      <c r="V665" s="6"/>
      <c r="W665" s="6"/>
      <c r="X665" s="6"/>
      <c r="Y665" s="6"/>
      <c r="Z665" s="6"/>
      <c r="AA665" s="6"/>
      <c r="AB665" s="6"/>
      <c r="AC665" s="6"/>
      <c r="AD665" s="8"/>
      <c r="AE665" s="5"/>
      <c r="AF665" s="8"/>
      <c r="AG665" s="3"/>
      <c r="AH665" s="3"/>
      <c r="AI665" s="3"/>
      <c r="AJ665" s="3"/>
      <c r="AK665" s="3"/>
      <c r="AL665" s="9"/>
    </row>
    <row r="666" spans="1:38" ht="15.75" customHeight="1" x14ac:dyDescent="0.35">
      <c r="A666" s="3"/>
      <c r="B666" s="3"/>
      <c r="C666" s="3"/>
      <c r="D666" s="3"/>
      <c r="E666" s="3"/>
      <c r="F666" s="3"/>
      <c r="G666" s="3"/>
      <c r="H666" s="3"/>
      <c r="I666" s="3"/>
      <c r="J666" s="4"/>
      <c r="K666" s="227"/>
      <c r="L666" s="5"/>
      <c r="M666" s="5"/>
      <c r="N666" s="5"/>
      <c r="O666" s="6"/>
      <c r="P666" s="5"/>
      <c r="Q666" s="5"/>
      <c r="R666" s="7"/>
      <c r="S666" s="3"/>
      <c r="T666" s="6"/>
      <c r="U666" s="6"/>
      <c r="V666" s="6"/>
      <c r="W666" s="6"/>
      <c r="X666" s="6"/>
      <c r="Y666" s="6"/>
      <c r="Z666" s="6"/>
      <c r="AA666" s="6"/>
      <c r="AB666" s="6"/>
      <c r="AC666" s="6"/>
      <c r="AD666" s="8"/>
      <c r="AE666" s="5"/>
      <c r="AF666" s="8"/>
      <c r="AG666" s="3"/>
      <c r="AH666" s="3"/>
      <c r="AI666" s="3"/>
      <c r="AJ666" s="3"/>
      <c r="AK666" s="3"/>
      <c r="AL666" s="9"/>
    </row>
    <row r="667" spans="1:38" ht="15.75" customHeight="1" x14ac:dyDescent="0.35">
      <c r="A667" s="3"/>
      <c r="B667" s="3"/>
      <c r="C667" s="3"/>
      <c r="D667" s="3"/>
      <c r="E667" s="3"/>
      <c r="F667" s="3"/>
      <c r="G667" s="3"/>
      <c r="H667" s="3"/>
      <c r="I667" s="3"/>
      <c r="J667" s="4"/>
      <c r="K667" s="227"/>
      <c r="L667" s="5"/>
      <c r="M667" s="5"/>
      <c r="N667" s="5"/>
      <c r="O667" s="6"/>
      <c r="P667" s="5"/>
      <c r="Q667" s="5"/>
      <c r="R667" s="7"/>
      <c r="S667" s="3"/>
      <c r="T667" s="6"/>
      <c r="U667" s="6"/>
      <c r="V667" s="6"/>
      <c r="W667" s="6"/>
      <c r="X667" s="6"/>
      <c r="Y667" s="6"/>
      <c r="Z667" s="6"/>
      <c r="AA667" s="6"/>
      <c r="AB667" s="6"/>
      <c r="AC667" s="6"/>
      <c r="AD667" s="8"/>
      <c r="AE667" s="5"/>
      <c r="AF667" s="8"/>
      <c r="AG667" s="3"/>
      <c r="AH667" s="3"/>
      <c r="AI667" s="3"/>
      <c r="AJ667" s="3"/>
      <c r="AK667" s="3"/>
      <c r="AL667" s="9"/>
    </row>
    <row r="668" spans="1:38" ht="15.75" customHeight="1" x14ac:dyDescent="0.35">
      <c r="A668" s="3"/>
      <c r="B668" s="3"/>
      <c r="C668" s="3"/>
      <c r="D668" s="3"/>
      <c r="E668" s="3"/>
      <c r="F668" s="3"/>
      <c r="G668" s="3"/>
      <c r="H668" s="3"/>
      <c r="I668" s="3"/>
      <c r="J668" s="4"/>
      <c r="K668" s="227"/>
      <c r="L668" s="5"/>
      <c r="M668" s="5"/>
      <c r="N668" s="5"/>
      <c r="O668" s="6"/>
      <c r="P668" s="5"/>
      <c r="Q668" s="5"/>
      <c r="R668" s="7"/>
      <c r="S668" s="3"/>
      <c r="T668" s="6"/>
      <c r="U668" s="6"/>
      <c r="V668" s="6"/>
      <c r="W668" s="6"/>
      <c r="X668" s="6"/>
      <c r="Y668" s="6"/>
      <c r="Z668" s="6"/>
      <c r="AA668" s="6"/>
      <c r="AB668" s="6"/>
      <c r="AC668" s="6"/>
      <c r="AD668" s="8"/>
      <c r="AE668" s="5"/>
      <c r="AF668" s="8"/>
      <c r="AG668" s="3"/>
      <c r="AH668" s="3"/>
      <c r="AI668" s="3"/>
      <c r="AJ668" s="3"/>
      <c r="AK668" s="3"/>
      <c r="AL668" s="9"/>
    </row>
    <row r="669" spans="1:38" ht="15.75" customHeight="1" x14ac:dyDescent="0.35">
      <c r="A669" s="3"/>
      <c r="B669" s="3"/>
      <c r="C669" s="3"/>
      <c r="D669" s="3"/>
      <c r="E669" s="3"/>
      <c r="F669" s="3"/>
      <c r="G669" s="3"/>
      <c r="H669" s="3"/>
      <c r="I669" s="3"/>
      <c r="J669" s="4"/>
      <c r="K669" s="227"/>
      <c r="L669" s="5"/>
      <c r="M669" s="5"/>
      <c r="N669" s="5"/>
      <c r="O669" s="6"/>
      <c r="P669" s="5"/>
      <c r="Q669" s="5"/>
      <c r="R669" s="7"/>
      <c r="S669" s="3"/>
      <c r="T669" s="6"/>
      <c r="U669" s="6"/>
      <c r="V669" s="6"/>
      <c r="W669" s="6"/>
      <c r="X669" s="6"/>
      <c r="Y669" s="6"/>
      <c r="Z669" s="6"/>
      <c r="AA669" s="6"/>
      <c r="AB669" s="6"/>
      <c r="AC669" s="6"/>
      <c r="AD669" s="8"/>
      <c r="AE669" s="5"/>
      <c r="AF669" s="8"/>
      <c r="AG669" s="3"/>
      <c r="AH669" s="3"/>
      <c r="AI669" s="3"/>
      <c r="AJ669" s="3"/>
      <c r="AK669" s="3"/>
      <c r="AL669" s="9"/>
    </row>
    <row r="670" spans="1:38" ht="15.75" customHeight="1" x14ac:dyDescent="0.35">
      <c r="A670" s="3"/>
      <c r="B670" s="3"/>
      <c r="C670" s="3"/>
      <c r="D670" s="3"/>
      <c r="E670" s="3"/>
      <c r="F670" s="3"/>
      <c r="G670" s="3"/>
      <c r="H670" s="3"/>
      <c r="I670" s="3"/>
      <c r="J670" s="4"/>
      <c r="K670" s="227"/>
      <c r="L670" s="5"/>
      <c r="M670" s="5"/>
      <c r="N670" s="5"/>
      <c r="O670" s="6"/>
      <c r="P670" s="5"/>
      <c r="Q670" s="5"/>
      <c r="R670" s="7"/>
      <c r="S670" s="3"/>
      <c r="T670" s="6"/>
      <c r="U670" s="6"/>
      <c r="V670" s="6"/>
      <c r="W670" s="6"/>
      <c r="X670" s="6"/>
      <c r="Y670" s="6"/>
      <c r="Z670" s="6"/>
      <c r="AA670" s="6"/>
      <c r="AB670" s="6"/>
      <c r="AC670" s="6"/>
      <c r="AD670" s="8"/>
      <c r="AE670" s="5"/>
      <c r="AF670" s="8"/>
      <c r="AG670" s="3"/>
      <c r="AH670" s="3"/>
      <c r="AI670" s="3"/>
      <c r="AJ670" s="3"/>
      <c r="AK670" s="3"/>
      <c r="AL670" s="9"/>
    </row>
    <row r="671" spans="1:38" ht="15.75" customHeight="1" x14ac:dyDescent="0.35">
      <c r="A671" s="3"/>
      <c r="B671" s="3"/>
      <c r="C671" s="3"/>
      <c r="D671" s="3"/>
      <c r="E671" s="3"/>
      <c r="F671" s="3"/>
      <c r="G671" s="3"/>
      <c r="H671" s="3"/>
      <c r="I671" s="3"/>
      <c r="J671" s="4"/>
      <c r="K671" s="227"/>
      <c r="L671" s="5"/>
      <c r="M671" s="5"/>
      <c r="N671" s="5"/>
      <c r="O671" s="6"/>
      <c r="P671" s="5"/>
      <c r="Q671" s="5"/>
      <c r="R671" s="7"/>
      <c r="S671" s="3"/>
      <c r="T671" s="6"/>
      <c r="U671" s="6"/>
      <c r="V671" s="6"/>
      <c r="W671" s="6"/>
      <c r="X671" s="6"/>
      <c r="Y671" s="6"/>
      <c r="Z671" s="6"/>
      <c r="AA671" s="6"/>
      <c r="AB671" s="6"/>
      <c r="AC671" s="6"/>
      <c r="AD671" s="8"/>
      <c r="AE671" s="5"/>
      <c r="AF671" s="8"/>
      <c r="AG671" s="3"/>
      <c r="AH671" s="3"/>
      <c r="AI671" s="3"/>
      <c r="AJ671" s="3"/>
      <c r="AK671" s="3"/>
      <c r="AL671" s="9"/>
    </row>
    <row r="672" spans="1:38" ht="15.75" customHeight="1" x14ac:dyDescent="0.35">
      <c r="A672" s="3"/>
      <c r="B672" s="3"/>
      <c r="C672" s="3"/>
      <c r="D672" s="3"/>
      <c r="E672" s="3"/>
      <c r="F672" s="3"/>
      <c r="G672" s="3"/>
      <c r="H672" s="3"/>
      <c r="I672" s="3"/>
      <c r="J672" s="4"/>
      <c r="K672" s="227"/>
      <c r="L672" s="5"/>
      <c r="M672" s="5"/>
      <c r="N672" s="5"/>
      <c r="O672" s="6"/>
      <c r="P672" s="5"/>
      <c r="Q672" s="5"/>
      <c r="R672" s="7"/>
      <c r="S672" s="3"/>
      <c r="T672" s="6"/>
      <c r="U672" s="6"/>
      <c r="V672" s="6"/>
      <c r="W672" s="6"/>
      <c r="X672" s="6"/>
      <c r="Y672" s="6"/>
      <c r="Z672" s="6"/>
      <c r="AA672" s="6"/>
      <c r="AB672" s="6"/>
      <c r="AC672" s="6"/>
      <c r="AD672" s="8"/>
      <c r="AE672" s="5"/>
      <c r="AF672" s="8"/>
      <c r="AG672" s="3"/>
      <c r="AH672" s="3"/>
      <c r="AI672" s="3"/>
      <c r="AJ672" s="3"/>
      <c r="AK672" s="3"/>
      <c r="AL672" s="9"/>
    </row>
    <row r="673" spans="1:38" ht="15.75" customHeight="1" x14ac:dyDescent="0.35">
      <c r="A673" s="3"/>
      <c r="B673" s="3"/>
      <c r="C673" s="3"/>
      <c r="D673" s="3"/>
      <c r="E673" s="3"/>
      <c r="F673" s="3"/>
      <c r="G673" s="3"/>
      <c r="H673" s="3"/>
      <c r="I673" s="3"/>
      <c r="J673" s="4"/>
      <c r="K673" s="227"/>
      <c r="L673" s="5"/>
      <c r="M673" s="5"/>
      <c r="N673" s="5"/>
      <c r="O673" s="6"/>
      <c r="P673" s="5"/>
      <c r="Q673" s="5"/>
      <c r="R673" s="7"/>
      <c r="S673" s="3"/>
      <c r="T673" s="6"/>
      <c r="U673" s="6"/>
      <c r="V673" s="6"/>
      <c r="W673" s="6"/>
      <c r="X673" s="6"/>
      <c r="Y673" s="6"/>
      <c r="Z673" s="6"/>
      <c r="AA673" s="6"/>
      <c r="AB673" s="6"/>
      <c r="AC673" s="6"/>
      <c r="AD673" s="8"/>
      <c r="AE673" s="5"/>
      <c r="AF673" s="8"/>
      <c r="AG673" s="3"/>
      <c r="AH673" s="3"/>
      <c r="AI673" s="3"/>
      <c r="AJ673" s="3"/>
      <c r="AK673" s="3"/>
      <c r="AL673" s="9"/>
    </row>
    <row r="674" spans="1:38" ht="15.75" customHeight="1" x14ac:dyDescent="0.35">
      <c r="A674" s="3"/>
      <c r="B674" s="3"/>
      <c r="C674" s="3"/>
      <c r="D674" s="3"/>
      <c r="E674" s="3"/>
      <c r="F674" s="3"/>
      <c r="G674" s="3"/>
      <c r="H674" s="3"/>
      <c r="I674" s="3"/>
      <c r="J674" s="4"/>
      <c r="K674" s="227"/>
      <c r="L674" s="5"/>
      <c r="M674" s="5"/>
      <c r="N674" s="5"/>
      <c r="O674" s="6"/>
      <c r="P674" s="5"/>
      <c r="Q674" s="5"/>
      <c r="R674" s="7"/>
      <c r="S674" s="3"/>
      <c r="T674" s="6"/>
      <c r="U674" s="6"/>
      <c r="V674" s="6"/>
      <c r="W674" s="6"/>
      <c r="X674" s="6"/>
      <c r="Y674" s="6"/>
      <c r="Z674" s="6"/>
      <c r="AA674" s="6"/>
      <c r="AB674" s="6"/>
      <c r="AC674" s="6"/>
      <c r="AD674" s="8"/>
      <c r="AE674" s="5"/>
      <c r="AF674" s="8"/>
      <c r="AG674" s="3"/>
      <c r="AH674" s="3"/>
      <c r="AI674" s="3"/>
      <c r="AJ674" s="3"/>
      <c r="AK674" s="3"/>
      <c r="AL674" s="9"/>
    </row>
    <row r="675" spans="1:38" ht="15.75" customHeight="1" x14ac:dyDescent="0.35">
      <c r="A675" s="3"/>
      <c r="B675" s="3"/>
      <c r="C675" s="3"/>
      <c r="D675" s="3"/>
      <c r="E675" s="3"/>
      <c r="F675" s="3"/>
      <c r="G675" s="3"/>
      <c r="H675" s="3"/>
      <c r="I675" s="3"/>
      <c r="J675" s="4"/>
      <c r="K675" s="227"/>
      <c r="L675" s="5"/>
      <c r="M675" s="5"/>
      <c r="N675" s="5"/>
      <c r="O675" s="6"/>
      <c r="P675" s="5"/>
      <c r="Q675" s="5"/>
      <c r="R675" s="7"/>
      <c r="S675" s="3"/>
      <c r="T675" s="6"/>
      <c r="U675" s="6"/>
      <c r="V675" s="6"/>
      <c r="W675" s="6"/>
      <c r="X675" s="6"/>
      <c r="Y675" s="6"/>
      <c r="Z675" s="6"/>
      <c r="AA675" s="6"/>
      <c r="AB675" s="6"/>
      <c r="AC675" s="6"/>
      <c r="AD675" s="8"/>
      <c r="AE675" s="5"/>
      <c r="AF675" s="8"/>
      <c r="AG675" s="3"/>
      <c r="AH675" s="3"/>
      <c r="AI675" s="3"/>
      <c r="AJ675" s="3"/>
      <c r="AK675" s="3"/>
      <c r="AL675" s="9"/>
    </row>
    <row r="676" spans="1:38" ht="15.75" customHeight="1" x14ac:dyDescent="0.35">
      <c r="A676" s="3"/>
      <c r="B676" s="3"/>
      <c r="C676" s="3"/>
      <c r="D676" s="3"/>
      <c r="E676" s="3"/>
      <c r="F676" s="3"/>
      <c r="G676" s="3"/>
      <c r="H676" s="3"/>
      <c r="I676" s="3"/>
      <c r="J676" s="4"/>
      <c r="K676" s="227"/>
      <c r="L676" s="5"/>
      <c r="M676" s="5"/>
      <c r="N676" s="5"/>
      <c r="O676" s="6"/>
      <c r="P676" s="5"/>
      <c r="Q676" s="5"/>
      <c r="R676" s="7"/>
      <c r="S676" s="3"/>
      <c r="T676" s="6"/>
      <c r="U676" s="6"/>
      <c r="V676" s="6"/>
      <c r="W676" s="6"/>
      <c r="X676" s="6"/>
      <c r="Y676" s="6"/>
      <c r="Z676" s="6"/>
      <c r="AA676" s="6"/>
      <c r="AB676" s="6"/>
      <c r="AC676" s="6"/>
      <c r="AD676" s="8"/>
      <c r="AE676" s="5"/>
      <c r="AF676" s="8"/>
      <c r="AG676" s="3"/>
      <c r="AH676" s="3"/>
      <c r="AI676" s="3"/>
      <c r="AJ676" s="3"/>
      <c r="AK676" s="3"/>
      <c r="AL676" s="9"/>
    </row>
    <row r="677" spans="1:38" ht="15.75" customHeight="1" x14ac:dyDescent="0.35">
      <c r="A677" s="3"/>
      <c r="B677" s="3"/>
      <c r="C677" s="3"/>
      <c r="D677" s="3"/>
      <c r="E677" s="3"/>
      <c r="F677" s="3"/>
      <c r="G677" s="3"/>
      <c r="H677" s="3"/>
      <c r="I677" s="3"/>
      <c r="J677" s="4"/>
      <c r="K677" s="227"/>
      <c r="L677" s="5"/>
      <c r="M677" s="5"/>
      <c r="N677" s="5"/>
      <c r="O677" s="6"/>
      <c r="P677" s="5"/>
      <c r="Q677" s="5"/>
      <c r="R677" s="7"/>
      <c r="S677" s="3"/>
      <c r="T677" s="6"/>
      <c r="U677" s="6"/>
      <c r="V677" s="6"/>
      <c r="W677" s="6"/>
      <c r="X677" s="6"/>
      <c r="Y677" s="6"/>
      <c r="Z677" s="6"/>
      <c r="AA677" s="6"/>
      <c r="AB677" s="6"/>
      <c r="AC677" s="6"/>
      <c r="AD677" s="8"/>
      <c r="AE677" s="5"/>
      <c r="AF677" s="8"/>
      <c r="AG677" s="3"/>
      <c r="AH677" s="3"/>
      <c r="AI677" s="3"/>
      <c r="AJ677" s="3"/>
      <c r="AK677" s="3"/>
      <c r="AL677" s="9"/>
    </row>
    <row r="678" spans="1:38" ht="15.75" customHeight="1" x14ac:dyDescent="0.35">
      <c r="A678" s="3"/>
      <c r="B678" s="3"/>
      <c r="C678" s="3"/>
      <c r="D678" s="3"/>
      <c r="E678" s="3"/>
      <c r="F678" s="3"/>
      <c r="G678" s="3"/>
      <c r="H678" s="3"/>
      <c r="I678" s="3"/>
      <c r="J678" s="4"/>
      <c r="K678" s="227"/>
      <c r="L678" s="5"/>
      <c r="M678" s="5"/>
      <c r="N678" s="5"/>
      <c r="O678" s="6"/>
      <c r="P678" s="5"/>
      <c r="Q678" s="5"/>
      <c r="R678" s="7"/>
      <c r="S678" s="3"/>
      <c r="T678" s="6"/>
      <c r="U678" s="6"/>
      <c r="V678" s="6"/>
      <c r="W678" s="6"/>
      <c r="X678" s="6"/>
      <c r="Y678" s="6"/>
      <c r="Z678" s="6"/>
      <c r="AA678" s="6"/>
      <c r="AB678" s="6"/>
      <c r="AC678" s="6"/>
      <c r="AD678" s="8"/>
      <c r="AE678" s="5"/>
      <c r="AF678" s="8"/>
      <c r="AG678" s="3"/>
      <c r="AH678" s="3"/>
      <c r="AI678" s="3"/>
      <c r="AJ678" s="3"/>
      <c r="AK678" s="3"/>
      <c r="AL678" s="9"/>
    </row>
    <row r="679" spans="1:38" ht="15.75" customHeight="1" x14ac:dyDescent="0.35">
      <c r="A679" s="3"/>
      <c r="B679" s="3"/>
      <c r="C679" s="3"/>
      <c r="D679" s="3"/>
      <c r="E679" s="3"/>
      <c r="F679" s="3"/>
      <c r="G679" s="3"/>
      <c r="H679" s="3"/>
      <c r="I679" s="3"/>
      <c r="J679" s="4"/>
      <c r="K679" s="227"/>
      <c r="L679" s="5"/>
      <c r="M679" s="5"/>
      <c r="N679" s="5"/>
      <c r="O679" s="6"/>
      <c r="P679" s="5"/>
      <c r="Q679" s="5"/>
      <c r="R679" s="7"/>
      <c r="S679" s="3"/>
      <c r="T679" s="6"/>
      <c r="U679" s="6"/>
      <c r="V679" s="6"/>
      <c r="W679" s="6"/>
      <c r="X679" s="6"/>
      <c r="Y679" s="6"/>
      <c r="Z679" s="6"/>
      <c r="AA679" s="6"/>
      <c r="AB679" s="6"/>
      <c r="AC679" s="6"/>
      <c r="AD679" s="8"/>
      <c r="AE679" s="5"/>
      <c r="AF679" s="8"/>
      <c r="AG679" s="3"/>
      <c r="AH679" s="3"/>
      <c r="AI679" s="3"/>
      <c r="AJ679" s="3"/>
      <c r="AK679" s="3"/>
      <c r="AL679" s="9"/>
    </row>
    <row r="680" spans="1:38" ht="15.75" customHeight="1" x14ac:dyDescent="0.35">
      <c r="A680" s="3"/>
      <c r="B680" s="3"/>
      <c r="C680" s="3"/>
      <c r="D680" s="3"/>
      <c r="E680" s="3"/>
      <c r="F680" s="3"/>
      <c r="G680" s="3"/>
      <c r="H680" s="3"/>
      <c r="I680" s="3"/>
      <c r="J680" s="4"/>
      <c r="K680" s="227"/>
      <c r="L680" s="5"/>
      <c r="M680" s="5"/>
      <c r="N680" s="5"/>
      <c r="O680" s="6"/>
      <c r="P680" s="5"/>
      <c r="Q680" s="5"/>
      <c r="R680" s="7"/>
      <c r="S680" s="3"/>
      <c r="T680" s="6"/>
      <c r="U680" s="6"/>
      <c r="V680" s="6"/>
      <c r="W680" s="6"/>
      <c r="X680" s="6"/>
      <c r="Y680" s="6"/>
      <c r="Z680" s="6"/>
      <c r="AA680" s="6"/>
      <c r="AB680" s="6"/>
      <c r="AC680" s="6"/>
      <c r="AD680" s="8"/>
      <c r="AE680" s="5"/>
      <c r="AF680" s="8"/>
      <c r="AG680" s="3"/>
      <c r="AH680" s="3"/>
      <c r="AI680" s="3"/>
      <c r="AJ680" s="3"/>
      <c r="AK680" s="3"/>
      <c r="AL680" s="9"/>
    </row>
    <row r="681" spans="1:38" ht="15.75" customHeight="1" x14ac:dyDescent="0.35">
      <c r="A681" s="3"/>
      <c r="B681" s="3"/>
      <c r="C681" s="3"/>
      <c r="D681" s="3"/>
      <c r="E681" s="3"/>
      <c r="F681" s="3"/>
      <c r="G681" s="3"/>
      <c r="H681" s="3"/>
      <c r="I681" s="3"/>
      <c r="J681" s="4"/>
      <c r="K681" s="227"/>
      <c r="L681" s="5"/>
      <c r="M681" s="5"/>
      <c r="N681" s="5"/>
      <c r="O681" s="6"/>
      <c r="P681" s="5"/>
      <c r="Q681" s="5"/>
      <c r="R681" s="7"/>
      <c r="S681" s="3"/>
      <c r="T681" s="6"/>
      <c r="U681" s="6"/>
      <c r="V681" s="6"/>
      <c r="W681" s="6"/>
      <c r="X681" s="6"/>
      <c r="Y681" s="6"/>
      <c r="Z681" s="6"/>
      <c r="AA681" s="6"/>
      <c r="AB681" s="6"/>
      <c r="AC681" s="6"/>
      <c r="AD681" s="8"/>
      <c r="AE681" s="5"/>
      <c r="AF681" s="8"/>
      <c r="AG681" s="3"/>
      <c r="AH681" s="3"/>
      <c r="AI681" s="3"/>
      <c r="AJ681" s="3"/>
      <c r="AK681" s="3"/>
      <c r="AL681" s="9"/>
    </row>
    <row r="682" spans="1:38" ht="15.75" customHeight="1" x14ac:dyDescent="0.35">
      <c r="A682" s="3"/>
      <c r="B682" s="3"/>
      <c r="C682" s="3"/>
      <c r="D682" s="3"/>
      <c r="E682" s="3"/>
      <c r="F682" s="3"/>
      <c r="G682" s="3"/>
      <c r="H682" s="3"/>
      <c r="I682" s="3"/>
      <c r="J682" s="4"/>
      <c r="K682" s="227"/>
      <c r="L682" s="5"/>
      <c r="M682" s="5"/>
      <c r="N682" s="5"/>
      <c r="O682" s="6"/>
      <c r="P682" s="5"/>
      <c r="Q682" s="5"/>
      <c r="R682" s="7"/>
      <c r="S682" s="3"/>
      <c r="T682" s="6"/>
      <c r="U682" s="6"/>
      <c r="V682" s="6"/>
      <c r="W682" s="6"/>
      <c r="X682" s="6"/>
      <c r="Y682" s="6"/>
      <c r="Z682" s="6"/>
      <c r="AA682" s="6"/>
      <c r="AB682" s="6"/>
      <c r="AC682" s="6"/>
      <c r="AD682" s="8"/>
      <c r="AE682" s="5"/>
      <c r="AF682" s="8"/>
      <c r="AG682" s="3"/>
      <c r="AH682" s="3"/>
      <c r="AI682" s="3"/>
      <c r="AJ682" s="3"/>
      <c r="AK682" s="3"/>
      <c r="AL682" s="9"/>
    </row>
    <row r="683" spans="1:38" ht="15.75" customHeight="1" x14ac:dyDescent="0.35">
      <c r="A683" s="3"/>
      <c r="B683" s="3"/>
      <c r="C683" s="3"/>
      <c r="D683" s="3"/>
      <c r="E683" s="3"/>
      <c r="F683" s="3"/>
      <c r="G683" s="3"/>
      <c r="H683" s="3"/>
      <c r="I683" s="3"/>
      <c r="J683" s="4"/>
      <c r="K683" s="227"/>
      <c r="L683" s="5"/>
      <c r="M683" s="5"/>
      <c r="N683" s="5"/>
      <c r="O683" s="6"/>
      <c r="P683" s="5"/>
      <c r="Q683" s="5"/>
      <c r="R683" s="7"/>
      <c r="S683" s="3"/>
      <c r="T683" s="6"/>
      <c r="U683" s="6"/>
      <c r="V683" s="6"/>
      <c r="W683" s="6"/>
      <c r="X683" s="6"/>
      <c r="Y683" s="6"/>
      <c r="Z683" s="6"/>
      <c r="AA683" s="6"/>
      <c r="AB683" s="6"/>
      <c r="AC683" s="6"/>
      <c r="AD683" s="8"/>
      <c r="AE683" s="5"/>
      <c r="AF683" s="8"/>
      <c r="AG683" s="3"/>
      <c r="AH683" s="3"/>
      <c r="AI683" s="3"/>
      <c r="AJ683" s="3"/>
      <c r="AK683" s="3"/>
      <c r="AL683" s="9"/>
    </row>
    <row r="684" spans="1:38" ht="15.75" customHeight="1" x14ac:dyDescent="0.35">
      <c r="A684" s="3"/>
      <c r="B684" s="3"/>
      <c r="C684" s="3"/>
      <c r="D684" s="3"/>
      <c r="E684" s="3"/>
      <c r="F684" s="3"/>
      <c r="G684" s="3"/>
      <c r="H684" s="3"/>
      <c r="I684" s="3"/>
      <c r="J684" s="4"/>
      <c r="K684" s="227"/>
      <c r="L684" s="5"/>
      <c r="M684" s="5"/>
      <c r="N684" s="5"/>
      <c r="O684" s="6"/>
      <c r="P684" s="5"/>
      <c r="Q684" s="5"/>
      <c r="R684" s="7"/>
      <c r="S684" s="3"/>
      <c r="T684" s="6"/>
      <c r="U684" s="6"/>
      <c r="V684" s="6"/>
      <c r="W684" s="6"/>
      <c r="X684" s="6"/>
      <c r="Y684" s="6"/>
      <c r="Z684" s="6"/>
      <c r="AA684" s="6"/>
      <c r="AB684" s="6"/>
      <c r="AC684" s="6"/>
      <c r="AD684" s="8"/>
      <c r="AE684" s="5"/>
      <c r="AF684" s="8"/>
      <c r="AG684" s="3"/>
      <c r="AH684" s="3"/>
      <c r="AI684" s="3"/>
      <c r="AJ684" s="3"/>
      <c r="AK684" s="3"/>
      <c r="AL684" s="9"/>
    </row>
    <row r="685" spans="1:38" ht="15.75" customHeight="1" x14ac:dyDescent="0.35">
      <c r="A685" s="3"/>
      <c r="B685" s="3"/>
      <c r="C685" s="3"/>
      <c r="D685" s="3"/>
      <c r="E685" s="3"/>
      <c r="F685" s="3"/>
      <c r="G685" s="3"/>
      <c r="H685" s="3"/>
      <c r="I685" s="3"/>
      <c r="J685" s="4"/>
      <c r="K685" s="227"/>
      <c r="L685" s="5"/>
      <c r="M685" s="5"/>
      <c r="N685" s="5"/>
      <c r="O685" s="6"/>
      <c r="P685" s="5"/>
      <c r="Q685" s="5"/>
      <c r="R685" s="7"/>
      <c r="S685" s="3"/>
      <c r="T685" s="6"/>
      <c r="U685" s="6"/>
      <c r="V685" s="6"/>
      <c r="W685" s="6"/>
      <c r="X685" s="6"/>
      <c r="Y685" s="6"/>
      <c r="Z685" s="6"/>
      <c r="AA685" s="6"/>
      <c r="AB685" s="6"/>
      <c r="AC685" s="6"/>
      <c r="AD685" s="8"/>
      <c r="AE685" s="5"/>
      <c r="AF685" s="8"/>
      <c r="AG685" s="3"/>
      <c r="AH685" s="3"/>
      <c r="AI685" s="3"/>
      <c r="AJ685" s="3"/>
      <c r="AK685" s="3"/>
      <c r="AL685" s="9"/>
    </row>
    <row r="686" spans="1:38" ht="15.75" customHeight="1" x14ac:dyDescent="0.35">
      <c r="A686" s="3"/>
      <c r="B686" s="3"/>
      <c r="C686" s="3"/>
      <c r="D686" s="3"/>
      <c r="E686" s="3"/>
      <c r="F686" s="3"/>
      <c r="G686" s="3"/>
      <c r="H686" s="3"/>
      <c r="I686" s="3"/>
      <c r="J686" s="4"/>
      <c r="K686" s="227"/>
      <c r="L686" s="5"/>
      <c r="M686" s="5"/>
      <c r="N686" s="5"/>
      <c r="O686" s="6"/>
      <c r="P686" s="5"/>
      <c r="Q686" s="5"/>
      <c r="R686" s="7"/>
      <c r="S686" s="3"/>
      <c r="T686" s="6"/>
      <c r="U686" s="6"/>
      <c r="V686" s="6"/>
      <c r="W686" s="6"/>
      <c r="X686" s="6"/>
      <c r="Y686" s="6"/>
      <c r="Z686" s="6"/>
      <c r="AA686" s="6"/>
      <c r="AB686" s="6"/>
      <c r="AC686" s="6"/>
      <c r="AD686" s="8"/>
      <c r="AE686" s="5"/>
      <c r="AF686" s="8"/>
      <c r="AG686" s="3"/>
      <c r="AH686" s="3"/>
      <c r="AI686" s="3"/>
      <c r="AJ686" s="3"/>
      <c r="AK686" s="3"/>
      <c r="AL686" s="9"/>
    </row>
    <row r="687" spans="1:38" ht="15.75" customHeight="1" x14ac:dyDescent="0.35">
      <c r="A687" s="3"/>
      <c r="B687" s="3"/>
      <c r="C687" s="3"/>
      <c r="D687" s="3"/>
      <c r="E687" s="3"/>
      <c r="F687" s="3"/>
      <c r="G687" s="3"/>
      <c r="H687" s="3"/>
      <c r="I687" s="3"/>
      <c r="J687" s="4"/>
      <c r="K687" s="227"/>
      <c r="L687" s="5"/>
      <c r="M687" s="5"/>
      <c r="N687" s="5"/>
      <c r="O687" s="6"/>
      <c r="P687" s="5"/>
      <c r="Q687" s="5"/>
      <c r="R687" s="7"/>
      <c r="S687" s="3"/>
      <c r="T687" s="6"/>
      <c r="U687" s="6"/>
      <c r="V687" s="6"/>
      <c r="W687" s="6"/>
      <c r="X687" s="6"/>
      <c r="Y687" s="6"/>
      <c r="Z687" s="6"/>
      <c r="AA687" s="6"/>
      <c r="AB687" s="6"/>
      <c r="AC687" s="6"/>
      <c r="AD687" s="8"/>
      <c r="AE687" s="5"/>
      <c r="AF687" s="8"/>
      <c r="AG687" s="3"/>
      <c r="AH687" s="3"/>
      <c r="AI687" s="3"/>
      <c r="AJ687" s="3"/>
      <c r="AK687" s="3"/>
      <c r="AL687" s="9"/>
    </row>
    <row r="688" spans="1:38" ht="15.75" customHeight="1" x14ac:dyDescent="0.35">
      <c r="A688" s="3"/>
      <c r="B688" s="3"/>
      <c r="C688" s="3"/>
      <c r="D688" s="3"/>
      <c r="E688" s="3"/>
      <c r="F688" s="3"/>
      <c r="G688" s="3"/>
      <c r="H688" s="3"/>
      <c r="I688" s="3"/>
      <c r="J688" s="4"/>
      <c r="K688" s="227"/>
      <c r="L688" s="5"/>
      <c r="M688" s="5"/>
      <c r="N688" s="5"/>
      <c r="O688" s="6"/>
      <c r="P688" s="5"/>
      <c r="Q688" s="5"/>
      <c r="R688" s="7"/>
      <c r="S688" s="3"/>
      <c r="T688" s="6"/>
      <c r="U688" s="6"/>
      <c r="V688" s="6"/>
      <c r="W688" s="6"/>
      <c r="X688" s="6"/>
      <c r="Y688" s="6"/>
      <c r="Z688" s="6"/>
      <c r="AA688" s="6"/>
      <c r="AB688" s="6"/>
      <c r="AC688" s="6"/>
      <c r="AD688" s="8"/>
      <c r="AE688" s="5"/>
      <c r="AF688" s="8"/>
      <c r="AG688" s="3"/>
      <c r="AH688" s="3"/>
      <c r="AI688" s="3"/>
      <c r="AJ688" s="3"/>
      <c r="AK688" s="3"/>
      <c r="AL688" s="9"/>
    </row>
    <row r="689" spans="1:38" ht="15.75" customHeight="1" x14ac:dyDescent="0.35">
      <c r="A689" s="3"/>
      <c r="B689" s="3"/>
      <c r="C689" s="3"/>
      <c r="D689" s="3"/>
      <c r="E689" s="3"/>
      <c r="F689" s="3"/>
      <c r="G689" s="3"/>
      <c r="H689" s="3"/>
      <c r="I689" s="3"/>
      <c r="J689" s="4"/>
      <c r="K689" s="227"/>
      <c r="L689" s="5"/>
      <c r="M689" s="5"/>
      <c r="N689" s="5"/>
      <c r="O689" s="6"/>
      <c r="P689" s="5"/>
      <c r="Q689" s="5"/>
      <c r="R689" s="7"/>
      <c r="S689" s="3"/>
      <c r="T689" s="6"/>
      <c r="U689" s="6"/>
      <c r="V689" s="6"/>
      <c r="W689" s="6"/>
      <c r="X689" s="6"/>
      <c r="Y689" s="6"/>
      <c r="Z689" s="6"/>
      <c r="AA689" s="6"/>
      <c r="AB689" s="6"/>
      <c r="AC689" s="6"/>
      <c r="AD689" s="8"/>
      <c r="AE689" s="5"/>
      <c r="AF689" s="8"/>
      <c r="AG689" s="3"/>
      <c r="AH689" s="3"/>
      <c r="AI689" s="3"/>
      <c r="AJ689" s="3"/>
      <c r="AK689" s="3"/>
      <c r="AL689" s="9"/>
    </row>
    <row r="690" spans="1:38" ht="15.75" customHeight="1" x14ac:dyDescent="0.35">
      <c r="A690" s="3"/>
      <c r="B690" s="3"/>
      <c r="C690" s="3"/>
      <c r="D690" s="3"/>
      <c r="E690" s="3"/>
      <c r="F690" s="3"/>
      <c r="G690" s="3"/>
      <c r="H690" s="3"/>
      <c r="I690" s="3"/>
      <c r="J690" s="4"/>
      <c r="K690" s="227"/>
      <c r="L690" s="5"/>
      <c r="M690" s="5"/>
      <c r="N690" s="5"/>
      <c r="O690" s="6"/>
      <c r="P690" s="5"/>
      <c r="Q690" s="5"/>
      <c r="R690" s="7"/>
      <c r="S690" s="3"/>
      <c r="T690" s="6"/>
      <c r="U690" s="6"/>
      <c r="V690" s="6"/>
      <c r="W690" s="6"/>
      <c r="X690" s="6"/>
      <c r="Y690" s="6"/>
      <c r="Z690" s="6"/>
      <c r="AA690" s="6"/>
      <c r="AB690" s="6"/>
      <c r="AC690" s="6"/>
      <c r="AD690" s="8"/>
      <c r="AE690" s="5"/>
      <c r="AF690" s="8"/>
      <c r="AG690" s="3"/>
      <c r="AH690" s="3"/>
      <c r="AI690" s="3"/>
      <c r="AJ690" s="3"/>
      <c r="AK690" s="3"/>
      <c r="AL690" s="9"/>
    </row>
    <row r="691" spans="1:38" ht="15.75" customHeight="1" x14ac:dyDescent="0.35">
      <c r="A691" s="3"/>
      <c r="B691" s="3"/>
      <c r="C691" s="3"/>
      <c r="D691" s="3"/>
      <c r="E691" s="3"/>
      <c r="F691" s="3"/>
      <c r="G691" s="3"/>
      <c r="H691" s="3"/>
      <c r="I691" s="3"/>
      <c r="J691" s="4"/>
      <c r="K691" s="227"/>
      <c r="L691" s="5"/>
      <c r="M691" s="5"/>
      <c r="N691" s="5"/>
      <c r="O691" s="6"/>
      <c r="P691" s="5"/>
      <c r="Q691" s="5"/>
      <c r="R691" s="7"/>
      <c r="S691" s="3"/>
      <c r="T691" s="6"/>
      <c r="U691" s="6"/>
      <c r="V691" s="6"/>
      <c r="W691" s="6"/>
      <c r="X691" s="6"/>
      <c r="Y691" s="6"/>
      <c r="Z691" s="6"/>
      <c r="AA691" s="6"/>
      <c r="AB691" s="6"/>
      <c r="AC691" s="6"/>
      <c r="AD691" s="8"/>
      <c r="AE691" s="5"/>
      <c r="AF691" s="8"/>
      <c r="AG691" s="3"/>
      <c r="AH691" s="3"/>
      <c r="AI691" s="3"/>
      <c r="AJ691" s="3"/>
      <c r="AK691" s="3"/>
      <c r="AL691" s="9"/>
    </row>
    <row r="692" spans="1:38" ht="15.75" customHeight="1" x14ac:dyDescent="0.35">
      <c r="A692" s="3"/>
      <c r="B692" s="3"/>
      <c r="C692" s="3"/>
      <c r="D692" s="3"/>
      <c r="E692" s="3"/>
      <c r="F692" s="3"/>
      <c r="G692" s="3"/>
      <c r="H692" s="3"/>
      <c r="I692" s="3"/>
      <c r="J692" s="4"/>
      <c r="K692" s="227"/>
      <c r="L692" s="5"/>
      <c r="M692" s="5"/>
      <c r="N692" s="5"/>
      <c r="O692" s="6"/>
      <c r="P692" s="5"/>
      <c r="Q692" s="5"/>
      <c r="R692" s="7"/>
      <c r="S692" s="3"/>
      <c r="T692" s="6"/>
      <c r="U692" s="6"/>
      <c r="V692" s="6"/>
      <c r="W692" s="6"/>
      <c r="X692" s="6"/>
      <c r="Y692" s="6"/>
      <c r="Z692" s="6"/>
      <c r="AA692" s="6"/>
      <c r="AB692" s="6"/>
      <c r="AC692" s="6"/>
      <c r="AD692" s="8"/>
      <c r="AE692" s="5"/>
      <c r="AF692" s="8"/>
      <c r="AG692" s="3"/>
      <c r="AH692" s="3"/>
      <c r="AI692" s="3"/>
      <c r="AJ692" s="3"/>
      <c r="AK692" s="3"/>
      <c r="AL692" s="9"/>
    </row>
    <row r="693" spans="1:38" ht="15.75" customHeight="1" x14ac:dyDescent="0.35">
      <c r="A693" s="3"/>
      <c r="B693" s="3"/>
      <c r="C693" s="3"/>
      <c r="D693" s="3"/>
      <c r="E693" s="3"/>
      <c r="F693" s="3"/>
      <c r="G693" s="3"/>
      <c r="H693" s="3"/>
      <c r="I693" s="3"/>
      <c r="J693" s="4"/>
      <c r="K693" s="227"/>
      <c r="L693" s="5"/>
      <c r="M693" s="5"/>
      <c r="N693" s="5"/>
      <c r="O693" s="6"/>
      <c r="P693" s="5"/>
      <c r="Q693" s="5"/>
      <c r="R693" s="7"/>
      <c r="S693" s="3"/>
      <c r="T693" s="6"/>
      <c r="U693" s="6"/>
      <c r="V693" s="6"/>
      <c r="W693" s="6"/>
      <c r="X693" s="6"/>
      <c r="Y693" s="6"/>
      <c r="Z693" s="6"/>
      <c r="AA693" s="6"/>
      <c r="AB693" s="6"/>
      <c r="AC693" s="6"/>
      <c r="AD693" s="8"/>
      <c r="AE693" s="5"/>
      <c r="AF693" s="8"/>
      <c r="AG693" s="3"/>
      <c r="AH693" s="3"/>
      <c r="AI693" s="3"/>
      <c r="AJ693" s="3"/>
      <c r="AK693" s="3"/>
      <c r="AL693" s="9"/>
    </row>
    <row r="694" spans="1:38" ht="15.75" customHeight="1" x14ac:dyDescent="0.35">
      <c r="A694" s="3"/>
      <c r="B694" s="3"/>
      <c r="C694" s="3"/>
      <c r="D694" s="3"/>
      <c r="E694" s="3"/>
      <c r="F694" s="3"/>
      <c r="G694" s="3"/>
      <c r="H694" s="3"/>
      <c r="I694" s="3"/>
      <c r="J694" s="4"/>
      <c r="K694" s="227"/>
      <c r="L694" s="5"/>
      <c r="M694" s="5"/>
      <c r="N694" s="5"/>
      <c r="O694" s="6"/>
      <c r="P694" s="5"/>
      <c r="Q694" s="5"/>
      <c r="R694" s="7"/>
      <c r="S694" s="3"/>
      <c r="T694" s="6"/>
      <c r="U694" s="6"/>
      <c r="V694" s="6"/>
      <c r="W694" s="6"/>
      <c r="X694" s="6"/>
      <c r="Y694" s="6"/>
      <c r="Z694" s="6"/>
      <c r="AA694" s="6"/>
      <c r="AB694" s="6"/>
      <c r="AC694" s="6"/>
      <c r="AD694" s="8"/>
      <c r="AE694" s="5"/>
      <c r="AF694" s="8"/>
      <c r="AG694" s="3"/>
      <c r="AH694" s="3"/>
      <c r="AI694" s="3"/>
      <c r="AJ694" s="3"/>
      <c r="AK694" s="3"/>
      <c r="AL694" s="9"/>
    </row>
    <row r="695" spans="1:38" ht="15.75" customHeight="1" x14ac:dyDescent="0.35">
      <c r="A695" s="3"/>
      <c r="B695" s="3"/>
      <c r="C695" s="3"/>
      <c r="D695" s="3"/>
      <c r="E695" s="3"/>
      <c r="F695" s="3"/>
      <c r="G695" s="3"/>
      <c r="H695" s="3"/>
      <c r="I695" s="3"/>
      <c r="J695" s="4"/>
      <c r="K695" s="227"/>
      <c r="L695" s="5"/>
      <c r="M695" s="5"/>
      <c r="N695" s="5"/>
      <c r="O695" s="6"/>
      <c r="P695" s="5"/>
      <c r="Q695" s="5"/>
      <c r="R695" s="7"/>
      <c r="S695" s="3"/>
      <c r="T695" s="6"/>
      <c r="U695" s="6"/>
      <c r="V695" s="6"/>
      <c r="W695" s="6"/>
      <c r="X695" s="6"/>
      <c r="Y695" s="6"/>
      <c r="Z695" s="6"/>
      <c r="AA695" s="6"/>
      <c r="AB695" s="6"/>
      <c r="AC695" s="6"/>
      <c r="AD695" s="8"/>
      <c r="AE695" s="5"/>
      <c r="AF695" s="8"/>
      <c r="AG695" s="3"/>
      <c r="AH695" s="3"/>
      <c r="AI695" s="3"/>
      <c r="AJ695" s="3"/>
      <c r="AK695" s="3"/>
      <c r="AL695" s="9"/>
    </row>
    <row r="696" spans="1:38" ht="15.75" customHeight="1" x14ac:dyDescent="0.35">
      <c r="A696" s="3"/>
      <c r="B696" s="3"/>
      <c r="C696" s="3"/>
      <c r="D696" s="3"/>
      <c r="E696" s="3"/>
      <c r="F696" s="3"/>
      <c r="G696" s="3"/>
      <c r="H696" s="3"/>
      <c r="I696" s="3"/>
      <c r="J696" s="4"/>
      <c r="K696" s="227"/>
      <c r="L696" s="5"/>
      <c r="M696" s="5"/>
      <c r="N696" s="5"/>
      <c r="O696" s="6"/>
      <c r="P696" s="5"/>
      <c r="Q696" s="5"/>
      <c r="R696" s="7"/>
      <c r="S696" s="3"/>
      <c r="T696" s="6"/>
      <c r="U696" s="6"/>
      <c r="V696" s="6"/>
      <c r="W696" s="6"/>
      <c r="X696" s="6"/>
      <c r="Y696" s="6"/>
      <c r="Z696" s="6"/>
      <c r="AA696" s="6"/>
      <c r="AB696" s="6"/>
      <c r="AC696" s="6"/>
      <c r="AD696" s="8"/>
      <c r="AE696" s="5"/>
      <c r="AF696" s="8"/>
      <c r="AG696" s="3"/>
      <c r="AH696" s="3"/>
      <c r="AI696" s="3"/>
      <c r="AJ696" s="3"/>
      <c r="AK696" s="3"/>
      <c r="AL696" s="9"/>
    </row>
    <row r="697" spans="1:38" ht="15.75" customHeight="1" x14ac:dyDescent="0.35">
      <c r="A697" s="3"/>
      <c r="B697" s="3"/>
      <c r="C697" s="3"/>
      <c r="D697" s="3"/>
      <c r="E697" s="3"/>
      <c r="F697" s="3"/>
      <c r="G697" s="3"/>
      <c r="H697" s="3"/>
      <c r="I697" s="3"/>
      <c r="J697" s="4"/>
      <c r="K697" s="227"/>
      <c r="L697" s="5"/>
      <c r="M697" s="5"/>
      <c r="N697" s="5"/>
      <c r="O697" s="6"/>
      <c r="P697" s="5"/>
      <c r="Q697" s="5"/>
      <c r="R697" s="7"/>
      <c r="S697" s="3"/>
      <c r="T697" s="6"/>
      <c r="U697" s="6"/>
      <c r="V697" s="6"/>
      <c r="W697" s="6"/>
      <c r="X697" s="6"/>
      <c r="Y697" s="6"/>
      <c r="Z697" s="6"/>
      <c r="AA697" s="6"/>
      <c r="AB697" s="6"/>
      <c r="AC697" s="6"/>
      <c r="AD697" s="8"/>
      <c r="AE697" s="5"/>
      <c r="AF697" s="8"/>
      <c r="AG697" s="3"/>
      <c r="AH697" s="3"/>
      <c r="AI697" s="3"/>
      <c r="AJ697" s="3"/>
      <c r="AK697" s="3"/>
      <c r="AL697" s="9"/>
    </row>
    <row r="698" spans="1:38" ht="15.75" customHeight="1" x14ac:dyDescent="0.35">
      <c r="A698" s="3"/>
      <c r="B698" s="3"/>
      <c r="C698" s="3"/>
      <c r="D698" s="3"/>
      <c r="E698" s="3"/>
      <c r="F698" s="3"/>
      <c r="G698" s="3"/>
      <c r="H698" s="3"/>
      <c r="I698" s="3"/>
      <c r="J698" s="4"/>
      <c r="K698" s="227"/>
      <c r="L698" s="5"/>
      <c r="M698" s="5"/>
      <c r="N698" s="5"/>
      <c r="O698" s="6"/>
      <c r="P698" s="5"/>
      <c r="Q698" s="5"/>
      <c r="R698" s="7"/>
      <c r="S698" s="3"/>
      <c r="T698" s="6"/>
      <c r="U698" s="6"/>
      <c r="V698" s="6"/>
      <c r="W698" s="6"/>
      <c r="X698" s="6"/>
      <c r="Y698" s="6"/>
      <c r="Z698" s="6"/>
      <c r="AA698" s="6"/>
      <c r="AB698" s="6"/>
      <c r="AC698" s="6"/>
      <c r="AD698" s="8"/>
      <c r="AE698" s="5"/>
      <c r="AF698" s="8"/>
      <c r="AG698" s="3"/>
      <c r="AH698" s="3"/>
      <c r="AI698" s="3"/>
      <c r="AJ698" s="3"/>
      <c r="AK698" s="3"/>
      <c r="AL698" s="9"/>
    </row>
    <row r="699" spans="1:38" ht="15.75" customHeight="1" x14ac:dyDescent="0.35">
      <c r="A699" s="3"/>
      <c r="B699" s="3"/>
      <c r="C699" s="3"/>
      <c r="D699" s="3"/>
      <c r="E699" s="3"/>
      <c r="F699" s="3"/>
      <c r="G699" s="3"/>
      <c r="H699" s="3"/>
      <c r="I699" s="3"/>
      <c r="J699" s="4"/>
      <c r="K699" s="227"/>
      <c r="L699" s="5"/>
      <c r="M699" s="5"/>
      <c r="N699" s="5"/>
      <c r="O699" s="6"/>
      <c r="P699" s="5"/>
      <c r="Q699" s="5"/>
      <c r="R699" s="7"/>
      <c r="S699" s="3"/>
      <c r="T699" s="6"/>
      <c r="U699" s="6"/>
      <c r="V699" s="6"/>
      <c r="W699" s="6"/>
      <c r="X699" s="6"/>
      <c r="Y699" s="6"/>
      <c r="Z699" s="6"/>
      <c r="AA699" s="6"/>
      <c r="AB699" s="6"/>
      <c r="AC699" s="6"/>
      <c r="AD699" s="8"/>
      <c r="AE699" s="5"/>
      <c r="AF699" s="8"/>
      <c r="AG699" s="3"/>
      <c r="AH699" s="3"/>
      <c r="AI699" s="3"/>
      <c r="AJ699" s="3"/>
      <c r="AK699" s="3"/>
      <c r="AL699" s="9"/>
    </row>
    <row r="700" spans="1:38" ht="15.75" customHeight="1" x14ac:dyDescent="0.35">
      <c r="A700" s="3"/>
      <c r="B700" s="3"/>
      <c r="C700" s="3"/>
      <c r="D700" s="3"/>
      <c r="E700" s="3"/>
      <c r="F700" s="3"/>
      <c r="G700" s="3"/>
      <c r="H700" s="3"/>
      <c r="I700" s="3"/>
      <c r="J700" s="4"/>
      <c r="K700" s="227"/>
      <c r="L700" s="5"/>
      <c r="M700" s="5"/>
      <c r="N700" s="5"/>
      <c r="O700" s="6"/>
      <c r="P700" s="5"/>
      <c r="Q700" s="5"/>
      <c r="R700" s="7"/>
      <c r="S700" s="3"/>
      <c r="T700" s="6"/>
      <c r="U700" s="6"/>
      <c r="V700" s="6"/>
      <c r="W700" s="6"/>
      <c r="X700" s="6"/>
      <c r="Y700" s="6"/>
      <c r="Z700" s="6"/>
      <c r="AA700" s="6"/>
      <c r="AB700" s="6"/>
      <c r="AC700" s="6"/>
      <c r="AD700" s="8"/>
      <c r="AE700" s="5"/>
      <c r="AF700" s="8"/>
      <c r="AG700" s="3"/>
      <c r="AH700" s="3"/>
      <c r="AI700" s="3"/>
      <c r="AJ700" s="3"/>
      <c r="AK700" s="3"/>
      <c r="AL700" s="9"/>
    </row>
    <row r="701" spans="1:38" ht="15.75" customHeight="1" x14ac:dyDescent="0.35">
      <c r="A701" s="3"/>
      <c r="B701" s="3"/>
      <c r="C701" s="3"/>
      <c r="D701" s="3"/>
      <c r="E701" s="3"/>
      <c r="F701" s="3"/>
      <c r="G701" s="3"/>
      <c r="H701" s="3"/>
      <c r="I701" s="3"/>
      <c r="J701" s="4"/>
      <c r="K701" s="227"/>
      <c r="L701" s="5"/>
      <c r="M701" s="5"/>
      <c r="N701" s="5"/>
      <c r="O701" s="6"/>
      <c r="P701" s="5"/>
      <c r="Q701" s="5"/>
      <c r="R701" s="7"/>
      <c r="S701" s="3"/>
      <c r="T701" s="6"/>
      <c r="U701" s="6"/>
      <c r="V701" s="6"/>
      <c r="W701" s="6"/>
      <c r="X701" s="6"/>
      <c r="Y701" s="6"/>
      <c r="Z701" s="6"/>
      <c r="AA701" s="6"/>
      <c r="AB701" s="6"/>
      <c r="AC701" s="6"/>
      <c r="AD701" s="8"/>
      <c r="AE701" s="5"/>
      <c r="AF701" s="8"/>
      <c r="AG701" s="3"/>
      <c r="AH701" s="3"/>
      <c r="AI701" s="3"/>
      <c r="AJ701" s="3"/>
      <c r="AK701" s="3"/>
      <c r="AL701" s="9"/>
    </row>
    <row r="702" spans="1:38" ht="15.75" customHeight="1" x14ac:dyDescent="0.35">
      <c r="A702" s="3"/>
      <c r="B702" s="3"/>
      <c r="C702" s="3"/>
      <c r="D702" s="3"/>
      <c r="E702" s="3"/>
      <c r="F702" s="3"/>
      <c r="G702" s="3"/>
      <c r="H702" s="3"/>
      <c r="I702" s="3"/>
      <c r="J702" s="4"/>
      <c r="K702" s="227"/>
      <c r="L702" s="5"/>
      <c r="M702" s="5"/>
      <c r="N702" s="5"/>
      <c r="O702" s="6"/>
      <c r="P702" s="5"/>
      <c r="Q702" s="5"/>
      <c r="R702" s="7"/>
      <c r="S702" s="3"/>
      <c r="T702" s="6"/>
      <c r="U702" s="6"/>
      <c r="V702" s="6"/>
      <c r="W702" s="6"/>
      <c r="X702" s="6"/>
      <c r="Y702" s="6"/>
      <c r="Z702" s="6"/>
      <c r="AA702" s="6"/>
      <c r="AB702" s="6"/>
      <c r="AC702" s="6"/>
      <c r="AD702" s="8"/>
      <c r="AE702" s="5"/>
      <c r="AF702" s="8"/>
      <c r="AG702" s="3"/>
      <c r="AH702" s="3"/>
      <c r="AI702" s="3"/>
      <c r="AJ702" s="3"/>
      <c r="AK702" s="3"/>
      <c r="AL702" s="9"/>
    </row>
    <row r="703" spans="1:38" ht="15.75" customHeight="1" x14ac:dyDescent="0.35">
      <c r="A703" s="3"/>
      <c r="B703" s="3"/>
      <c r="C703" s="3"/>
      <c r="D703" s="3"/>
      <c r="E703" s="3"/>
      <c r="F703" s="3"/>
      <c r="G703" s="3"/>
      <c r="H703" s="3"/>
      <c r="I703" s="3"/>
      <c r="J703" s="4"/>
      <c r="K703" s="227"/>
      <c r="L703" s="5"/>
      <c r="M703" s="5"/>
      <c r="N703" s="5"/>
      <c r="O703" s="6"/>
      <c r="P703" s="5"/>
      <c r="Q703" s="5"/>
      <c r="R703" s="7"/>
      <c r="S703" s="3"/>
      <c r="T703" s="6"/>
      <c r="U703" s="6"/>
      <c r="V703" s="6"/>
      <c r="W703" s="6"/>
      <c r="X703" s="6"/>
      <c r="Y703" s="6"/>
      <c r="Z703" s="6"/>
      <c r="AA703" s="6"/>
      <c r="AB703" s="6"/>
      <c r="AC703" s="6"/>
      <c r="AD703" s="8"/>
      <c r="AE703" s="5"/>
      <c r="AF703" s="8"/>
      <c r="AG703" s="3"/>
      <c r="AH703" s="3"/>
      <c r="AI703" s="3"/>
      <c r="AJ703" s="3"/>
      <c r="AK703" s="3"/>
      <c r="AL703" s="9"/>
    </row>
    <row r="704" spans="1:38" ht="15.75" customHeight="1" x14ac:dyDescent="0.35">
      <c r="A704" s="3"/>
      <c r="B704" s="3"/>
      <c r="C704" s="3"/>
      <c r="D704" s="3"/>
      <c r="E704" s="3"/>
      <c r="F704" s="3"/>
      <c r="G704" s="3"/>
      <c r="H704" s="3"/>
      <c r="I704" s="3"/>
      <c r="J704" s="4"/>
      <c r="K704" s="227"/>
      <c r="L704" s="5"/>
      <c r="M704" s="5"/>
      <c r="N704" s="5"/>
      <c r="O704" s="6"/>
      <c r="P704" s="5"/>
      <c r="Q704" s="5"/>
      <c r="R704" s="7"/>
      <c r="S704" s="3"/>
      <c r="T704" s="6"/>
      <c r="U704" s="6"/>
      <c r="V704" s="6"/>
      <c r="W704" s="6"/>
      <c r="X704" s="6"/>
      <c r="Y704" s="6"/>
      <c r="Z704" s="6"/>
      <c r="AA704" s="6"/>
      <c r="AB704" s="6"/>
      <c r="AC704" s="6"/>
      <c r="AD704" s="8"/>
      <c r="AE704" s="5"/>
      <c r="AF704" s="8"/>
      <c r="AG704" s="3"/>
      <c r="AH704" s="3"/>
      <c r="AI704" s="3"/>
      <c r="AJ704" s="3"/>
      <c r="AK704" s="3"/>
      <c r="AL704" s="9"/>
    </row>
    <row r="705" spans="1:38" ht="15.75" customHeight="1" x14ac:dyDescent="0.35">
      <c r="A705" s="3"/>
      <c r="B705" s="3"/>
      <c r="C705" s="3"/>
      <c r="D705" s="3"/>
      <c r="E705" s="3"/>
      <c r="F705" s="3"/>
      <c r="G705" s="3"/>
      <c r="H705" s="3"/>
      <c r="I705" s="3"/>
      <c r="J705" s="4"/>
      <c r="K705" s="227"/>
      <c r="L705" s="5"/>
      <c r="M705" s="5"/>
      <c r="N705" s="5"/>
      <c r="O705" s="6"/>
      <c r="P705" s="5"/>
      <c r="Q705" s="5"/>
      <c r="R705" s="7"/>
      <c r="S705" s="3"/>
      <c r="T705" s="6"/>
      <c r="U705" s="6"/>
      <c r="V705" s="6"/>
      <c r="W705" s="6"/>
      <c r="X705" s="6"/>
      <c r="Y705" s="6"/>
      <c r="Z705" s="6"/>
      <c r="AA705" s="6"/>
      <c r="AB705" s="6"/>
      <c r="AC705" s="6"/>
      <c r="AD705" s="8"/>
      <c r="AE705" s="5"/>
      <c r="AF705" s="8"/>
      <c r="AG705" s="3"/>
      <c r="AH705" s="3"/>
      <c r="AI705" s="3"/>
      <c r="AJ705" s="3"/>
      <c r="AK705" s="3"/>
      <c r="AL705" s="9"/>
    </row>
    <row r="706" spans="1:38" ht="15.75" customHeight="1" x14ac:dyDescent="0.35">
      <c r="A706" s="3"/>
      <c r="B706" s="3"/>
      <c r="C706" s="3"/>
      <c r="D706" s="3"/>
      <c r="E706" s="3"/>
      <c r="F706" s="3"/>
      <c r="G706" s="3"/>
      <c r="H706" s="3"/>
      <c r="I706" s="3"/>
      <c r="J706" s="4"/>
      <c r="K706" s="227"/>
      <c r="L706" s="5"/>
      <c r="M706" s="5"/>
      <c r="N706" s="5"/>
      <c r="O706" s="6"/>
      <c r="P706" s="5"/>
      <c r="Q706" s="5"/>
      <c r="R706" s="7"/>
      <c r="S706" s="3"/>
      <c r="T706" s="6"/>
      <c r="U706" s="6"/>
      <c r="V706" s="6"/>
      <c r="W706" s="6"/>
      <c r="X706" s="6"/>
      <c r="Y706" s="6"/>
      <c r="Z706" s="6"/>
      <c r="AA706" s="6"/>
      <c r="AB706" s="6"/>
      <c r="AC706" s="6"/>
      <c r="AD706" s="8"/>
      <c r="AE706" s="5"/>
      <c r="AF706" s="8"/>
      <c r="AG706" s="3"/>
      <c r="AH706" s="3"/>
      <c r="AI706" s="3"/>
      <c r="AJ706" s="3"/>
      <c r="AK706" s="3"/>
      <c r="AL706" s="9"/>
    </row>
    <row r="707" spans="1:38" ht="15.75" customHeight="1" x14ac:dyDescent="0.35">
      <c r="A707" s="3"/>
      <c r="B707" s="3"/>
      <c r="C707" s="3"/>
      <c r="D707" s="3"/>
      <c r="E707" s="3"/>
      <c r="F707" s="3"/>
      <c r="G707" s="3"/>
      <c r="H707" s="3"/>
      <c r="I707" s="3"/>
      <c r="J707" s="4"/>
      <c r="K707" s="227"/>
      <c r="L707" s="5"/>
      <c r="M707" s="5"/>
      <c r="N707" s="5"/>
      <c r="O707" s="6"/>
      <c r="P707" s="5"/>
      <c r="Q707" s="5"/>
      <c r="R707" s="7"/>
      <c r="S707" s="3"/>
      <c r="T707" s="6"/>
      <c r="U707" s="6"/>
      <c r="V707" s="6"/>
      <c r="W707" s="6"/>
      <c r="X707" s="6"/>
      <c r="Y707" s="6"/>
      <c r="Z707" s="6"/>
      <c r="AA707" s="6"/>
      <c r="AB707" s="6"/>
      <c r="AC707" s="6"/>
      <c r="AD707" s="8"/>
      <c r="AE707" s="5"/>
      <c r="AF707" s="8"/>
      <c r="AG707" s="3"/>
      <c r="AH707" s="3"/>
      <c r="AI707" s="3"/>
      <c r="AJ707" s="3"/>
      <c r="AK707" s="3"/>
      <c r="AL707" s="9"/>
    </row>
    <row r="708" spans="1:38" ht="15.75" customHeight="1" x14ac:dyDescent="0.35">
      <c r="A708" s="3"/>
      <c r="B708" s="3"/>
      <c r="C708" s="3"/>
      <c r="D708" s="3"/>
      <c r="E708" s="3"/>
      <c r="F708" s="3"/>
      <c r="G708" s="3"/>
      <c r="H708" s="3"/>
      <c r="I708" s="3"/>
      <c r="J708" s="4"/>
      <c r="K708" s="227"/>
      <c r="L708" s="5"/>
      <c r="M708" s="5"/>
      <c r="N708" s="5"/>
      <c r="O708" s="6"/>
      <c r="P708" s="5"/>
      <c r="Q708" s="5"/>
      <c r="R708" s="7"/>
      <c r="S708" s="3"/>
      <c r="T708" s="6"/>
      <c r="U708" s="6"/>
      <c r="V708" s="6"/>
      <c r="W708" s="6"/>
      <c r="X708" s="6"/>
      <c r="Y708" s="6"/>
      <c r="Z708" s="6"/>
      <c r="AA708" s="6"/>
      <c r="AB708" s="6"/>
      <c r="AC708" s="6"/>
      <c r="AD708" s="8"/>
      <c r="AE708" s="5"/>
      <c r="AF708" s="8"/>
      <c r="AG708" s="3"/>
      <c r="AH708" s="3"/>
      <c r="AI708" s="3"/>
      <c r="AJ708" s="3"/>
      <c r="AK708" s="3"/>
      <c r="AL708" s="9"/>
    </row>
    <row r="709" spans="1:38" ht="15.75" customHeight="1" x14ac:dyDescent="0.35">
      <c r="A709" s="3"/>
      <c r="B709" s="3"/>
      <c r="C709" s="3"/>
      <c r="D709" s="3"/>
      <c r="E709" s="3"/>
      <c r="F709" s="3"/>
      <c r="G709" s="3"/>
      <c r="H709" s="3"/>
      <c r="I709" s="3"/>
      <c r="J709" s="4"/>
      <c r="K709" s="227"/>
      <c r="L709" s="5"/>
      <c r="M709" s="5"/>
      <c r="N709" s="5"/>
      <c r="O709" s="6"/>
      <c r="P709" s="5"/>
      <c r="Q709" s="5"/>
      <c r="R709" s="7"/>
      <c r="S709" s="3"/>
      <c r="T709" s="6"/>
      <c r="U709" s="6"/>
      <c r="V709" s="6"/>
      <c r="W709" s="6"/>
      <c r="X709" s="6"/>
      <c r="Y709" s="6"/>
      <c r="Z709" s="6"/>
      <c r="AA709" s="6"/>
      <c r="AB709" s="6"/>
      <c r="AC709" s="6"/>
      <c r="AD709" s="8"/>
      <c r="AE709" s="5"/>
      <c r="AF709" s="8"/>
      <c r="AG709" s="3"/>
      <c r="AH709" s="3"/>
      <c r="AI709" s="3"/>
      <c r="AJ709" s="3"/>
      <c r="AK709" s="3"/>
      <c r="AL709" s="9"/>
    </row>
    <row r="710" spans="1:38" ht="15.75" customHeight="1" x14ac:dyDescent="0.35">
      <c r="A710" s="3"/>
      <c r="B710" s="3"/>
      <c r="C710" s="3"/>
      <c r="D710" s="3"/>
      <c r="E710" s="3"/>
      <c r="F710" s="3"/>
      <c r="G710" s="3"/>
      <c r="H710" s="3"/>
      <c r="I710" s="3"/>
      <c r="J710" s="4"/>
      <c r="K710" s="227"/>
      <c r="L710" s="5"/>
      <c r="M710" s="5"/>
      <c r="N710" s="5"/>
      <c r="O710" s="6"/>
      <c r="P710" s="5"/>
      <c r="Q710" s="5"/>
      <c r="R710" s="7"/>
      <c r="S710" s="3"/>
      <c r="T710" s="6"/>
      <c r="U710" s="6"/>
      <c r="V710" s="6"/>
      <c r="W710" s="6"/>
      <c r="X710" s="6"/>
      <c r="Y710" s="6"/>
      <c r="Z710" s="6"/>
      <c r="AA710" s="6"/>
      <c r="AB710" s="6"/>
      <c r="AC710" s="6"/>
      <c r="AD710" s="8"/>
      <c r="AE710" s="5"/>
      <c r="AF710" s="8"/>
      <c r="AG710" s="3"/>
      <c r="AH710" s="3"/>
      <c r="AI710" s="3"/>
      <c r="AJ710" s="3"/>
      <c r="AK710" s="3"/>
      <c r="AL710" s="9"/>
    </row>
    <row r="711" spans="1:38" ht="15.75" customHeight="1" x14ac:dyDescent="0.35">
      <c r="A711" s="3"/>
      <c r="B711" s="3"/>
      <c r="C711" s="3"/>
      <c r="D711" s="3"/>
      <c r="E711" s="3"/>
      <c r="F711" s="3"/>
      <c r="G711" s="3"/>
      <c r="H711" s="3"/>
      <c r="I711" s="3"/>
      <c r="J711" s="4"/>
      <c r="K711" s="227"/>
      <c r="L711" s="5"/>
      <c r="M711" s="5"/>
      <c r="N711" s="5"/>
      <c r="O711" s="6"/>
      <c r="P711" s="5"/>
      <c r="Q711" s="5"/>
      <c r="R711" s="7"/>
      <c r="S711" s="3"/>
      <c r="T711" s="6"/>
      <c r="U711" s="6"/>
      <c r="V711" s="6"/>
      <c r="W711" s="6"/>
      <c r="X711" s="6"/>
      <c r="Y711" s="6"/>
      <c r="Z711" s="6"/>
      <c r="AA711" s="6"/>
      <c r="AB711" s="6"/>
      <c r="AC711" s="6"/>
      <c r="AD711" s="8"/>
      <c r="AE711" s="5"/>
      <c r="AF711" s="8"/>
      <c r="AG711" s="3"/>
      <c r="AH711" s="3"/>
      <c r="AI711" s="3"/>
      <c r="AJ711" s="3"/>
      <c r="AK711" s="3"/>
      <c r="AL711" s="9"/>
    </row>
    <row r="712" spans="1:38" ht="15.75" customHeight="1" x14ac:dyDescent="0.35">
      <c r="A712" s="3"/>
      <c r="B712" s="3"/>
      <c r="C712" s="3"/>
      <c r="D712" s="3"/>
      <c r="E712" s="3"/>
      <c r="F712" s="3"/>
      <c r="G712" s="3"/>
      <c r="H712" s="3"/>
      <c r="I712" s="3"/>
      <c r="J712" s="4"/>
      <c r="K712" s="227"/>
      <c r="L712" s="5"/>
      <c r="M712" s="5"/>
      <c r="N712" s="5"/>
      <c r="O712" s="6"/>
      <c r="P712" s="5"/>
      <c r="Q712" s="5"/>
      <c r="R712" s="7"/>
      <c r="S712" s="3"/>
      <c r="T712" s="6"/>
      <c r="U712" s="6"/>
      <c r="V712" s="6"/>
      <c r="W712" s="6"/>
      <c r="X712" s="6"/>
      <c r="Y712" s="6"/>
      <c r="Z712" s="6"/>
      <c r="AA712" s="6"/>
      <c r="AB712" s="6"/>
      <c r="AC712" s="6"/>
      <c r="AD712" s="8"/>
      <c r="AE712" s="5"/>
      <c r="AF712" s="8"/>
      <c r="AG712" s="3"/>
      <c r="AH712" s="3"/>
      <c r="AI712" s="3"/>
      <c r="AJ712" s="3"/>
      <c r="AK712" s="3"/>
      <c r="AL712" s="9"/>
    </row>
    <row r="713" spans="1:38" ht="15.75" customHeight="1" x14ac:dyDescent="0.35">
      <c r="A713" s="3"/>
      <c r="B713" s="3"/>
      <c r="C713" s="3"/>
      <c r="D713" s="3"/>
      <c r="E713" s="3"/>
      <c r="F713" s="3"/>
      <c r="G713" s="3"/>
      <c r="H713" s="3"/>
      <c r="I713" s="3"/>
      <c r="J713" s="4"/>
      <c r="K713" s="227"/>
      <c r="L713" s="5"/>
      <c r="M713" s="5"/>
      <c r="N713" s="5"/>
      <c r="O713" s="6"/>
      <c r="P713" s="5"/>
      <c r="Q713" s="5"/>
      <c r="R713" s="7"/>
      <c r="S713" s="3"/>
      <c r="T713" s="6"/>
      <c r="U713" s="6"/>
      <c r="V713" s="6"/>
      <c r="W713" s="6"/>
      <c r="X713" s="6"/>
      <c r="Y713" s="6"/>
      <c r="Z713" s="6"/>
      <c r="AA713" s="6"/>
      <c r="AB713" s="6"/>
      <c r="AC713" s="6"/>
      <c r="AD713" s="8"/>
      <c r="AE713" s="5"/>
      <c r="AF713" s="8"/>
      <c r="AG713" s="3"/>
      <c r="AH713" s="3"/>
      <c r="AI713" s="3"/>
      <c r="AJ713" s="3"/>
      <c r="AK713" s="3"/>
      <c r="AL713" s="9"/>
    </row>
    <row r="714" spans="1:38" ht="15.75" customHeight="1" x14ac:dyDescent="0.35">
      <c r="A714" s="3"/>
      <c r="B714" s="3"/>
      <c r="C714" s="3"/>
      <c r="D714" s="3"/>
      <c r="E714" s="3"/>
      <c r="F714" s="3"/>
      <c r="G714" s="3"/>
      <c r="H714" s="3"/>
      <c r="I714" s="3"/>
      <c r="J714" s="4"/>
      <c r="K714" s="227"/>
      <c r="L714" s="5"/>
      <c r="M714" s="5"/>
      <c r="N714" s="5"/>
      <c r="O714" s="6"/>
      <c r="P714" s="5"/>
      <c r="Q714" s="5"/>
      <c r="R714" s="7"/>
      <c r="S714" s="3"/>
      <c r="T714" s="6"/>
      <c r="U714" s="6"/>
      <c r="V714" s="6"/>
      <c r="W714" s="6"/>
      <c r="X714" s="6"/>
      <c r="Y714" s="6"/>
      <c r="Z714" s="6"/>
      <c r="AA714" s="6"/>
      <c r="AB714" s="6"/>
      <c r="AC714" s="6"/>
      <c r="AD714" s="8"/>
      <c r="AE714" s="5"/>
      <c r="AF714" s="8"/>
      <c r="AG714" s="3"/>
      <c r="AH714" s="3"/>
      <c r="AI714" s="3"/>
      <c r="AJ714" s="3"/>
      <c r="AK714" s="3"/>
      <c r="AL714" s="9"/>
    </row>
    <row r="715" spans="1:38" ht="15.75" customHeight="1" x14ac:dyDescent="0.35">
      <c r="A715" s="3"/>
      <c r="B715" s="3"/>
      <c r="C715" s="3"/>
      <c r="D715" s="3"/>
      <c r="E715" s="3"/>
      <c r="F715" s="3"/>
      <c r="G715" s="3"/>
      <c r="H715" s="3"/>
      <c r="I715" s="3"/>
      <c r="J715" s="4"/>
      <c r="K715" s="227"/>
      <c r="L715" s="5"/>
      <c r="M715" s="5"/>
      <c r="N715" s="5"/>
      <c r="O715" s="6"/>
      <c r="P715" s="5"/>
      <c r="Q715" s="5"/>
      <c r="R715" s="7"/>
      <c r="S715" s="3"/>
      <c r="T715" s="6"/>
      <c r="U715" s="6"/>
      <c r="V715" s="6"/>
      <c r="W715" s="6"/>
      <c r="X715" s="6"/>
      <c r="Y715" s="6"/>
      <c r="Z715" s="6"/>
      <c r="AA715" s="6"/>
      <c r="AB715" s="6"/>
      <c r="AC715" s="6"/>
      <c r="AD715" s="8"/>
      <c r="AE715" s="5"/>
      <c r="AF715" s="8"/>
      <c r="AG715" s="3"/>
      <c r="AH715" s="3"/>
      <c r="AI715" s="3"/>
      <c r="AJ715" s="3"/>
      <c r="AK715" s="3"/>
      <c r="AL715" s="9"/>
    </row>
    <row r="716" spans="1:38" ht="15.75" customHeight="1" x14ac:dyDescent="0.35">
      <c r="A716" s="3"/>
      <c r="B716" s="3"/>
      <c r="C716" s="3"/>
      <c r="D716" s="3"/>
      <c r="E716" s="3"/>
      <c r="F716" s="3"/>
      <c r="G716" s="3"/>
      <c r="H716" s="3"/>
      <c r="I716" s="3"/>
      <c r="J716" s="4"/>
      <c r="K716" s="227"/>
      <c r="L716" s="5"/>
      <c r="M716" s="5"/>
      <c r="N716" s="5"/>
      <c r="O716" s="6"/>
      <c r="P716" s="5"/>
      <c r="Q716" s="5"/>
      <c r="R716" s="7"/>
      <c r="S716" s="3"/>
      <c r="T716" s="6"/>
      <c r="U716" s="6"/>
      <c r="V716" s="6"/>
      <c r="W716" s="6"/>
      <c r="X716" s="6"/>
      <c r="Y716" s="6"/>
      <c r="Z716" s="6"/>
      <c r="AA716" s="6"/>
      <c r="AB716" s="6"/>
      <c r="AC716" s="6"/>
      <c r="AD716" s="8"/>
      <c r="AE716" s="5"/>
      <c r="AF716" s="8"/>
      <c r="AG716" s="3"/>
      <c r="AH716" s="3"/>
      <c r="AI716" s="3"/>
      <c r="AJ716" s="3"/>
      <c r="AK716" s="3"/>
      <c r="AL716" s="9"/>
    </row>
    <row r="717" spans="1:38" ht="15.75" customHeight="1" x14ac:dyDescent="0.35">
      <c r="A717" s="3"/>
      <c r="B717" s="3"/>
      <c r="C717" s="3"/>
      <c r="D717" s="3"/>
      <c r="E717" s="3"/>
      <c r="F717" s="3"/>
      <c r="G717" s="3"/>
      <c r="H717" s="3"/>
      <c r="I717" s="3"/>
      <c r="J717" s="4"/>
      <c r="K717" s="227"/>
      <c r="L717" s="5"/>
      <c r="M717" s="5"/>
      <c r="N717" s="5"/>
      <c r="O717" s="6"/>
      <c r="P717" s="5"/>
      <c r="Q717" s="5"/>
      <c r="R717" s="7"/>
      <c r="S717" s="3"/>
      <c r="T717" s="6"/>
      <c r="U717" s="6"/>
      <c r="V717" s="6"/>
      <c r="W717" s="6"/>
      <c r="X717" s="6"/>
      <c r="Y717" s="6"/>
      <c r="Z717" s="6"/>
      <c r="AA717" s="6"/>
      <c r="AB717" s="6"/>
      <c r="AC717" s="6"/>
      <c r="AD717" s="8"/>
      <c r="AE717" s="5"/>
      <c r="AF717" s="8"/>
      <c r="AG717" s="3"/>
      <c r="AH717" s="3"/>
      <c r="AI717" s="3"/>
      <c r="AJ717" s="3"/>
      <c r="AK717" s="3"/>
      <c r="AL717" s="9"/>
    </row>
    <row r="718" spans="1:38" ht="15.75" customHeight="1" x14ac:dyDescent="0.35">
      <c r="A718" s="3"/>
      <c r="B718" s="3"/>
      <c r="C718" s="3"/>
      <c r="D718" s="3"/>
      <c r="E718" s="3"/>
      <c r="F718" s="3"/>
      <c r="G718" s="3"/>
      <c r="H718" s="3"/>
      <c r="I718" s="3"/>
      <c r="J718" s="4"/>
      <c r="K718" s="227"/>
      <c r="L718" s="5"/>
      <c r="M718" s="5"/>
      <c r="N718" s="5"/>
      <c r="O718" s="6"/>
      <c r="P718" s="5"/>
      <c r="Q718" s="5"/>
      <c r="R718" s="7"/>
      <c r="S718" s="3"/>
      <c r="T718" s="6"/>
      <c r="U718" s="6"/>
      <c r="V718" s="6"/>
      <c r="W718" s="6"/>
      <c r="X718" s="6"/>
      <c r="Y718" s="6"/>
      <c r="Z718" s="6"/>
      <c r="AA718" s="6"/>
      <c r="AB718" s="6"/>
      <c r="AC718" s="6"/>
      <c r="AD718" s="8"/>
      <c r="AE718" s="5"/>
      <c r="AF718" s="8"/>
      <c r="AG718" s="3"/>
      <c r="AH718" s="3"/>
      <c r="AI718" s="3"/>
      <c r="AJ718" s="3"/>
      <c r="AK718" s="3"/>
      <c r="AL718" s="9"/>
    </row>
    <row r="719" spans="1:38" ht="15.75" customHeight="1" x14ac:dyDescent="0.35">
      <c r="A719" s="3"/>
      <c r="B719" s="3"/>
      <c r="C719" s="3"/>
      <c r="D719" s="3"/>
      <c r="E719" s="3"/>
      <c r="F719" s="3"/>
      <c r="G719" s="3"/>
      <c r="H719" s="3"/>
      <c r="I719" s="3"/>
      <c r="J719" s="4"/>
      <c r="K719" s="227"/>
      <c r="L719" s="5"/>
      <c r="M719" s="5"/>
      <c r="N719" s="5"/>
      <c r="O719" s="6"/>
      <c r="P719" s="5"/>
      <c r="Q719" s="5"/>
      <c r="R719" s="7"/>
      <c r="S719" s="3"/>
      <c r="T719" s="6"/>
      <c r="U719" s="6"/>
      <c r="V719" s="6"/>
      <c r="W719" s="6"/>
      <c r="X719" s="6"/>
      <c r="Y719" s="6"/>
      <c r="Z719" s="6"/>
      <c r="AA719" s="6"/>
      <c r="AB719" s="6"/>
      <c r="AC719" s="6"/>
      <c r="AD719" s="8"/>
      <c r="AE719" s="5"/>
      <c r="AF719" s="8"/>
      <c r="AG719" s="3"/>
      <c r="AH719" s="3"/>
      <c r="AI719" s="3"/>
      <c r="AJ719" s="3"/>
      <c r="AK719" s="3"/>
      <c r="AL719" s="9"/>
    </row>
    <row r="720" spans="1:38" ht="15.75" customHeight="1" x14ac:dyDescent="0.35">
      <c r="A720" s="3"/>
      <c r="B720" s="3"/>
      <c r="C720" s="3"/>
      <c r="D720" s="3"/>
      <c r="E720" s="3"/>
      <c r="F720" s="3"/>
      <c r="G720" s="3"/>
      <c r="H720" s="3"/>
      <c r="I720" s="3"/>
      <c r="J720" s="4"/>
      <c r="K720" s="227"/>
      <c r="L720" s="5"/>
      <c r="M720" s="5"/>
      <c r="N720" s="5"/>
      <c r="O720" s="6"/>
      <c r="P720" s="5"/>
      <c r="Q720" s="5"/>
      <c r="R720" s="7"/>
      <c r="S720" s="3"/>
      <c r="T720" s="6"/>
      <c r="U720" s="6"/>
      <c r="V720" s="6"/>
      <c r="W720" s="6"/>
      <c r="X720" s="6"/>
      <c r="Y720" s="6"/>
      <c r="Z720" s="6"/>
      <c r="AA720" s="6"/>
      <c r="AB720" s="6"/>
      <c r="AC720" s="6"/>
      <c r="AD720" s="8"/>
      <c r="AE720" s="5"/>
      <c r="AF720" s="8"/>
      <c r="AG720" s="3"/>
      <c r="AH720" s="3"/>
      <c r="AI720" s="3"/>
      <c r="AJ720" s="3"/>
      <c r="AK720" s="3"/>
      <c r="AL720" s="9"/>
    </row>
    <row r="721" spans="1:38" ht="15.75" customHeight="1" x14ac:dyDescent="0.35">
      <c r="A721" s="3"/>
      <c r="B721" s="3"/>
      <c r="C721" s="3"/>
      <c r="D721" s="3"/>
      <c r="E721" s="3"/>
      <c r="F721" s="3"/>
      <c r="G721" s="3"/>
      <c r="H721" s="3"/>
      <c r="I721" s="3"/>
      <c r="J721" s="4"/>
      <c r="K721" s="227"/>
      <c r="L721" s="5"/>
      <c r="M721" s="5"/>
      <c r="N721" s="5"/>
      <c r="O721" s="6"/>
      <c r="P721" s="5"/>
      <c r="Q721" s="5"/>
      <c r="R721" s="7"/>
      <c r="S721" s="3"/>
      <c r="T721" s="6"/>
      <c r="U721" s="6"/>
      <c r="V721" s="6"/>
      <c r="W721" s="6"/>
      <c r="X721" s="6"/>
      <c r="Y721" s="6"/>
      <c r="Z721" s="6"/>
      <c r="AA721" s="6"/>
      <c r="AB721" s="6"/>
      <c r="AC721" s="6"/>
      <c r="AD721" s="8"/>
      <c r="AE721" s="5"/>
      <c r="AF721" s="8"/>
      <c r="AG721" s="3"/>
      <c r="AH721" s="3"/>
      <c r="AI721" s="3"/>
      <c r="AJ721" s="3"/>
      <c r="AK721" s="3"/>
      <c r="AL721" s="9"/>
    </row>
    <row r="722" spans="1:38" ht="15.75" customHeight="1" x14ac:dyDescent="0.35">
      <c r="A722" s="3"/>
      <c r="B722" s="3"/>
      <c r="C722" s="3"/>
      <c r="D722" s="3"/>
      <c r="E722" s="3"/>
      <c r="F722" s="3"/>
      <c r="G722" s="3"/>
      <c r="H722" s="3"/>
      <c r="I722" s="3"/>
      <c r="J722" s="4"/>
      <c r="K722" s="227"/>
      <c r="L722" s="5"/>
      <c r="M722" s="5"/>
      <c r="N722" s="5"/>
      <c r="O722" s="6"/>
      <c r="P722" s="5"/>
      <c r="Q722" s="5"/>
      <c r="R722" s="7"/>
      <c r="S722" s="3"/>
      <c r="T722" s="6"/>
      <c r="U722" s="6"/>
      <c r="V722" s="6"/>
      <c r="W722" s="6"/>
      <c r="X722" s="6"/>
      <c r="Y722" s="6"/>
      <c r="Z722" s="6"/>
      <c r="AA722" s="6"/>
      <c r="AB722" s="6"/>
      <c r="AC722" s="6"/>
      <c r="AD722" s="8"/>
      <c r="AE722" s="5"/>
      <c r="AF722" s="8"/>
      <c r="AG722" s="3"/>
      <c r="AH722" s="3"/>
      <c r="AI722" s="3"/>
      <c r="AJ722" s="3"/>
      <c r="AK722" s="3"/>
      <c r="AL722" s="9"/>
    </row>
    <row r="723" spans="1:38" ht="15.75" customHeight="1" x14ac:dyDescent="0.35">
      <c r="A723" s="3"/>
      <c r="B723" s="3"/>
      <c r="C723" s="3"/>
      <c r="D723" s="3"/>
      <c r="E723" s="3"/>
      <c r="F723" s="3"/>
      <c r="G723" s="3"/>
      <c r="H723" s="3"/>
      <c r="I723" s="3"/>
      <c r="J723" s="4"/>
      <c r="K723" s="227"/>
      <c r="L723" s="5"/>
      <c r="M723" s="5"/>
      <c r="N723" s="5"/>
      <c r="O723" s="6"/>
      <c r="P723" s="5"/>
      <c r="Q723" s="5"/>
      <c r="R723" s="7"/>
      <c r="S723" s="3"/>
      <c r="T723" s="6"/>
      <c r="U723" s="6"/>
      <c r="V723" s="6"/>
      <c r="W723" s="6"/>
      <c r="X723" s="6"/>
      <c r="Y723" s="6"/>
      <c r="Z723" s="6"/>
      <c r="AA723" s="6"/>
      <c r="AB723" s="6"/>
      <c r="AC723" s="6"/>
      <c r="AD723" s="8"/>
      <c r="AE723" s="5"/>
      <c r="AF723" s="8"/>
      <c r="AG723" s="3"/>
      <c r="AH723" s="3"/>
      <c r="AI723" s="3"/>
      <c r="AJ723" s="3"/>
      <c r="AK723" s="3"/>
      <c r="AL723" s="9"/>
    </row>
    <row r="724" spans="1:38" ht="15.75" customHeight="1" x14ac:dyDescent="0.35">
      <c r="A724" s="3"/>
      <c r="B724" s="3"/>
      <c r="C724" s="3"/>
      <c r="D724" s="3"/>
      <c r="E724" s="3"/>
      <c r="F724" s="3"/>
      <c r="G724" s="3"/>
      <c r="H724" s="3"/>
      <c r="I724" s="3"/>
      <c r="J724" s="4"/>
      <c r="K724" s="227"/>
      <c r="L724" s="5"/>
      <c r="M724" s="5"/>
      <c r="N724" s="5"/>
      <c r="O724" s="6"/>
      <c r="P724" s="5"/>
      <c r="Q724" s="5"/>
      <c r="R724" s="7"/>
      <c r="S724" s="3"/>
      <c r="T724" s="6"/>
      <c r="U724" s="6"/>
      <c r="V724" s="6"/>
      <c r="W724" s="6"/>
      <c r="X724" s="6"/>
      <c r="Y724" s="6"/>
      <c r="Z724" s="6"/>
      <c r="AA724" s="6"/>
      <c r="AB724" s="6"/>
      <c r="AC724" s="6"/>
      <c r="AD724" s="8"/>
      <c r="AE724" s="5"/>
      <c r="AF724" s="8"/>
      <c r="AG724" s="3"/>
      <c r="AH724" s="3"/>
      <c r="AI724" s="3"/>
      <c r="AJ724" s="3"/>
      <c r="AK724" s="3"/>
      <c r="AL724" s="9"/>
    </row>
    <row r="725" spans="1:38" ht="15.75" customHeight="1" x14ac:dyDescent="0.35">
      <c r="A725" s="3"/>
      <c r="B725" s="3"/>
      <c r="C725" s="3"/>
      <c r="D725" s="3"/>
      <c r="E725" s="3"/>
      <c r="F725" s="3"/>
      <c r="G725" s="3"/>
      <c r="H725" s="3"/>
      <c r="I725" s="3"/>
      <c r="J725" s="4"/>
      <c r="K725" s="227"/>
      <c r="L725" s="5"/>
      <c r="M725" s="5"/>
      <c r="N725" s="5"/>
      <c r="O725" s="6"/>
      <c r="P725" s="5"/>
      <c r="Q725" s="5"/>
      <c r="R725" s="7"/>
      <c r="S725" s="3"/>
      <c r="T725" s="6"/>
      <c r="U725" s="6"/>
      <c r="V725" s="6"/>
      <c r="W725" s="6"/>
      <c r="X725" s="6"/>
      <c r="Y725" s="6"/>
      <c r="Z725" s="6"/>
      <c r="AA725" s="6"/>
      <c r="AB725" s="6"/>
      <c r="AC725" s="6"/>
      <c r="AD725" s="8"/>
      <c r="AE725" s="5"/>
      <c r="AF725" s="8"/>
      <c r="AG725" s="3"/>
      <c r="AH725" s="3"/>
      <c r="AI725" s="3"/>
      <c r="AJ725" s="3"/>
      <c r="AK725" s="3"/>
      <c r="AL725" s="9"/>
    </row>
    <row r="726" spans="1:38" ht="15.75" customHeight="1" x14ac:dyDescent="0.35">
      <c r="A726" s="3"/>
      <c r="B726" s="3"/>
      <c r="C726" s="3"/>
      <c r="D726" s="3"/>
      <c r="E726" s="3"/>
      <c r="F726" s="3"/>
      <c r="G726" s="3"/>
      <c r="H726" s="3"/>
      <c r="I726" s="3"/>
      <c r="J726" s="4"/>
      <c r="K726" s="227"/>
      <c r="L726" s="5"/>
      <c r="M726" s="5"/>
      <c r="N726" s="5"/>
      <c r="O726" s="6"/>
      <c r="P726" s="5"/>
      <c r="Q726" s="5"/>
      <c r="R726" s="7"/>
      <c r="S726" s="3"/>
      <c r="T726" s="6"/>
      <c r="U726" s="6"/>
      <c r="V726" s="6"/>
      <c r="W726" s="6"/>
      <c r="X726" s="6"/>
      <c r="Y726" s="6"/>
      <c r="Z726" s="6"/>
      <c r="AA726" s="6"/>
      <c r="AB726" s="6"/>
      <c r="AC726" s="6"/>
      <c r="AD726" s="8"/>
      <c r="AE726" s="5"/>
      <c r="AF726" s="8"/>
      <c r="AG726" s="3"/>
      <c r="AH726" s="3"/>
      <c r="AI726" s="3"/>
      <c r="AJ726" s="3"/>
      <c r="AK726" s="3"/>
      <c r="AL726" s="9"/>
    </row>
    <row r="727" spans="1:38" ht="15.75" customHeight="1" x14ac:dyDescent="0.35">
      <c r="A727" s="3"/>
      <c r="B727" s="3"/>
      <c r="C727" s="3"/>
      <c r="D727" s="3"/>
      <c r="E727" s="3"/>
      <c r="F727" s="3"/>
      <c r="G727" s="3"/>
      <c r="H727" s="3"/>
      <c r="I727" s="3"/>
      <c r="J727" s="4"/>
      <c r="K727" s="227"/>
      <c r="L727" s="5"/>
      <c r="M727" s="5"/>
      <c r="N727" s="5"/>
      <c r="O727" s="6"/>
      <c r="P727" s="5"/>
      <c r="Q727" s="5"/>
      <c r="R727" s="7"/>
      <c r="S727" s="3"/>
      <c r="T727" s="6"/>
      <c r="U727" s="6"/>
      <c r="V727" s="6"/>
      <c r="W727" s="6"/>
      <c r="X727" s="6"/>
      <c r="Y727" s="6"/>
      <c r="Z727" s="6"/>
      <c r="AA727" s="6"/>
      <c r="AB727" s="6"/>
      <c r="AC727" s="6"/>
      <c r="AD727" s="8"/>
      <c r="AE727" s="5"/>
      <c r="AF727" s="8"/>
      <c r="AG727" s="3"/>
      <c r="AH727" s="3"/>
      <c r="AI727" s="3"/>
      <c r="AJ727" s="3"/>
      <c r="AK727" s="3"/>
      <c r="AL727" s="9"/>
    </row>
    <row r="728" spans="1:38" ht="15.75" customHeight="1" x14ac:dyDescent="0.35">
      <c r="A728" s="3"/>
      <c r="B728" s="3"/>
      <c r="C728" s="3"/>
      <c r="D728" s="3"/>
      <c r="E728" s="3"/>
      <c r="F728" s="3"/>
      <c r="G728" s="3"/>
      <c r="H728" s="3"/>
      <c r="I728" s="3"/>
      <c r="J728" s="4"/>
      <c r="K728" s="227"/>
      <c r="L728" s="5"/>
      <c r="M728" s="5"/>
      <c r="N728" s="5"/>
      <c r="O728" s="6"/>
      <c r="P728" s="5"/>
      <c r="Q728" s="5"/>
      <c r="R728" s="7"/>
      <c r="S728" s="3"/>
      <c r="T728" s="6"/>
      <c r="U728" s="6"/>
      <c r="V728" s="6"/>
      <c r="W728" s="6"/>
      <c r="X728" s="6"/>
      <c r="Y728" s="6"/>
      <c r="Z728" s="6"/>
      <c r="AA728" s="6"/>
      <c r="AB728" s="6"/>
      <c r="AC728" s="6"/>
      <c r="AD728" s="8"/>
      <c r="AE728" s="5"/>
      <c r="AF728" s="8"/>
      <c r="AG728" s="3"/>
      <c r="AH728" s="3"/>
      <c r="AI728" s="3"/>
      <c r="AJ728" s="3"/>
      <c r="AK728" s="3"/>
      <c r="AL728" s="9"/>
    </row>
    <row r="729" spans="1:38" ht="15.75" customHeight="1" x14ac:dyDescent="0.35">
      <c r="A729" s="3"/>
      <c r="B729" s="3"/>
      <c r="C729" s="3"/>
      <c r="D729" s="3"/>
      <c r="E729" s="3"/>
      <c r="F729" s="3"/>
      <c r="G729" s="3"/>
      <c r="H729" s="3"/>
      <c r="I729" s="3"/>
      <c r="J729" s="4"/>
      <c r="K729" s="227"/>
      <c r="L729" s="5"/>
      <c r="M729" s="5"/>
      <c r="N729" s="5"/>
      <c r="O729" s="6"/>
      <c r="P729" s="5"/>
      <c r="Q729" s="5"/>
      <c r="R729" s="7"/>
      <c r="S729" s="3"/>
      <c r="T729" s="6"/>
      <c r="U729" s="6"/>
      <c r="V729" s="6"/>
      <c r="W729" s="6"/>
      <c r="X729" s="6"/>
      <c r="Y729" s="6"/>
      <c r="Z729" s="6"/>
      <c r="AA729" s="6"/>
      <c r="AB729" s="6"/>
      <c r="AC729" s="6"/>
      <c r="AD729" s="8"/>
      <c r="AE729" s="5"/>
      <c r="AF729" s="8"/>
      <c r="AG729" s="3"/>
      <c r="AH729" s="3"/>
      <c r="AI729" s="3"/>
      <c r="AJ729" s="3"/>
      <c r="AK729" s="3"/>
      <c r="AL729" s="9"/>
    </row>
    <row r="730" spans="1:38" ht="15.75" customHeight="1" x14ac:dyDescent="0.35">
      <c r="A730" s="3"/>
      <c r="B730" s="3"/>
      <c r="C730" s="3"/>
      <c r="D730" s="3"/>
      <c r="E730" s="3"/>
      <c r="F730" s="3"/>
      <c r="G730" s="3"/>
      <c r="H730" s="3"/>
      <c r="I730" s="3"/>
      <c r="J730" s="4"/>
      <c r="K730" s="227"/>
      <c r="L730" s="5"/>
      <c r="M730" s="5"/>
      <c r="N730" s="5"/>
      <c r="O730" s="6"/>
      <c r="P730" s="5"/>
      <c r="Q730" s="5"/>
      <c r="R730" s="7"/>
      <c r="S730" s="3"/>
      <c r="T730" s="6"/>
      <c r="U730" s="6"/>
      <c r="V730" s="6"/>
      <c r="W730" s="6"/>
      <c r="X730" s="6"/>
      <c r="Y730" s="6"/>
      <c r="Z730" s="6"/>
      <c r="AA730" s="6"/>
      <c r="AB730" s="6"/>
      <c r="AC730" s="6"/>
      <c r="AD730" s="8"/>
      <c r="AE730" s="5"/>
      <c r="AF730" s="8"/>
      <c r="AG730" s="3"/>
      <c r="AH730" s="3"/>
      <c r="AI730" s="3"/>
      <c r="AJ730" s="3"/>
      <c r="AK730" s="3"/>
      <c r="AL730" s="9"/>
    </row>
    <row r="731" spans="1:38" ht="15.75" customHeight="1" x14ac:dyDescent="0.35">
      <c r="A731" s="3"/>
      <c r="B731" s="3"/>
      <c r="C731" s="3"/>
      <c r="D731" s="3"/>
      <c r="E731" s="3"/>
      <c r="F731" s="3"/>
      <c r="G731" s="3"/>
      <c r="H731" s="3"/>
      <c r="I731" s="3"/>
      <c r="J731" s="4"/>
      <c r="K731" s="227"/>
      <c r="L731" s="5"/>
      <c r="M731" s="5"/>
      <c r="N731" s="5"/>
      <c r="O731" s="6"/>
      <c r="P731" s="5"/>
      <c r="Q731" s="5"/>
      <c r="R731" s="7"/>
      <c r="S731" s="3"/>
      <c r="T731" s="6"/>
      <c r="U731" s="6"/>
      <c r="V731" s="6"/>
      <c r="W731" s="6"/>
      <c r="X731" s="6"/>
      <c r="Y731" s="6"/>
      <c r="Z731" s="6"/>
      <c r="AA731" s="6"/>
      <c r="AB731" s="6"/>
      <c r="AC731" s="6"/>
      <c r="AD731" s="8"/>
      <c r="AE731" s="5"/>
      <c r="AF731" s="8"/>
      <c r="AG731" s="3"/>
      <c r="AH731" s="3"/>
      <c r="AI731" s="3"/>
      <c r="AJ731" s="3"/>
      <c r="AK731" s="3"/>
      <c r="AL731" s="9"/>
    </row>
    <row r="732" spans="1:38" ht="15.75" customHeight="1" x14ac:dyDescent="0.35">
      <c r="A732" s="3"/>
      <c r="B732" s="3"/>
      <c r="C732" s="3"/>
      <c r="D732" s="3"/>
      <c r="E732" s="3"/>
      <c r="F732" s="3"/>
      <c r="G732" s="3"/>
      <c r="H732" s="3"/>
      <c r="I732" s="3"/>
      <c r="J732" s="4"/>
      <c r="K732" s="227"/>
      <c r="L732" s="5"/>
      <c r="M732" s="5"/>
      <c r="N732" s="5"/>
      <c r="O732" s="6"/>
      <c r="P732" s="5"/>
      <c r="Q732" s="5"/>
      <c r="R732" s="7"/>
      <c r="S732" s="3"/>
      <c r="T732" s="6"/>
      <c r="U732" s="6"/>
      <c r="V732" s="6"/>
      <c r="W732" s="6"/>
      <c r="X732" s="6"/>
      <c r="Y732" s="6"/>
      <c r="Z732" s="6"/>
      <c r="AA732" s="6"/>
      <c r="AB732" s="6"/>
      <c r="AC732" s="6"/>
      <c r="AD732" s="8"/>
      <c r="AE732" s="5"/>
      <c r="AF732" s="8"/>
      <c r="AG732" s="3"/>
      <c r="AH732" s="3"/>
      <c r="AI732" s="3"/>
      <c r="AJ732" s="3"/>
      <c r="AK732" s="3"/>
      <c r="AL732" s="9"/>
    </row>
    <row r="733" spans="1:38" ht="15.75" customHeight="1" x14ac:dyDescent="0.35">
      <c r="A733" s="3"/>
      <c r="B733" s="3"/>
      <c r="C733" s="3"/>
      <c r="D733" s="3"/>
      <c r="E733" s="3"/>
      <c r="F733" s="3"/>
      <c r="G733" s="3"/>
      <c r="H733" s="3"/>
      <c r="I733" s="3"/>
      <c r="J733" s="4"/>
      <c r="K733" s="227"/>
      <c r="L733" s="5"/>
      <c r="M733" s="5"/>
      <c r="N733" s="5"/>
      <c r="O733" s="6"/>
      <c r="P733" s="5"/>
      <c r="Q733" s="5"/>
      <c r="R733" s="7"/>
      <c r="S733" s="3"/>
      <c r="T733" s="6"/>
      <c r="U733" s="6"/>
      <c r="V733" s="6"/>
      <c r="W733" s="6"/>
      <c r="X733" s="6"/>
      <c r="Y733" s="6"/>
      <c r="Z733" s="6"/>
      <c r="AA733" s="6"/>
      <c r="AB733" s="6"/>
      <c r="AC733" s="6"/>
      <c r="AD733" s="8"/>
      <c r="AE733" s="5"/>
      <c r="AF733" s="8"/>
      <c r="AG733" s="3"/>
      <c r="AH733" s="3"/>
      <c r="AI733" s="3"/>
      <c r="AJ733" s="3"/>
      <c r="AK733" s="3"/>
      <c r="AL733" s="9"/>
    </row>
    <row r="734" spans="1:38" ht="15.75" customHeight="1" x14ac:dyDescent="0.35">
      <c r="A734" s="3"/>
      <c r="B734" s="3"/>
      <c r="C734" s="3"/>
      <c r="D734" s="3"/>
      <c r="E734" s="3"/>
      <c r="F734" s="3"/>
      <c r="G734" s="3"/>
      <c r="H734" s="3"/>
      <c r="I734" s="3"/>
      <c r="J734" s="4"/>
      <c r="K734" s="227"/>
      <c r="L734" s="5"/>
      <c r="M734" s="5"/>
      <c r="N734" s="5"/>
      <c r="O734" s="6"/>
      <c r="P734" s="5"/>
      <c r="Q734" s="5"/>
      <c r="R734" s="7"/>
      <c r="S734" s="3"/>
      <c r="T734" s="6"/>
      <c r="U734" s="6"/>
      <c r="V734" s="6"/>
      <c r="W734" s="6"/>
      <c r="X734" s="6"/>
      <c r="Y734" s="6"/>
      <c r="Z734" s="6"/>
      <c r="AA734" s="6"/>
      <c r="AB734" s="6"/>
      <c r="AC734" s="6"/>
      <c r="AD734" s="8"/>
      <c r="AE734" s="5"/>
      <c r="AF734" s="8"/>
      <c r="AG734" s="3"/>
      <c r="AH734" s="3"/>
      <c r="AI734" s="3"/>
      <c r="AJ734" s="3"/>
      <c r="AK734" s="3"/>
      <c r="AL734" s="9"/>
    </row>
    <row r="735" spans="1:38" ht="15.75" customHeight="1" x14ac:dyDescent="0.35">
      <c r="A735" s="3"/>
      <c r="B735" s="3"/>
      <c r="C735" s="3"/>
      <c r="D735" s="3"/>
      <c r="E735" s="3"/>
      <c r="F735" s="3"/>
      <c r="G735" s="3"/>
      <c r="H735" s="3"/>
      <c r="I735" s="3"/>
      <c r="J735" s="4"/>
      <c r="K735" s="227"/>
      <c r="L735" s="5"/>
      <c r="M735" s="5"/>
      <c r="N735" s="5"/>
      <c r="O735" s="6"/>
      <c r="P735" s="5"/>
      <c r="Q735" s="5"/>
      <c r="R735" s="7"/>
      <c r="S735" s="3"/>
      <c r="T735" s="6"/>
      <c r="U735" s="6"/>
      <c r="V735" s="6"/>
      <c r="W735" s="6"/>
      <c r="X735" s="6"/>
      <c r="Y735" s="6"/>
      <c r="Z735" s="6"/>
      <c r="AA735" s="6"/>
      <c r="AB735" s="6"/>
      <c r="AC735" s="6"/>
      <c r="AD735" s="8"/>
      <c r="AE735" s="5"/>
      <c r="AF735" s="8"/>
      <c r="AG735" s="3"/>
      <c r="AH735" s="3"/>
      <c r="AI735" s="3"/>
      <c r="AJ735" s="3"/>
      <c r="AK735" s="3"/>
      <c r="AL735" s="9"/>
    </row>
    <row r="736" spans="1:38" ht="15.75" customHeight="1" x14ac:dyDescent="0.35">
      <c r="A736" s="3"/>
      <c r="B736" s="3"/>
      <c r="C736" s="3"/>
      <c r="D736" s="3"/>
      <c r="E736" s="3"/>
      <c r="F736" s="3"/>
      <c r="G736" s="3"/>
      <c r="H736" s="3"/>
      <c r="I736" s="3"/>
      <c r="J736" s="4"/>
      <c r="K736" s="227"/>
      <c r="L736" s="5"/>
      <c r="M736" s="5"/>
      <c r="N736" s="5"/>
      <c r="O736" s="6"/>
      <c r="P736" s="5"/>
      <c r="Q736" s="5"/>
      <c r="R736" s="7"/>
      <c r="S736" s="3"/>
      <c r="T736" s="6"/>
      <c r="U736" s="6"/>
      <c r="V736" s="6"/>
      <c r="W736" s="6"/>
      <c r="X736" s="6"/>
      <c r="Y736" s="6"/>
      <c r="Z736" s="6"/>
      <c r="AA736" s="6"/>
      <c r="AB736" s="6"/>
      <c r="AC736" s="6"/>
      <c r="AD736" s="8"/>
      <c r="AE736" s="5"/>
      <c r="AF736" s="8"/>
      <c r="AG736" s="3"/>
      <c r="AH736" s="3"/>
      <c r="AI736" s="3"/>
      <c r="AJ736" s="3"/>
      <c r="AK736" s="3"/>
      <c r="AL736" s="9"/>
    </row>
    <row r="737" spans="1:38" ht="15.75" customHeight="1" x14ac:dyDescent="0.35">
      <c r="A737" s="3"/>
      <c r="B737" s="3"/>
      <c r="C737" s="3"/>
      <c r="D737" s="3"/>
      <c r="E737" s="3"/>
      <c r="F737" s="3"/>
      <c r="G737" s="3"/>
      <c r="H737" s="3"/>
      <c r="I737" s="3"/>
      <c r="J737" s="4"/>
      <c r="K737" s="227"/>
      <c r="L737" s="5"/>
      <c r="M737" s="5"/>
      <c r="N737" s="5"/>
      <c r="O737" s="6"/>
      <c r="P737" s="5"/>
      <c r="Q737" s="5"/>
      <c r="R737" s="7"/>
      <c r="S737" s="3"/>
      <c r="T737" s="6"/>
      <c r="U737" s="6"/>
      <c r="V737" s="6"/>
      <c r="W737" s="6"/>
      <c r="X737" s="6"/>
      <c r="Y737" s="6"/>
      <c r="Z737" s="6"/>
      <c r="AA737" s="6"/>
      <c r="AB737" s="6"/>
      <c r="AC737" s="6"/>
      <c r="AD737" s="8"/>
      <c r="AE737" s="5"/>
      <c r="AF737" s="8"/>
      <c r="AG737" s="3"/>
      <c r="AH737" s="3"/>
      <c r="AI737" s="3"/>
      <c r="AJ737" s="3"/>
      <c r="AK737" s="3"/>
      <c r="AL737" s="9"/>
    </row>
    <row r="738" spans="1:38" ht="15.75" customHeight="1" x14ac:dyDescent="0.35">
      <c r="A738" s="3"/>
      <c r="B738" s="3"/>
      <c r="C738" s="3"/>
      <c r="D738" s="3"/>
      <c r="E738" s="3"/>
      <c r="F738" s="3"/>
      <c r="G738" s="3"/>
      <c r="H738" s="3"/>
      <c r="I738" s="3"/>
      <c r="J738" s="4"/>
      <c r="K738" s="227"/>
      <c r="L738" s="5"/>
      <c r="M738" s="5"/>
      <c r="N738" s="5"/>
      <c r="O738" s="6"/>
      <c r="P738" s="5"/>
      <c r="Q738" s="5"/>
      <c r="R738" s="7"/>
      <c r="S738" s="3"/>
      <c r="T738" s="6"/>
      <c r="U738" s="6"/>
      <c r="V738" s="6"/>
      <c r="W738" s="6"/>
      <c r="X738" s="6"/>
      <c r="Y738" s="6"/>
      <c r="Z738" s="6"/>
      <c r="AA738" s="6"/>
      <c r="AB738" s="6"/>
      <c r="AC738" s="6"/>
      <c r="AD738" s="8"/>
      <c r="AE738" s="5"/>
      <c r="AF738" s="8"/>
      <c r="AG738" s="3"/>
      <c r="AH738" s="3"/>
      <c r="AI738" s="3"/>
      <c r="AJ738" s="3"/>
      <c r="AK738" s="3"/>
      <c r="AL738" s="9"/>
    </row>
    <row r="739" spans="1:38" ht="15.75" customHeight="1" x14ac:dyDescent="0.35">
      <c r="A739" s="3"/>
      <c r="B739" s="3"/>
      <c r="C739" s="3"/>
      <c r="D739" s="3"/>
      <c r="E739" s="3"/>
      <c r="F739" s="3"/>
      <c r="G739" s="3"/>
      <c r="H739" s="3"/>
      <c r="I739" s="3"/>
      <c r="J739" s="4"/>
      <c r="K739" s="227"/>
      <c r="L739" s="5"/>
      <c r="M739" s="5"/>
      <c r="N739" s="5"/>
      <c r="O739" s="6"/>
      <c r="P739" s="5"/>
      <c r="Q739" s="5"/>
      <c r="R739" s="7"/>
      <c r="S739" s="3"/>
      <c r="T739" s="6"/>
      <c r="U739" s="6"/>
      <c r="V739" s="6"/>
      <c r="W739" s="6"/>
      <c r="X739" s="6"/>
      <c r="Y739" s="6"/>
      <c r="Z739" s="6"/>
      <c r="AA739" s="6"/>
      <c r="AB739" s="6"/>
      <c r="AC739" s="6"/>
      <c r="AD739" s="8"/>
      <c r="AE739" s="5"/>
      <c r="AF739" s="8"/>
      <c r="AG739" s="3"/>
      <c r="AH739" s="3"/>
      <c r="AI739" s="3"/>
      <c r="AJ739" s="3"/>
      <c r="AK739" s="3"/>
      <c r="AL739" s="9"/>
    </row>
    <row r="740" spans="1:38" ht="15.75" customHeight="1" x14ac:dyDescent="0.35">
      <c r="A740" s="3"/>
      <c r="B740" s="3"/>
      <c r="C740" s="3"/>
      <c r="D740" s="3"/>
      <c r="E740" s="3"/>
      <c r="F740" s="3"/>
      <c r="G740" s="3"/>
      <c r="H740" s="3"/>
      <c r="I740" s="3"/>
      <c r="J740" s="4"/>
      <c r="K740" s="227"/>
      <c r="L740" s="5"/>
      <c r="M740" s="5"/>
      <c r="N740" s="5"/>
      <c r="O740" s="6"/>
      <c r="P740" s="5"/>
      <c r="Q740" s="5"/>
      <c r="R740" s="7"/>
      <c r="S740" s="3"/>
      <c r="T740" s="6"/>
      <c r="U740" s="6"/>
      <c r="V740" s="6"/>
      <c r="W740" s="6"/>
      <c r="X740" s="6"/>
      <c r="Y740" s="6"/>
      <c r="Z740" s="6"/>
      <c r="AA740" s="6"/>
      <c r="AB740" s="6"/>
      <c r="AC740" s="6"/>
      <c r="AD740" s="8"/>
      <c r="AE740" s="5"/>
      <c r="AF740" s="8"/>
      <c r="AG740" s="3"/>
      <c r="AH740" s="3"/>
      <c r="AI740" s="3"/>
      <c r="AJ740" s="3"/>
      <c r="AK740" s="3"/>
      <c r="AL740" s="9"/>
    </row>
    <row r="741" spans="1:38" ht="15.75" customHeight="1" x14ac:dyDescent="0.35">
      <c r="A741" s="3"/>
      <c r="B741" s="3"/>
      <c r="C741" s="3"/>
      <c r="D741" s="3"/>
      <c r="E741" s="3"/>
      <c r="F741" s="3"/>
      <c r="G741" s="3"/>
      <c r="H741" s="3"/>
      <c r="I741" s="3"/>
      <c r="J741" s="4"/>
      <c r="K741" s="227"/>
      <c r="L741" s="5"/>
      <c r="M741" s="5"/>
      <c r="N741" s="5"/>
      <c r="O741" s="6"/>
      <c r="P741" s="5"/>
      <c r="Q741" s="5"/>
      <c r="R741" s="7"/>
      <c r="S741" s="3"/>
      <c r="T741" s="6"/>
      <c r="U741" s="6"/>
      <c r="V741" s="6"/>
      <c r="W741" s="6"/>
      <c r="X741" s="6"/>
      <c r="Y741" s="6"/>
      <c r="Z741" s="6"/>
      <c r="AA741" s="6"/>
      <c r="AB741" s="6"/>
      <c r="AC741" s="6"/>
      <c r="AD741" s="8"/>
      <c r="AE741" s="5"/>
      <c r="AF741" s="8"/>
      <c r="AG741" s="3"/>
      <c r="AH741" s="3"/>
      <c r="AI741" s="3"/>
      <c r="AJ741" s="3"/>
      <c r="AK741" s="3"/>
      <c r="AL741" s="9"/>
    </row>
    <row r="742" spans="1:38" ht="15.75" customHeight="1" x14ac:dyDescent="0.35">
      <c r="A742" s="3"/>
      <c r="B742" s="3"/>
      <c r="C742" s="3"/>
      <c r="D742" s="3"/>
      <c r="E742" s="3"/>
      <c r="F742" s="3"/>
      <c r="G742" s="3"/>
      <c r="H742" s="3"/>
      <c r="I742" s="3"/>
      <c r="J742" s="4"/>
      <c r="K742" s="227"/>
      <c r="L742" s="5"/>
      <c r="M742" s="5"/>
      <c r="N742" s="5"/>
      <c r="O742" s="6"/>
      <c r="P742" s="5"/>
      <c r="Q742" s="5"/>
      <c r="R742" s="7"/>
      <c r="S742" s="3"/>
      <c r="T742" s="6"/>
      <c r="U742" s="6"/>
      <c r="V742" s="6"/>
      <c r="W742" s="6"/>
      <c r="X742" s="6"/>
      <c r="Y742" s="6"/>
      <c r="Z742" s="6"/>
      <c r="AA742" s="6"/>
      <c r="AB742" s="6"/>
      <c r="AC742" s="6"/>
      <c r="AD742" s="8"/>
      <c r="AE742" s="5"/>
      <c r="AF742" s="8"/>
      <c r="AG742" s="3"/>
      <c r="AH742" s="3"/>
      <c r="AI742" s="3"/>
      <c r="AJ742" s="3"/>
      <c r="AK742" s="3"/>
      <c r="AL742" s="9"/>
    </row>
    <row r="743" spans="1:38" ht="15.75" customHeight="1" x14ac:dyDescent="0.35">
      <c r="A743" s="3"/>
      <c r="B743" s="3"/>
      <c r="C743" s="3"/>
      <c r="D743" s="3"/>
      <c r="E743" s="3"/>
      <c r="F743" s="3"/>
      <c r="G743" s="3"/>
      <c r="H743" s="3"/>
      <c r="I743" s="3"/>
      <c r="J743" s="4"/>
      <c r="K743" s="227"/>
      <c r="L743" s="5"/>
      <c r="M743" s="5"/>
      <c r="N743" s="5"/>
      <c r="O743" s="6"/>
      <c r="P743" s="5"/>
      <c r="Q743" s="5"/>
      <c r="R743" s="7"/>
      <c r="S743" s="3"/>
      <c r="T743" s="6"/>
      <c r="U743" s="6"/>
      <c r="V743" s="6"/>
      <c r="W743" s="6"/>
      <c r="X743" s="6"/>
      <c r="Y743" s="6"/>
      <c r="Z743" s="6"/>
      <c r="AA743" s="6"/>
      <c r="AB743" s="6"/>
      <c r="AC743" s="6"/>
      <c r="AD743" s="8"/>
      <c r="AE743" s="5"/>
      <c r="AF743" s="8"/>
      <c r="AG743" s="3"/>
      <c r="AH743" s="3"/>
      <c r="AI743" s="3"/>
      <c r="AJ743" s="3"/>
      <c r="AK743" s="3"/>
      <c r="AL743" s="9"/>
    </row>
    <row r="744" spans="1:38" ht="15.75" customHeight="1" x14ac:dyDescent="0.35">
      <c r="A744" s="3"/>
      <c r="B744" s="3"/>
      <c r="C744" s="3"/>
      <c r="D744" s="3"/>
      <c r="E744" s="3"/>
      <c r="F744" s="3"/>
      <c r="G744" s="3"/>
      <c r="H744" s="3"/>
      <c r="I744" s="3"/>
      <c r="J744" s="4"/>
      <c r="K744" s="227"/>
      <c r="L744" s="5"/>
      <c r="M744" s="5"/>
      <c r="N744" s="5"/>
      <c r="O744" s="6"/>
      <c r="P744" s="5"/>
      <c r="Q744" s="5"/>
      <c r="R744" s="7"/>
      <c r="S744" s="3"/>
      <c r="T744" s="6"/>
      <c r="U744" s="6"/>
      <c r="V744" s="6"/>
      <c r="W744" s="6"/>
      <c r="X744" s="6"/>
      <c r="Y744" s="6"/>
      <c r="Z744" s="6"/>
      <c r="AA744" s="6"/>
      <c r="AB744" s="6"/>
      <c r="AC744" s="6"/>
      <c r="AD744" s="8"/>
      <c r="AE744" s="5"/>
      <c r="AF744" s="8"/>
      <c r="AG744" s="3"/>
      <c r="AH744" s="3"/>
      <c r="AI744" s="3"/>
      <c r="AJ744" s="3"/>
      <c r="AK744" s="3"/>
      <c r="AL744" s="9"/>
    </row>
    <row r="745" spans="1:38" ht="15.75" customHeight="1" x14ac:dyDescent="0.35">
      <c r="A745" s="3"/>
      <c r="B745" s="3"/>
      <c r="C745" s="3"/>
      <c r="D745" s="3"/>
      <c r="E745" s="3"/>
      <c r="F745" s="3"/>
      <c r="G745" s="3"/>
      <c r="H745" s="3"/>
      <c r="I745" s="3"/>
      <c r="J745" s="4"/>
      <c r="K745" s="227"/>
      <c r="L745" s="5"/>
      <c r="M745" s="5"/>
      <c r="N745" s="5"/>
      <c r="O745" s="6"/>
      <c r="P745" s="5"/>
      <c r="Q745" s="5"/>
      <c r="R745" s="7"/>
      <c r="S745" s="3"/>
      <c r="T745" s="6"/>
      <c r="U745" s="6"/>
      <c r="V745" s="6"/>
      <c r="W745" s="6"/>
      <c r="X745" s="6"/>
      <c r="Y745" s="6"/>
      <c r="Z745" s="6"/>
      <c r="AA745" s="6"/>
      <c r="AB745" s="6"/>
      <c r="AC745" s="6"/>
      <c r="AD745" s="8"/>
      <c r="AE745" s="5"/>
      <c r="AF745" s="8"/>
      <c r="AG745" s="3"/>
      <c r="AH745" s="3"/>
      <c r="AI745" s="3"/>
      <c r="AJ745" s="3"/>
      <c r="AK745" s="3"/>
      <c r="AL745" s="9"/>
    </row>
    <row r="746" spans="1:38" ht="15.75" customHeight="1" x14ac:dyDescent="0.35">
      <c r="A746" s="3"/>
      <c r="B746" s="3"/>
      <c r="C746" s="3"/>
      <c r="D746" s="3"/>
      <c r="E746" s="3"/>
      <c r="F746" s="3"/>
      <c r="G746" s="3"/>
      <c r="H746" s="3"/>
      <c r="I746" s="3"/>
      <c r="J746" s="4"/>
      <c r="K746" s="227"/>
      <c r="L746" s="5"/>
      <c r="M746" s="5"/>
      <c r="N746" s="5"/>
      <c r="O746" s="6"/>
      <c r="P746" s="5"/>
      <c r="Q746" s="5"/>
      <c r="R746" s="7"/>
      <c r="S746" s="3"/>
      <c r="T746" s="6"/>
      <c r="U746" s="6"/>
      <c r="V746" s="6"/>
      <c r="W746" s="6"/>
      <c r="X746" s="6"/>
      <c r="Y746" s="6"/>
      <c r="Z746" s="6"/>
      <c r="AA746" s="6"/>
      <c r="AB746" s="6"/>
      <c r="AC746" s="6"/>
      <c r="AD746" s="8"/>
      <c r="AE746" s="5"/>
      <c r="AF746" s="8"/>
      <c r="AG746" s="3"/>
      <c r="AH746" s="3"/>
      <c r="AI746" s="3"/>
      <c r="AJ746" s="3"/>
      <c r="AK746" s="3"/>
      <c r="AL746" s="9"/>
    </row>
    <row r="747" spans="1:38" ht="15.75" customHeight="1" x14ac:dyDescent="0.35">
      <c r="A747" s="3"/>
      <c r="B747" s="3"/>
      <c r="C747" s="3"/>
      <c r="D747" s="3"/>
      <c r="E747" s="3"/>
      <c r="F747" s="3"/>
      <c r="G747" s="3"/>
      <c r="H747" s="3"/>
      <c r="I747" s="3"/>
      <c r="J747" s="4"/>
      <c r="K747" s="227"/>
      <c r="L747" s="5"/>
      <c r="M747" s="5"/>
      <c r="N747" s="5"/>
      <c r="O747" s="6"/>
      <c r="P747" s="5"/>
      <c r="Q747" s="5"/>
      <c r="R747" s="7"/>
      <c r="S747" s="3"/>
      <c r="T747" s="6"/>
      <c r="U747" s="6"/>
      <c r="V747" s="6"/>
      <c r="W747" s="6"/>
      <c r="X747" s="6"/>
      <c r="Y747" s="6"/>
      <c r="Z747" s="6"/>
      <c r="AA747" s="6"/>
      <c r="AB747" s="6"/>
      <c r="AC747" s="6"/>
      <c r="AD747" s="8"/>
      <c r="AE747" s="5"/>
      <c r="AF747" s="8"/>
      <c r="AG747" s="3"/>
      <c r="AH747" s="3"/>
      <c r="AI747" s="3"/>
      <c r="AJ747" s="3"/>
      <c r="AK747" s="3"/>
      <c r="AL747" s="9"/>
    </row>
    <row r="748" spans="1:38" ht="15.75" customHeight="1" x14ac:dyDescent="0.35">
      <c r="A748" s="3"/>
      <c r="B748" s="3"/>
      <c r="C748" s="3"/>
      <c r="D748" s="3"/>
      <c r="E748" s="3"/>
      <c r="F748" s="3"/>
      <c r="G748" s="3"/>
      <c r="H748" s="3"/>
      <c r="I748" s="3"/>
      <c r="J748" s="4"/>
      <c r="K748" s="227"/>
      <c r="L748" s="5"/>
      <c r="M748" s="5"/>
      <c r="N748" s="5"/>
      <c r="O748" s="6"/>
      <c r="P748" s="5"/>
      <c r="Q748" s="5"/>
      <c r="R748" s="7"/>
      <c r="S748" s="3"/>
      <c r="T748" s="6"/>
      <c r="U748" s="6"/>
      <c r="V748" s="6"/>
      <c r="W748" s="6"/>
      <c r="X748" s="6"/>
      <c r="Y748" s="6"/>
      <c r="Z748" s="6"/>
      <c r="AA748" s="6"/>
      <c r="AB748" s="6"/>
      <c r="AC748" s="6"/>
      <c r="AD748" s="8"/>
      <c r="AE748" s="5"/>
      <c r="AF748" s="8"/>
      <c r="AG748" s="3"/>
      <c r="AH748" s="3"/>
      <c r="AI748" s="3"/>
      <c r="AJ748" s="3"/>
      <c r="AK748" s="3"/>
      <c r="AL748" s="9"/>
    </row>
  </sheetData>
  <autoFilter ref="A3:AV548" xr:uid="{00000000-0001-0000-0000-000000000000}"/>
  <mergeCells count="5">
    <mergeCell ref="AG1:AL1"/>
    <mergeCell ref="A1:I1"/>
    <mergeCell ref="J1:R1"/>
    <mergeCell ref="S1:AD1"/>
    <mergeCell ref="AE1:AF1"/>
  </mergeCells>
  <conditionalFormatting sqref="AH551">
    <cfRule type="notContainsBlanks" dxfId="0" priority="1">
      <formula>LEN(TRIM(AH551))&gt;0</formula>
    </cfRule>
  </conditionalFormatting>
  <pageMargins left="0.7" right="0.7" top="0.75" bottom="0.75" header="0" footer="0"/>
  <pageSetup orientation="portrait"/>
  <rowBreaks count="2" manualBreakCount="2">
    <brk id="357" man="1"/>
    <brk id="396" man="1"/>
  </rowBreaks>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G1000"/>
  <sheetViews>
    <sheetView workbookViewId="0"/>
  </sheetViews>
  <sheetFormatPr defaultColWidth="14.453125" defaultRowHeight="15" customHeight="1" x14ac:dyDescent="0.35"/>
  <cols>
    <col min="1" max="1" width="8.81640625" customWidth="1"/>
    <col min="2" max="2" width="24.54296875" customWidth="1"/>
    <col min="3" max="3" width="12.453125" customWidth="1"/>
    <col min="4" max="7" width="8.81640625" customWidth="1"/>
  </cols>
  <sheetData>
    <row r="1" spans="2:7" ht="14.25" customHeight="1" x14ac:dyDescent="0.35">
      <c r="C1" s="11" t="s">
        <v>1567</v>
      </c>
      <c r="D1" s="11" t="s">
        <v>1568</v>
      </c>
      <c r="E1" s="11" t="s">
        <v>64</v>
      </c>
      <c r="F1" s="11" t="s">
        <v>1569</v>
      </c>
      <c r="G1" s="11" t="s">
        <v>1570</v>
      </c>
    </row>
    <row r="2" spans="2:7" ht="14.25" customHeight="1" x14ac:dyDescent="0.35">
      <c r="B2" s="11" t="s">
        <v>49</v>
      </c>
      <c r="C2" s="11">
        <v>622.11177280772063</v>
      </c>
      <c r="D2" s="11">
        <v>0</v>
      </c>
      <c r="E2" s="11">
        <v>0</v>
      </c>
      <c r="F2" s="11">
        <v>586.50735294117646</v>
      </c>
      <c r="G2" s="11">
        <v>35.604419866544113</v>
      </c>
    </row>
    <row r="3" spans="2:7" ht="14.25" customHeight="1" x14ac:dyDescent="0.35">
      <c r="B3" s="11" t="s">
        <v>58</v>
      </c>
      <c r="D3" s="11">
        <v>0</v>
      </c>
    </row>
    <row r="4" spans="2:7" ht="14.25" customHeight="1" x14ac:dyDescent="0.35">
      <c r="B4" s="11" t="s">
        <v>63</v>
      </c>
      <c r="D4" s="11">
        <v>0</v>
      </c>
    </row>
    <row r="5" spans="2:7" ht="14.25" customHeight="1" x14ac:dyDescent="0.35">
      <c r="B5" s="11" t="s">
        <v>68</v>
      </c>
      <c r="D5" s="11">
        <v>0</v>
      </c>
    </row>
    <row r="6" spans="2:7" ht="14.25" customHeight="1" x14ac:dyDescent="0.35">
      <c r="B6" s="11" t="s">
        <v>71</v>
      </c>
      <c r="C6" s="11">
        <v>33.808320000000009</v>
      </c>
      <c r="D6" s="11">
        <v>0</v>
      </c>
      <c r="E6" s="11">
        <v>33.808320000000009</v>
      </c>
      <c r="F6" s="11">
        <v>0</v>
      </c>
      <c r="G6" s="11">
        <v>0</v>
      </c>
    </row>
    <row r="7" spans="2:7" ht="14.25" customHeight="1" x14ac:dyDescent="0.35">
      <c r="B7" s="11" t="s">
        <v>75</v>
      </c>
      <c r="C7" s="11">
        <v>261.71138461399977</v>
      </c>
      <c r="D7" s="11">
        <v>0</v>
      </c>
      <c r="E7" s="11">
        <v>0</v>
      </c>
      <c r="F7" s="11">
        <v>30.430488477374798</v>
      </c>
      <c r="G7" s="11">
        <v>231.28089613662496</v>
      </c>
    </row>
    <row r="8" spans="2:7" ht="14.25" customHeight="1" x14ac:dyDescent="0.35">
      <c r="B8" s="11" t="s">
        <v>79</v>
      </c>
      <c r="C8" s="11">
        <v>33.808320000000009</v>
      </c>
      <c r="D8" s="11">
        <v>0</v>
      </c>
      <c r="E8" s="11">
        <v>33.808320000000009</v>
      </c>
      <c r="F8" s="11">
        <v>0</v>
      </c>
      <c r="G8" s="11">
        <v>0</v>
      </c>
    </row>
    <row r="9" spans="2:7" ht="14.25" customHeight="1" x14ac:dyDescent="0.35">
      <c r="B9" s="11" t="s">
        <v>83</v>
      </c>
      <c r="C9" s="11">
        <v>1009.6323239487058</v>
      </c>
      <c r="D9" s="11">
        <v>0</v>
      </c>
      <c r="E9" s="11">
        <v>0</v>
      </c>
      <c r="F9" s="11">
        <v>0</v>
      </c>
      <c r="G9" s="11">
        <v>1009.6323239487058</v>
      </c>
    </row>
    <row r="10" spans="2:7" ht="14.25" customHeight="1" x14ac:dyDescent="0.35">
      <c r="B10" s="11" t="s">
        <v>89</v>
      </c>
      <c r="C10" s="11">
        <v>0.37926000000000004</v>
      </c>
      <c r="D10" s="11">
        <v>0</v>
      </c>
      <c r="E10" s="11">
        <v>0.37926000000000004</v>
      </c>
      <c r="F10" s="11">
        <v>0</v>
      </c>
      <c r="G10" s="11">
        <v>0</v>
      </c>
    </row>
    <row r="11" spans="2:7" ht="14.25" customHeight="1" x14ac:dyDescent="0.35">
      <c r="B11" s="11" t="s">
        <v>100</v>
      </c>
      <c r="C11" s="11">
        <v>23.581324627422891</v>
      </c>
      <c r="D11" s="11">
        <v>0</v>
      </c>
      <c r="E11" s="11">
        <v>23.581324627422891</v>
      </c>
      <c r="F11" s="11">
        <v>0</v>
      </c>
      <c r="G11" s="11">
        <v>0</v>
      </c>
    </row>
    <row r="12" spans="2:7" ht="14.25" customHeight="1" x14ac:dyDescent="0.35">
      <c r="B12" s="11" t="s">
        <v>109</v>
      </c>
      <c r="C12" s="11">
        <v>2.0012705374827733</v>
      </c>
      <c r="D12" s="11">
        <v>0</v>
      </c>
      <c r="E12" s="11">
        <v>2.0012705374827733</v>
      </c>
      <c r="F12" s="11">
        <v>0</v>
      </c>
      <c r="G12" s="11">
        <v>0</v>
      </c>
    </row>
    <row r="13" spans="2:7" ht="14.25" customHeight="1" x14ac:dyDescent="0.35">
      <c r="B13" s="11" t="s">
        <v>113</v>
      </c>
      <c r="C13" s="11">
        <v>304.49330588688815</v>
      </c>
      <c r="D13" s="11">
        <v>0</v>
      </c>
      <c r="E13" s="11">
        <v>4.0062448331578064</v>
      </c>
      <c r="F13" s="11">
        <v>300.48706105373037</v>
      </c>
      <c r="G13" s="11">
        <v>0</v>
      </c>
    </row>
    <row r="14" spans="2:7" ht="14.25" customHeight="1" x14ac:dyDescent="0.35">
      <c r="B14" s="11" t="s">
        <v>67</v>
      </c>
      <c r="C14" s="11">
        <v>10.54365193504465</v>
      </c>
      <c r="D14" s="11">
        <v>0</v>
      </c>
      <c r="E14" s="11">
        <v>10.54365193504465</v>
      </c>
      <c r="F14" s="11">
        <v>0</v>
      </c>
      <c r="G14" s="11">
        <v>0</v>
      </c>
    </row>
    <row r="15" spans="2:7" ht="14.25" customHeight="1" x14ac:dyDescent="0.35">
      <c r="B15" s="11" t="s">
        <v>133</v>
      </c>
      <c r="C15" s="11">
        <v>212.82650386118382</v>
      </c>
      <c r="D15" s="11">
        <v>0</v>
      </c>
      <c r="E15" s="11">
        <v>0.11560668443383999</v>
      </c>
      <c r="F15" s="11">
        <v>0</v>
      </c>
      <c r="G15" s="11">
        <v>212.71089717675</v>
      </c>
    </row>
    <row r="16" spans="2:7" ht="14.25" customHeight="1" x14ac:dyDescent="0.35">
      <c r="B16" s="11" t="s">
        <v>140</v>
      </c>
      <c r="C16" s="11">
        <v>2583.7740982772912</v>
      </c>
      <c r="D16" s="11">
        <v>414.98729611693676</v>
      </c>
      <c r="E16" s="11">
        <v>0.28361452956899996</v>
      </c>
      <c r="F16" s="11">
        <v>0</v>
      </c>
      <c r="G16" s="11">
        <v>2168.5031876307849</v>
      </c>
    </row>
    <row r="17" spans="2:7" ht="14.25" customHeight="1" x14ac:dyDescent="0.35">
      <c r="B17" s="11" t="s">
        <v>150</v>
      </c>
      <c r="C17" s="11">
        <v>1.2965235637439999E-2</v>
      </c>
      <c r="D17" s="11">
        <v>0</v>
      </c>
      <c r="E17" s="11">
        <v>1.2965235637439999E-2</v>
      </c>
      <c r="F17" s="11">
        <v>0</v>
      </c>
      <c r="G17" s="11">
        <v>0</v>
      </c>
    </row>
    <row r="18" spans="2:7" ht="14.25" customHeight="1" x14ac:dyDescent="0.35">
      <c r="B18" s="11" t="s">
        <v>155</v>
      </c>
      <c r="C18" s="11">
        <v>13.131461747254928</v>
      </c>
      <c r="D18" s="11">
        <v>10.910084708040207</v>
      </c>
      <c r="E18" s="11">
        <v>2.2213770392147199</v>
      </c>
      <c r="F18" s="11">
        <v>0</v>
      </c>
      <c r="G18" s="11">
        <v>0</v>
      </c>
    </row>
    <row r="19" spans="2:7" ht="14.25" customHeight="1" x14ac:dyDescent="0.35">
      <c r="B19" s="11" t="s">
        <v>188</v>
      </c>
      <c r="C19" s="11">
        <v>378.15270609199996</v>
      </c>
      <c r="D19" s="11">
        <v>0</v>
      </c>
      <c r="E19" s="11">
        <v>0</v>
      </c>
      <c r="F19" s="11">
        <v>0</v>
      </c>
      <c r="G19" s="11">
        <v>378.15270609199996</v>
      </c>
    </row>
    <row r="20" spans="2:7" ht="14.25" customHeight="1" x14ac:dyDescent="0.35">
      <c r="B20" s="11" t="s">
        <v>194</v>
      </c>
      <c r="C20" s="11">
        <v>378.15270609199996</v>
      </c>
      <c r="D20" s="11">
        <v>0</v>
      </c>
      <c r="E20" s="11">
        <v>0</v>
      </c>
      <c r="F20" s="11">
        <v>0</v>
      </c>
      <c r="G20" s="11">
        <v>378.15270609199996</v>
      </c>
    </row>
    <row r="21" spans="2:7" ht="14.25" customHeight="1" x14ac:dyDescent="0.35">
      <c r="B21" s="11" t="s">
        <v>422</v>
      </c>
      <c r="C21" s="11">
        <v>0.6311098675747514</v>
      </c>
      <c r="D21" s="11">
        <v>0</v>
      </c>
      <c r="E21" s="11">
        <v>0.6311098675747514</v>
      </c>
      <c r="F21" s="11">
        <v>0</v>
      </c>
      <c r="G21" s="11">
        <v>0</v>
      </c>
    </row>
    <row r="22" spans="2:7" ht="14.25" customHeight="1" x14ac:dyDescent="0.35">
      <c r="B22" s="11" t="s">
        <v>217</v>
      </c>
      <c r="C22" s="11">
        <v>17.891329680708765</v>
      </c>
      <c r="D22" s="11">
        <v>0</v>
      </c>
      <c r="E22" s="11">
        <v>0</v>
      </c>
      <c r="F22" s="11">
        <v>0</v>
      </c>
      <c r="G22" s="11">
        <v>17.891329680708765</v>
      </c>
    </row>
    <row r="23" spans="2:7" ht="14.25" customHeight="1" x14ac:dyDescent="0.35">
      <c r="B23" s="11" t="s">
        <v>229</v>
      </c>
      <c r="C23" s="11">
        <v>10.610824680708767</v>
      </c>
      <c r="D23" s="11">
        <v>0</v>
      </c>
      <c r="E23" s="11">
        <v>0</v>
      </c>
      <c r="G23" s="11">
        <v>10.610824680708767</v>
      </c>
    </row>
    <row r="24" spans="2:7" ht="14.25" customHeight="1" x14ac:dyDescent="0.35">
      <c r="B24" s="11" t="s">
        <v>233</v>
      </c>
      <c r="C24" s="11">
        <v>19.962674999999997</v>
      </c>
      <c r="D24" s="11">
        <v>0</v>
      </c>
      <c r="E24" s="11">
        <v>0</v>
      </c>
      <c r="F24" s="11">
        <v>0</v>
      </c>
      <c r="G24" s="11">
        <v>19.962674999999997</v>
      </c>
    </row>
    <row r="25" spans="2:7" ht="14.25" customHeight="1" x14ac:dyDescent="0.35">
      <c r="B25" s="11" t="s">
        <v>124</v>
      </c>
      <c r="C25" s="11">
        <v>2.4349648442439067</v>
      </c>
      <c r="D25" s="11">
        <v>0</v>
      </c>
      <c r="E25" s="11">
        <v>2.4349648442439067</v>
      </c>
      <c r="F25" s="11">
        <v>0</v>
      </c>
      <c r="G25" s="11">
        <v>0</v>
      </c>
    </row>
    <row r="26" spans="2:7" ht="14.25" customHeight="1" x14ac:dyDescent="0.35">
      <c r="B26" s="11" t="s">
        <v>244</v>
      </c>
      <c r="C26" s="11">
        <v>0.37994206182119683</v>
      </c>
      <c r="D26" s="11">
        <v>0</v>
      </c>
      <c r="E26" s="11">
        <v>0</v>
      </c>
      <c r="F26" s="11">
        <v>0</v>
      </c>
      <c r="G26" s="11">
        <v>0.37994206182119683</v>
      </c>
    </row>
    <row r="27" spans="2:7" ht="14.25" customHeight="1" x14ac:dyDescent="0.35">
      <c r="B27" s="11" t="s">
        <v>251</v>
      </c>
      <c r="C27" s="11">
        <v>2.16</v>
      </c>
      <c r="D27" s="11">
        <v>0</v>
      </c>
      <c r="E27" s="11">
        <v>2.16</v>
      </c>
      <c r="F27" s="11">
        <v>0</v>
      </c>
      <c r="G27" s="11">
        <v>0</v>
      </c>
    </row>
    <row r="28" spans="2:7" ht="14.25" customHeight="1" x14ac:dyDescent="0.35">
      <c r="B28" s="11" t="s">
        <v>256</v>
      </c>
      <c r="C28" s="11">
        <v>46.800000000000004</v>
      </c>
      <c r="D28" s="11">
        <v>0</v>
      </c>
      <c r="E28" s="11">
        <v>0</v>
      </c>
      <c r="F28" s="11">
        <v>46.800000000000004</v>
      </c>
      <c r="G28" s="11">
        <v>0</v>
      </c>
    </row>
    <row r="29" spans="2:7" ht="14.25" customHeight="1" x14ac:dyDescent="0.35">
      <c r="B29" s="11" t="s">
        <v>261</v>
      </c>
      <c r="C29" s="11">
        <v>11.142857142857144</v>
      </c>
      <c r="D29" s="11">
        <v>0</v>
      </c>
      <c r="E29" s="11">
        <v>11.142857142857144</v>
      </c>
      <c r="F29" s="11">
        <v>0</v>
      </c>
      <c r="G29" s="11">
        <v>0</v>
      </c>
    </row>
    <row r="30" spans="2:7" ht="14.25" customHeight="1" x14ac:dyDescent="0.35">
      <c r="B30" s="11" t="s">
        <v>266</v>
      </c>
      <c r="C30" s="11">
        <v>2.9520000000000004</v>
      </c>
      <c r="D30" s="11">
        <v>0</v>
      </c>
      <c r="E30" s="11">
        <v>7.2000000000000008E-2</v>
      </c>
      <c r="F30" s="11">
        <v>2.8800000000000003</v>
      </c>
      <c r="G30" s="11">
        <v>0</v>
      </c>
    </row>
    <row r="31" spans="2:7" ht="14.25" customHeight="1" x14ac:dyDescent="0.35">
      <c r="B31" s="11" t="s">
        <v>271</v>
      </c>
      <c r="C31" s="11">
        <v>4.3200000000000002E-2</v>
      </c>
      <c r="D31" s="11">
        <v>0</v>
      </c>
      <c r="E31" s="11">
        <v>4.3200000000000002E-2</v>
      </c>
      <c r="F31" s="11">
        <v>0</v>
      </c>
      <c r="G31" s="11">
        <v>0</v>
      </c>
    </row>
    <row r="32" spans="2:7" ht="14.25" customHeight="1" x14ac:dyDescent="0.35">
      <c r="B32" s="11" t="s">
        <v>1571</v>
      </c>
      <c r="C32" s="11">
        <v>30.168000000000003</v>
      </c>
      <c r="D32" s="11">
        <v>0</v>
      </c>
      <c r="E32" s="11">
        <v>1.3680000000000001</v>
      </c>
      <c r="F32" s="11">
        <v>28.8</v>
      </c>
      <c r="G32" s="11">
        <v>0</v>
      </c>
    </row>
    <row r="33" spans="2:7" ht="14.25" customHeight="1" x14ac:dyDescent="0.35">
      <c r="B33" s="11" t="s">
        <v>275</v>
      </c>
      <c r="C33" s="11">
        <v>4.6080000000000005</v>
      </c>
      <c r="D33" s="11">
        <v>0</v>
      </c>
      <c r="E33" s="11">
        <v>1.0080000000000002</v>
      </c>
      <c r="F33" s="11">
        <v>3.6</v>
      </c>
      <c r="G33" s="11">
        <v>0</v>
      </c>
    </row>
    <row r="34" spans="2:7" ht="14.25" customHeight="1" x14ac:dyDescent="0.35">
      <c r="B34" s="10" t="s">
        <v>1545</v>
      </c>
    </row>
    <row r="35" spans="2:7" ht="14.25" customHeight="1" x14ac:dyDescent="0.35">
      <c r="B35" s="10" t="s">
        <v>1549</v>
      </c>
    </row>
    <row r="36" spans="2:7" ht="14.25" customHeight="1" x14ac:dyDescent="0.35">
      <c r="B36" s="10" t="s">
        <v>1572</v>
      </c>
    </row>
    <row r="37" spans="2:7" ht="14.25" customHeight="1" x14ac:dyDescent="0.35"/>
    <row r="38" spans="2:7" ht="14.25" customHeight="1" x14ac:dyDescent="0.35"/>
    <row r="39" spans="2:7" ht="14.25" customHeight="1" x14ac:dyDescent="0.35"/>
    <row r="40" spans="2:7" ht="14.25" customHeight="1" x14ac:dyDescent="0.35"/>
    <row r="41" spans="2:7" ht="14.25" customHeight="1" x14ac:dyDescent="0.35"/>
    <row r="42" spans="2:7" ht="14.25" customHeight="1" x14ac:dyDescent="0.35">
      <c r="C42" s="11" t="s">
        <v>1573</v>
      </c>
      <c r="D42" s="11" t="s">
        <v>1574</v>
      </c>
    </row>
    <row r="43" spans="2:7" ht="14.25" customHeight="1" x14ac:dyDescent="0.35">
      <c r="B43" s="11" t="s">
        <v>77</v>
      </c>
      <c r="C43" s="11">
        <v>0</v>
      </c>
      <c r="D43" s="11">
        <v>25</v>
      </c>
    </row>
    <row r="44" spans="2:7" ht="14.25" customHeight="1" x14ac:dyDescent="0.35">
      <c r="B44" s="11" t="s">
        <v>161</v>
      </c>
      <c r="C44" s="11">
        <v>231.28089613662496</v>
      </c>
      <c r="D44" s="11">
        <v>150</v>
      </c>
    </row>
    <row r="45" spans="2:7" ht="14.25" customHeight="1" x14ac:dyDescent="0.35">
      <c r="B45" s="11" t="s">
        <v>1575</v>
      </c>
      <c r="C45" s="11">
        <v>13.923042420155879</v>
      </c>
      <c r="D45" s="11">
        <v>50</v>
      </c>
    </row>
    <row r="46" spans="2:7" ht="14.25" customHeight="1" x14ac:dyDescent="0.35">
      <c r="B46" s="11" t="s">
        <v>180</v>
      </c>
      <c r="C46" s="11">
        <v>1.9215559650989198</v>
      </c>
      <c r="D46" s="11">
        <v>145</v>
      </c>
    </row>
    <row r="47" spans="2:7" ht="14.25" customHeight="1" x14ac:dyDescent="0.35">
      <c r="B47" s="11" t="s">
        <v>1576</v>
      </c>
      <c r="C47" s="11">
        <v>14.58589009212</v>
      </c>
      <c r="D47" s="11">
        <v>135</v>
      </c>
    </row>
    <row r="48" spans="2:7" ht="14.25" customHeight="1" x14ac:dyDescent="0.35">
      <c r="B48" s="11" t="s">
        <v>1575</v>
      </c>
      <c r="C48" s="11">
        <v>12.110610521672079</v>
      </c>
      <c r="D48" s="11">
        <v>121</v>
      </c>
    </row>
    <row r="49" spans="2:3" ht="14.25" customHeight="1" x14ac:dyDescent="0.35"/>
    <row r="50" spans="2:3" ht="14.25" customHeight="1" x14ac:dyDescent="0.35">
      <c r="B50" s="11" t="s">
        <v>1577</v>
      </c>
      <c r="C50" s="11">
        <f>C43+C45</f>
        <v>13.923042420155879</v>
      </c>
    </row>
    <row r="51" spans="2:3" ht="14.25" customHeight="1" x14ac:dyDescent="0.35">
      <c r="B51" s="11" t="s">
        <v>1578</v>
      </c>
      <c r="C51" s="11">
        <f>C48</f>
        <v>12.110610521672079</v>
      </c>
    </row>
    <row r="52" spans="2:3" ht="14.25" customHeight="1" x14ac:dyDescent="0.35">
      <c r="B52" s="11" t="s">
        <v>1579</v>
      </c>
      <c r="C52" s="11">
        <f>C44+C46+C47</f>
        <v>247.78834219384387</v>
      </c>
    </row>
    <row r="53" spans="2:3" ht="14.25" customHeight="1" x14ac:dyDescent="0.35"/>
    <row r="54" spans="2:3" ht="14.25" customHeight="1" x14ac:dyDescent="0.35"/>
    <row r="55" spans="2:3" ht="14.25" customHeight="1" x14ac:dyDescent="0.35"/>
    <row r="56" spans="2:3" ht="14.25" customHeight="1" x14ac:dyDescent="0.35"/>
    <row r="57" spans="2:3" ht="14.25" customHeight="1" x14ac:dyDescent="0.35"/>
    <row r="58" spans="2:3" ht="14.25" customHeight="1" x14ac:dyDescent="0.35"/>
    <row r="59" spans="2:3" ht="14.25" customHeight="1" x14ac:dyDescent="0.35"/>
    <row r="60" spans="2:3" ht="14.25" customHeight="1" x14ac:dyDescent="0.35"/>
    <row r="61" spans="2:3" ht="14.25" customHeight="1" x14ac:dyDescent="0.35"/>
    <row r="62" spans="2:3" ht="14.25" customHeight="1" x14ac:dyDescent="0.35"/>
    <row r="63" spans="2:3" ht="14.25" customHeight="1" x14ac:dyDescent="0.35"/>
    <row r="64" spans="2:3" ht="14.25" customHeight="1" x14ac:dyDescent="0.35"/>
    <row r="65" ht="14.25" customHeight="1" x14ac:dyDescent="0.35"/>
    <row r="66" ht="14.25" customHeight="1" x14ac:dyDescent="0.35"/>
    <row r="67" ht="14.25" customHeight="1" x14ac:dyDescent="0.35"/>
    <row r="68" ht="14.25" customHeight="1" x14ac:dyDescent="0.35"/>
    <row r="69" ht="14.25" customHeight="1" x14ac:dyDescent="0.35"/>
    <row r="70" ht="14.25" customHeight="1" x14ac:dyDescent="0.35"/>
    <row r="71" ht="14.25" customHeight="1" x14ac:dyDescent="0.35"/>
    <row r="72" ht="14.25" customHeight="1" x14ac:dyDescent="0.35"/>
    <row r="73" ht="14.25" customHeight="1" x14ac:dyDescent="0.35"/>
    <row r="74" ht="14.25" customHeight="1" x14ac:dyDescent="0.35"/>
    <row r="75" ht="14.25" customHeight="1" x14ac:dyDescent="0.35"/>
    <row r="76" ht="14.25" customHeight="1" x14ac:dyDescent="0.35"/>
    <row r="77" ht="14.25" customHeight="1" x14ac:dyDescent="0.35"/>
    <row r="78" ht="14.25" customHeight="1" x14ac:dyDescent="0.35"/>
    <row r="79" ht="14.25" customHeight="1" x14ac:dyDescent="0.35"/>
    <row r="80" ht="14.25" customHeight="1" x14ac:dyDescent="0.35"/>
    <row r="81" ht="14.25" customHeight="1" x14ac:dyDescent="0.35"/>
    <row r="82" ht="14.25" customHeight="1" x14ac:dyDescent="0.35"/>
    <row r="83" ht="14.25" customHeight="1" x14ac:dyDescent="0.35"/>
    <row r="84" ht="14.25" customHeight="1" x14ac:dyDescent="0.35"/>
    <row r="85" ht="14.25" customHeight="1" x14ac:dyDescent="0.35"/>
    <row r="86" ht="14.25" customHeight="1" x14ac:dyDescent="0.35"/>
    <row r="87" ht="14.25" customHeight="1" x14ac:dyDescent="0.35"/>
    <row r="88" ht="14.25" customHeight="1" x14ac:dyDescent="0.35"/>
    <row r="89" ht="14.25" customHeight="1" x14ac:dyDescent="0.35"/>
    <row r="90" ht="14.25" customHeight="1" x14ac:dyDescent="0.35"/>
    <row r="91" ht="14.25" customHeight="1" x14ac:dyDescent="0.35"/>
    <row r="92" ht="14.25" customHeight="1" x14ac:dyDescent="0.35"/>
    <row r="93" ht="14.25" customHeight="1" x14ac:dyDescent="0.35"/>
    <row r="94" ht="14.25" customHeight="1" x14ac:dyDescent="0.35"/>
    <row r="95" ht="14.25" customHeight="1" x14ac:dyDescent="0.35"/>
    <row r="96" ht="14.25" customHeight="1" x14ac:dyDescent="0.35"/>
    <row r="97" ht="14.25" customHeight="1" x14ac:dyDescent="0.35"/>
    <row r="98" ht="14.25" customHeight="1" x14ac:dyDescent="0.35"/>
    <row r="99" ht="14.25" customHeight="1" x14ac:dyDescent="0.35"/>
    <row r="100" ht="14.25" customHeight="1" x14ac:dyDescent="0.35"/>
    <row r="101" ht="14.25" customHeight="1" x14ac:dyDescent="0.35"/>
    <row r="102" ht="14.25" customHeight="1" x14ac:dyDescent="0.35"/>
    <row r="103" ht="14.25" customHeight="1" x14ac:dyDescent="0.35"/>
    <row r="104" ht="14.25" customHeight="1" x14ac:dyDescent="0.35"/>
    <row r="105" ht="14.25" customHeight="1" x14ac:dyDescent="0.35"/>
    <row r="106" ht="14.25" customHeight="1" x14ac:dyDescent="0.35"/>
    <row r="107" ht="14.25" customHeight="1" x14ac:dyDescent="0.35"/>
    <row r="108" ht="14.25" customHeight="1" x14ac:dyDescent="0.35"/>
    <row r="109" ht="14.25" customHeight="1" x14ac:dyDescent="0.35"/>
    <row r="110" ht="14.25" customHeight="1" x14ac:dyDescent="0.35"/>
    <row r="111" ht="14.25" customHeight="1" x14ac:dyDescent="0.35"/>
    <row r="112" ht="14.25" customHeight="1" x14ac:dyDescent="0.35"/>
    <row r="113" ht="14.25" customHeight="1" x14ac:dyDescent="0.35"/>
    <row r="114" ht="14.25" customHeight="1" x14ac:dyDescent="0.35"/>
    <row r="115" ht="14.25" customHeight="1" x14ac:dyDescent="0.35"/>
    <row r="116" ht="14.25" customHeight="1" x14ac:dyDescent="0.35"/>
    <row r="117" ht="14.25" customHeight="1" x14ac:dyDescent="0.35"/>
    <row r="118" ht="14.25" customHeight="1" x14ac:dyDescent="0.35"/>
    <row r="119" ht="14.25" customHeight="1" x14ac:dyDescent="0.35"/>
    <row r="120" ht="14.25" customHeight="1" x14ac:dyDescent="0.35"/>
    <row r="121" ht="14.25" customHeight="1" x14ac:dyDescent="0.35"/>
    <row r="122" ht="14.25" customHeight="1" x14ac:dyDescent="0.35"/>
    <row r="123" ht="14.25" customHeight="1" x14ac:dyDescent="0.35"/>
    <row r="124" ht="14.25" customHeight="1" x14ac:dyDescent="0.35"/>
    <row r="125" ht="14.25" customHeight="1" x14ac:dyDescent="0.35"/>
    <row r="126" ht="14.25" customHeight="1" x14ac:dyDescent="0.35"/>
    <row r="127" ht="14.25" customHeight="1" x14ac:dyDescent="0.35"/>
    <row r="128" ht="14.25" customHeight="1" x14ac:dyDescent="0.35"/>
    <row r="129" ht="14.25" customHeight="1" x14ac:dyDescent="0.35"/>
    <row r="130" ht="14.25" customHeight="1" x14ac:dyDescent="0.35"/>
    <row r="131" ht="14.25" customHeight="1" x14ac:dyDescent="0.35"/>
    <row r="132" ht="14.25" customHeight="1" x14ac:dyDescent="0.35"/>
    <row r="133" ht="14.25" customHeight="1" x14ac:dyDescent="0.35"/>
    <row r="134" ht="14.25" customHeight="1" x14ac:dyDescent="0.35"/>
    <row r="135" ht="14.25" customHeight="1" x14ac:dyDescent="0.35"/>
    <row r="136" ht="14.25" customHeight="1" x14ac:dyDescent="0.35"/>
    <row r="137" ht="14.25" customHeight="1" x14ac:dyDescent="0.35"/>
    <row r="138" ht="14.25" customHeight="1" x14ac:dyDescent="0.35"/>
    <row r="139" ht="14.25" customHeight="1" x14ac:dyDescent="0.35"/>
    <row r="140" ht="14.25" customHeight="1" x14ac:dyDescent="0.35"/>
    <row r="141" ht="14.25" customHeight="1" x14ac:dyDescent="0.35"/>
    <row r="142" ht="14.25" customHeight="1" x14ac:dyDescent="0.35"/>
    <row r="143" ht="14.25" customHeight="1" x14ac:dyDescent="0.35"/>
    <row r="144" ht="14.25" customHeight="1" x14ac:dyDescent="0.35"/>
    <row r="145" ht="14.25" customHeight="1" x14ac:dyDescent="0.35"/>
    <row r="146" ht="14.25" customHeight="1" x14ac:dyDescent="0.35"/>
    <row r="147" ht="14.25" customHeight="1" x14ac:dyDescent="0.35"/>
    <row r="148" ht="14.25" customHeight="1" x14ac:dyDescent="0.35"/>
    <row r="149" ht="14.25" customHeight="1" x14ac:dyDescent="0.35"/>
    <row r="150" ht="14.25" customHeight="1" x14ac:dyDescent="0.35"/>
    <row r="151" ht="14.25" customHeight="1" x14ac:dyDescent="0.35"/>
    <row r="152" ht="14.25" customHeight="1" x14ac:dyDescent="0.35"/>
    <row r="153" ht="14.25" customHeight="1" x14ac:dyDescent="0.35"/>
    <row r="154" ht="14.25" customHeight="1" x14ac:dyDescent="0.35"/>
    <row r="155" ht="14.25" customHeight="1" x14ac:dyDescent="0.35"/>
    <row r="156" ht="14.25" customHeight="1" x14ac:dyDescent="0.35"/>
    <row r="157" ht="14.25" customHeight="1" x14ac:dyDescent="0.35"/>
    <row r="158" ht="14.25" customHeight="1" x14ac:dyDescent="0.35"/>
    <row r="159" ht="14.25" customHeight="1" x14ac:dyDescent="0.35"/>
    <row r="160" ht="14.25" customHeight="1" x14ac:dyDescent="0.35"/>
    <row r="161" ht="14.25" customHeight="1" x14ac:dyDescent="0.35"/>
    <row r="162" ht="14.25" customHeight="1" x14ac:dyDescent="0.35"/>
    <row r="163" ht="14.25" customHeight="1" x14ac:dyDescent="0.35"/>
    <row r="164" ht="14.25" customHeight="1" x14ac:dyDescent="0.35"/>
    <row r="165" ht="14.25" customHeight="1" x14ac:dyDescent="0.35"/>
    <row r="166" ht="14.25" customHeight="1" x14ac:dyDescent="0.35"/>
    <row r="167" ht="14.25" customHeight="1" x14ac:dyDescent="0.35"/>
    <row r="168" ht="14.25" customHeight="1" x14ac:dyDescent="0.35"/>
    <row r="169" ht="14.25" customHeight="1" x14ac:dyDescent="0.35"/>
    <row r="170" ht="14.25" customHeight="1" x14ac:dyDescent="0.35"/>
    <row r="171" ht="14.25" customHeight="1" x14ac:dyDescent="0.35"/>
    <row r="172" ht="14.25" customHeight="1" x14ac:dyDescent="0.35"/>
    <row r="173" ht="14.25" customHeight="1" x14ac:dyDescent="0.35"/>
    <row r="174" ht="14.25" customHeight="1" x14ac:dyDescent="0.35"/>
    <row r="175" ht="14.25" customHeight="1" x14ac:dyDescent="0.35"/>
    <row r="176" ht="14.25" customHeight="1" x14ac:dyDescent="0.35"/>
    <row r="177" ht="14.25" customHeight="1" x14ac:dyDescent="0.35"/>
    <row r="178" ht="14.25" customHeight="1" x14ac:dyDescent="0.35"/>
    <row r="179" ht="14.25" customHeight="1" x14ac:dyDescent="0.35"/>
    <row r="180" ht="14.25" customHeight="1" x14ac:dyDescent="0.35"/>
    <row r="181" ht="14.25" customHeight="1" x14ac:dyDescent="0.35"/>
    <row r="182" ht="14.25" customHeight="1" x14ac:dyDescent="0.35"/>
    <row r="183" ht="14.25" customHeight="1" x14ac:dyDescent="0.35"/>
    <row r="184" ht="14.25" customHeight="1" x14ac:dyDescent="0.35"/>
    <row r="185" ht="14.25" customHeight="1" x14ac:dyDescent="0.35"/>
    <row r="186" ht="14.25" customHeight="1" x14ac:dyDescent="0.35"/>
    <row r="187" ht="14.25" customHeight="1" x14ac:dyDescent="0.35"/>
    <row r="188" ht="14.25" customHeight="1" x14ac:dyDescent="0.35"/>
    <row r="189" ht="14.25" customHeight="1" x14ac:dyDescent="0.35"/>
    <row r="190" ht="14.25" customHeight="1" x14ac:dyDescent="0.35"/>
    <row r="191" ht="14.25" customHeight="1" x14ac:dyDescent="0.35"/>
    <row r="192" ht="14.25" customHeight="1" x14ac:dyDescent="0.35"/>
    <row r="193" ht="14.25" customHeight="1" x14ac:dyDescent="0.35"/>
    <row r="194" ht="14.25" customHeight="1" x14ac:dyDescent="0.35"/>
    <row r="195" ht="14.25" customHeight="1" x14ac:dyDescent="0.35"/>
    <row r="196" ht="14.25" customHeight="1" x14ac:dyDescent="0.35"/>
    <row r="197" ht="14.25" customHeight="1" x14ac:dyDescent="0.35"/>
    <row r="198" ht="14.25" customHeight="1" x14ac:dyDescent="0.35"/>
    <row r="199" ht="14.25" customHeight="1" x14ac:dyDescent="0.35"/>
    <row r="200" ht="14.25" customHeight="1" x14ac:dyDescent="0.35"/>
    <row r="201" ht="14.25" customHeight="1" x14ac:dyDescent="0.35"/>
    <row r="202" ht="14.25" customHeight="1" x14ac:dyDescent="0.35"/>
    <row r="203" ht="14.25" customHeight="1" x14ac:dyDescent="0.35"/>
    <row r="204" ht="14.25" customHeight="1" x14ac:dyDescent="0.35"/>
    <row r="205" ht="14.25" customHeight="1" x14ac:dyDescent="0.35"/>
    <row r="206" ht="14.25" customHeight="1" x14ac:dyDescent="0.35"/>
    <row r="207" ht="14.25" customHeight="1" x14ac:dyDescent="0.35"/>
    <row r="208" ht="14.25" customHeight="1" x14ac:dyDescent="0.35"/>
    <row r="209" ht="14.25" customHeight="1" x14ac:dyDescent="0.35"/>
    <row r="210" ht="14.25" customHeight="1" x14ac:dyDescent="0.35"/>
    <row r="211" ht="14.25" customHeight="1" x14ac:dyDescent="0.35"/>
    <row r="212" ht="14.25" customHeight="1" x14ac:dyDescent="0.35"/>
    <row r="213" ht="14.25" customHeight="1" x14ac:dyDescent="0.35"/>
    <row r="214" ht="14.25" customHeight="1" x14ac:dyDescent="0.35"/>
    <row r="215" ht="14.25" customHeight="1" x14ac:dyDescent="0.35"/>
    <row r="216" ht="14.25" customHeight="1" x14ac:dyDescent="0.35"/>
    <row r="217" ht="14.25" customHeight="1" x14ac:dyDescent="0.35"/>
    <row r="218" ht="14.25" customHeight="1" x14ac:dyDescent="0.35"/>
    <row r="219" ht="14.25" customHeight="1" x14ac:dyDescent="0.35"/>
    <row r="220" ht="14.25" customHeight="1" x14ac:dyDescent="0.35"/>
    <row r="221" ht="14.25" customHeight="1" x14ac:dyDescent="0.35"/>
    <row r="222" ht="14.25" customHeight="1" x14ac:dyDescent="0.35"/>
    <row r="223" ht="14.25" customHeight="1" x14ac:dyDescent="0.35"/>
    <row r="224" ht="14.25" customHeight="1" x14ac:dyDescent="0.35"/>
    <row r="225" ht="14.25" customHeight="1" x14ac:dyDescent="0.35"/>
    <row r="226" ht="14.25" customHeight="1" x14ac:dyDescent="0.35"/>
    <row r="227" ht="14.25" customHeight="1" x14ac:dyDescent="0.35"/>
    <row r="228" ht="14.25" customHeight="1" x14ac:dyDescent="0.35"/>
    <row r="229" ht="14.25" customHeight="1" x14ac:dyDescent="0.35"/>
    <row r="230" ht="14.25" customHeight="1" x14ac:dyDescent="0.35"/>
    <row r="231" ht="14.25" customHeight="1" x14ac:dyDescent="0.35"/>
    <row r="232" ht="14.25" customHeight="1" x14ac:dyDescent="0.35"/>
    <row r="233" ht="14.25" customHeight="1" x14ac:dyDescent="0.35"/>
    <row r="234" ht="14.25" customHeight="1" x14ac:dyDescent="0.35"/>
    <row r="235" ht="14.25" customHeight="1" x14ac:dyDescent="0.35"/>
    <row r="236" ht="14.25" customHeight="1" x14ac:dyDescent="0.35"/>
    <row r="237" ht="14.25" customHeight="1" x14ac:dyDescent="0.35"/>
    <row r="238" ht="14.25" customHeight="1" x14ac:dyDescent="0.35"/>
    <row r="239" ht="14.25" customHeight="1" x14ac:dyDescent="0.35"/>
    <row r="240" ht="14.25" customHeight="1" x14ac:dyDescent="0.35"/>
    <row r="241" ht="14.25" customHeight="1" x14ac:dyDescent="0.35"/>
    <row r="242" ht="14.25" customHeight="1" x14ac:dyDescent="0.35"/>
    <row r="243" ht="14.25" customHeight="1" x14ac:dyDescent="0.35"/>
    <row r="244" ht="14.25" customHeight="1" x14ac:dyDescent="0.35"/>
    <row r="245" ht="14.25" customHeight="1" x14ac:dyDescent="0.35"/>
    <row r="246" ht="14.25" customHeight="1" x14ac:dyDescent="0.35"/>
    <row r="247" ht="14.25" customHeight="1" x14ac:dyDescent="0.35"/>
    <row r="248" ht="14.25" customHeight="1" x14ac:dyDescent="0.35"/>
    <row r="249" ht="14.25" customHeight="1" x14ac:dyDescent="0.35"/>
    <row r="250" ht="14.25" customHeight="1" x14ac:dyDescent="0.35"/>
    <row r="251" ht="14.25" customHeight="1" x14ac:dyDescent="0.35"/>
    <row r="252" ht="14.2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row r="809" ht="15.75" customHeight="1" x14ac:dyDescent="0.35"/>
    <row r="810" ht="15.75" customHeight="1" x14ac:dyDescent="0.35"/>
    <row r="811" ht="15.75" customHeight="1" x14ac:dyDescent="0.35"/>
    <row r="812" ht="15.75" customHeight="1" x14ac:dyDescent="0.35"/>
    <row r="813" ht="15.75" customHeight="1" x14ac:dyDescent="0.35"/>
    <row r="814" ht="15.75" customHeight="1" x14ac:dyDescent="0.35"/>
    <row r="815" ht="15.75" customHeight="1" x14ac:dyDescent="0.35"/>
    <row r="816" ht="15.75" customHeight="1" x14ac:dyDescent="0.35"/>
    <row r="817" ht="15.75" customHeight="1" x14ac:dyDescent="0.35"/>
    <row r="818" ht="15.75" customHeight="1" x14ac:dyDescent="0.35"/>
    <row r="819" ht="15.75" customHeight="1" x14ac:dyDescent="0.35"/>
    <row r="820" ht="15.75" customHeight="1" x14ac:dyDescent="0.35"/>
    <row r="821" ht="15.75" customHeight="1" x14ac:dyDescent="0.35"/>
    <row r="822" ht="15.75" customHeight="1" x14ac:dyDescent="0.35"/>
    <row r="823" ht="15.75" customHeight="1" x14ac:dyDescent="0.35"/>
    <row r="824" ht="15.75" customHeight="1" x14ac:dyDescent="0.35"/>
    <row r="825" ht="15.75" customHeight="1" x14ac:dyDescent="0.35"/>
    <row r="826" ht="15.75" customHeight="1" x14ac:dyDescent="0.35"/>
    <row r="827" ht="15.75" customHeight="1" x14ac:dyDescent="0.35"/>
    <row r="828" ht="15.75" customHeight="1" x14ac:dyDescent="0.35"/>
    <row r="829" ht="15.75" customHeight="1" x14ac:dyDescent="0.35"/>
    <row r="830" ht="15.75" customHeight="1" x14ac:dyDescent="0.35"/>
    <row r="831" ht="15.75" customHeight="1" x14ac:dyDescent="0.35"/>
    <row r="832" ht="15.75" customHeight="1" x14ac:dyDescent="0.35"/>
    <row r="833" ht="15.75" customHeight="1" x14ac:dyDescent="0.35"/>
    <row r="834" ht="15.75" customHeight="1" x14ac:dyDescent="0.35"/>
    <row r="835" ht="15.75" customHeight="1" x14ac:dyDescent="0.35"/>
    <row r="836" ht="15.75" customHeight="1" x14ac:dyDescent="0.35"/>
    <row r="837" ht="15.75" customHeight="1" x14ac:dyDescent="0.35"/>
    <row r="838" ht="15.75" customHeight="1" x14ac:dyDescent="0.35"/>
    <row r="839" ht="15.75" customHeight="1" x14ac:dyDescent="0.35"/>
    <row r="840" ht="15.75" customHeight="1" x14ac:dyDescent="0.35"/>
    <row r="841" ht="15.75" customHeight="1" x14ac:dyDescent="0.35"/>
    <row r="842" ht="15.75" customHeight="1" x14ac:dyDescent="0.35"/>
    <row r="843" ht="15.75" customHeight="1" x14ac:dyDescent="0.35"/>
    <row r="844" ht="15.75" customHeight="1" x14ac:dyDescent="0.35"/>
    <row r="845" ht="15.75" customHeight="1" x14ac:dyDescent="0.35"/>
    <row r="846" ht="15.75" customHeight="1" x14ac:dyDescent="0.35"/>
    <row r="847" ht="15.75" customHeight="1" x14ac:dyDescent="0.35"/>
    <row r="848" ht="15.75" customHeight="1" x14ac:dyDescent="0.35"/>
    <row r="849" ht="15.75" customHeight="1" x14ac:dyDescent="0.35"/>
    <row r="850" ht="15.75" customHeight="1" x14ac:dyDescent="0.35"/>
    <row r="851" ht="15.75" customHeight="1" x14ac:dyDescent="0.35"/>
    <row r="852" ht="15.75" customHeight="1" x14ac:dyDescent="0.35"/>
    <row r="853" ht="15.75" customHeight="1" x14ac:dyDescent="0.35"/>
    <row r="854" ht="15.75" customHeight="1" x14ac:dyDescent="0.35"/>
    <row r="855" ht="15.75" customHeight="1" x14ac:dyDescent="0.35"/>
    <row r="856" ht="15.75" customHeight="1" x14ac:dyDescent="0.35"/>
    <row r="857" ht="15.75" customHeight="1" x14ac:dyDescent="0.35"/>
    <row r="858" ht="15.75" customHeight="1" x14ac:dyDescent="0.35"/>
    <row r="859" ht="15.75" customHeight="1" x14ac:dyDescent="0.35"/>
    <row r="860" ht="15.75" customHeight="1" x14ac:dyDescent="0.35"/>
    <row r="861" ht="15.75" customHeight="1" x14ac:dyDescent="0.35"/>
    <row r="862" ht="15.75" customHeight="1" x14ac:dyDescent="0.35"/>
    <row r="863" ht="15.75" customHeight="1" x14ac:dyDescent="0.35"/>
    <row r="864" ht="15.75" customHeight="1" x14ac:dyDescent="0.35"/>
    <row r="865" ht="15.75" customHeight="1" x14ac:dyDescent="0.35"/>
    <row r="866" ht="15.75" customHeight="1" x14ac:dyDescent="0.35"/>
    <row r="867" ht="15.75" customHeight="1" x14ac:dyDescent="0.35"/>
    <row r="868" ht="15.75" customHeight="1" x14ac:dyDescent="0.35"/>
    <row r="869" ht="15.75" customHeight="1" x14ac:dyDescent="0.35"/>
    <row r="870" ht="15.75" customHeight="1" x14ac:dyDescent="0.35"/>
    <row r="871" ht="15.75" customHeight="1" x14ac:dyDescent="0.35"/>
    <row r="872" ht="15.75" customHeight="1" x14ac:dyDescent="0.35"/>
    <row r="873" ht="15.75" customHeight="1" x14ac:dyDescent="0.35"/>
    <row r="874" ht="15.75" customHeight="1" x14ac:dyDescent="0.35"/>
    <row r="875" ht="15.75" customHeight="1" x14ac:dyDescent="0.35"/>
    <row r="876" ht="15.75" customHeight="1" x14ac:dyDescent="0.35"/>
    <row r="877" ht="15.75" customHeight="1" x14ac:dyDescent="0.35"/>
    <row r="878" ht="15.75" customHeight="1" x14ac:dyDescent="0.35"/>
    <row r="879" ht="15.75" customHeight="1" x14ac:dyDescent="0.35"/>
    <row r="880" ht="15.75" customHeight="1" x14ac:dyDescent="0.35"/>
    <row r="881" ht="15.75" customHeight="1" x14ac:dyDescent="0.35"/>
    <row r="882" ht="15.75" customHeight="1" x14ac:dyDescent="0.35"/>
    <row r="883" ht="15.75" customHeight="1" x14ac:dyDescent="0.35"/>
    <row r="884" ht="15.75" customHeight="1" x14ac:dyDescent="0.35"/>
    <row r="885" ht="15.75" customHeight="1" x14ac:dyDescent="0.35"/>
    <row r="886" ht="15.75" customHeight="1" x14ac:dyDescent="0.35"/>
    <row r="887" ht="15.75" customHeight="1" x14ac:dyDescent="0.35"/>
    <row r="888" ht="15.75" customHeight="1" x14ac:dyDescent="0.35"/>
    <row r="889" ht="15.75" customHeight="1" x14ac:dyDescent="0.35"/>
    <row r="890" ht="15.75" customHeight="1" x14ac:dyDescent="0.35"/>
    <row r="891" ht="15.75" customHeight="1" x14ac:dyDescent="0.35"/>
    <row r="892" ht="15.75" customHeight="1" x14ac:dyDescent="0.35"/>
    <row r="893" ht="15.75" customHeight="1" x14ac:dyDescent="0.35"/>
    <row r="894" ht="15.75" customHeight="1" x14ac:dyDescent="0.35"/>
    <row r="895" ht="15.75" customHeight="1" x14ac:dyDescent="0.35"/>
    <row r="896" ht="15.75" customHeight="1" x14ac:dyDescent="0.35"/>
    <row r="897" ht="15.75" customHeight="1" x14ac:dyDescent="0.35"/>
    <row r="898" ht="15.75" customHeight="1" x14ac:dyDescent="0.35"/>
    <row r="899" ht="15.75" customHeight="1" x14ac:dyDescent="0.35"/>
    <row r="900" ht="15.75" customHeight="1" x14ac:dyDescent="0.35"/>
    <row r="901" ht="15.75" customHeight="1" x14ac:dyDescent="0.35"/>
    <row r="902" ht="15.75" customHeight="1" x14ac:dyDescent="0.35"/>
    <row r="903" ht="15.75" customHeight="1" x14ac:dyDescent="0.35"/>
    <row r="904" ht="15.75" customHeight="1" x14ac:dyDescent="0.35"/>
    <row r="905" ht="15.75" customHeight="1" x14ac:dyDescent="0.35"/>
    <row r="906" ht="15.75" customHeight="1" x14ac:dyDescent="0.35"/>
    <row r="907" ht="15.75" customHeight="1" x14ac:dyDescent="0.35"/>
    <row r="908" ht="15.75" customHeight="1" x14ac:dyDescent="0.35"/>
    <row r="909" ht="15.75" customHeight="1" x14ac:dyDescent="0.35"/>
    <row r="910" ht="15.75" customHeight="1" x14ac:dyDescent="0.35"/>
    <row r="911" ht="15.75" customHeight="1" x14ac:dyDescent="0.35"/>
    <row r="912" ht="15.75" customHeight="1" x14ac:dyDescent="0.35"/>
    <row r="913" ht="15.75" customHeight="1" x14ac:dyDescent="0.35"/>
    <row r="914" ht="15.75" customHeight="1" x14ac:dyDescent="0.35"/>
    <row r="915" ht="15.75" customHeight="1" x14ac:dyDescent="0.35"/>
    <row r="916" ht="15.75" customHeight="1" x14ac:dyDescent="0.35"/>
    <row r="917" ht="15.75" customHeight="1" x14ac:dyDescent="0.35"/>
    <row r="918" ht="15.75" customHeight="1" x14ac:dyDescent="0.35"/>
    <row r="919" ht="15.75" customHeight="1" x14ac:dyDescent="0.35"/>
    <row r="920" ht="15.75" customHeight="1" x14ac:dyDescent="0.35"/>
    <row r="921" ht="15.75" customHeight="1" x14ac:dyDescent="0.35"/>
    <row r="922" ht="15.75" customHeight="1" x14ac:dyDescent="0.35"/>
    <row r="923" ht="15.75" customHeight="1" x14ac:dyDescent="0.35"/>
    <row r="924" ht="15.75" customHeight="1" x14ac:dyDescent="0.35"/>
    <row r="925" ht="15.75" customHeight="1" x14ac:dyDescent="0.35"/>
    <row r="926" ht="15.75" customHeight="1" x14ac:dyDescent="0.35"/>
    <row r="927" ht="15.75" customHeight="1" x14ac:dyDescent="0.35"/>
    <row r="928" ht="15.75" customHeight="1" x14ac:dyDescent="0.35"/>
    <row r="929" ht="15.75" customHeight="1" x14ac:dyDescent="0.35"/>
    <row r="930" ht="15.75" customHeight="1" x14ac:dyDescent="0.35"/>
    <row r="931" ht="15.75" customHeight="1" x14ac:dyDescent="0.35"/>
    <row r="932" ht="15.75" customHeight="1" x14ac:dyDescent="0.35"/>
    <row r="933" ht="15.75" customHeight="1" x14ac:dyDescent="0.35"/>
    <row r="934" ht="15.75" customHeight="1" x14ac:dyDescent="0.35"/>
    <row r="935" ht="15.75" customHeight="1" x14ac:dyDescent="0.35"/>
    <row r="936" ht="15.75" customHeight="1" x14ac:dyDescent="0.35"/>
    <row r="937" ht="15.75" customHeight="1" x14ac:dyDescent="0.35"/>
    <row r="938" ht="15.75" customHeight="1" x14ac:dyDescent="0.35"/>
    <row r="939" ht="15.75" customHeight="1" x14ac:dyDescent="0.35"/>
    <row r="940" ht="15.75" customHeight="1" x14ac:dyDescent="0.35"/>
    <row r="941" ht="15.75" customHeight="1" x14ac:dyDescent="0.35"/>
    <row r="942" ht="15.75" customHeight="1" x14ac:dyDescent="0.35"/>
    <row r="943" ht="15.75" customHeight="1" x14ac:dyDescent="0.35"/>
    <row r="944" ht="15.75" customHeight="1" x14ac:dyDescent="0.35"/>
    <row r="945" ht="15.75" customHeight="1" x14ac:dyDescent="0.35"/>
    <row r="946" ht="15.75" customHeight="1" x14ac:dyDescent="0.35"/>
    <row r="947" ht="15.75" customHeight="1" x14ac:dyDescent="0.35"/>
    <row r="948" ht="15.75" customHeight="1" x14ac:dyDescent="0.35"/>
    <row r="949" ht="15.75" customHeight="1" x14ac:dyDescent="0.35"/>
    <row r="950" ht="15.75" customHeight="1" x14ac:dyDescent="0.35"/>
    <row r="951" ht="15.75" customHeight="1" x14ac:dyDescent="0.35"/>
    <row r="952" ht="15.75" customHeight="1" x14ac:dyDescent="0.35"/>
    <row r="953" ht="15.75" customHeight="1" x14ac:dyDescent="0.35"/>
    <row r="954" ht="15.75" customHeight="1" x14ac:dyDescent="0.35"/>
    <row r="955" ht="15.75" customHeight="1" x14ac:dyDescent="0.35"/>
    <row r="956" ht="15.75" customHeight="1" x14ac:dyDescent="0.35"/>
    <row r="957" ht="15.75" customHeight="1" x14ac:dyDescent="0.35"/>
    <row r="958" ht="15.75" customHeight="1" x14ac:dyDescent="0.35"/>
    <row r="959" ht="15.75" customHeight="1" x14ac:dyDescent="0.35"/>
    <row r="960" ht="15.75" customHeight="1" x14ac:dyDescent="0.35"/>
    <row r="961" ht="15.75" customHeight="1" x14ac:dyDescent="0.35"/>
    <row r="962" ht="15.75" customHeight="1" x14ac:dyDescent="0.35"/>
    <row r="963" ht="15.75" customHeight="1" x14ac:dyDescent="0.35"/>
    <row r="964" ht="15.75" customHeight="1" x14ac:dyDescent="0.35"/>
    <row r="965" ht="15.75" customHeight="1" x14ac:dyDescent="0.35"/>
    <row r="966" ht="15.75" customHeight="1" x14ac:dyDescent="0.35"/>
    <row r="967" ht="15.75" customHeight="1" x14ac:dyDescent="0.35"/>
    <row r="968" ht="15.75" customHeight="1" x14ac:dyDescent="0.35"/>
    <row r="969" ht="15.75" customHeight="1" x14ac:dyDescent="0.35"/>
    <row r="970" ht="15.75" customHeight="1" x14ac:dyDescent="0.35"/>
    <row r="971" ht="15.75" customHeight="1" x14ac:dyDescent="0.35"/>
    <row r="972" ht="15.75" customHeight="1" x14ac:dyDescent="0.35"/>
    <row r="973" ht="15.75" customHeight="1" x14ac:dyDescent="0.35"/>
    <row r="974" ht="15.75" customHeight="1" x14ac:dyDescent="0.35"/>
    <row r="975" ht="15.75" customHeight="1" x14ac:dyDescent="0.35"/>
    <row r="976" ht="15.75" customHeight="1" x14ac:dyDescent="0.35"/>
    <row r="977" ht="15.75" customHeight="1" x14ac:dyDescent="0.35"/>
    <row r="978" ht="15.75" customHeight="1" x14ac:dyDescent="0.35"/>
    <row r="979" ht="15.75" customHeight="1" x14ac:dyDescent="0.35"/>
    <row r="980" ht="15.75" customHeight="1" x14ac:dyDescent="0.35"/>
    <row r="981" ht="15.75" customHeight="1" x14ac:dyDescent="0.35"/>
    <row r="982" ht="15.75" customHeight="1" x14ac:dyDescent="0.35"/>
    <row r="983" ht="15.75" customHeight="1" x14ac:dyDescent="0.35"/>
    <row r="984" ht="15.75" customHeight="1" x14ac:dyDescent="0.35"/>
    <row r="985" ht="15.75" customHeight="1" x14ac:dyDescent="0.35"/>
    <row r="986" ht="15.75" customHeight="1" x14ac:dyDescent="0.35"/>
    <row r="987" ht="15.75" customHeight="1" x14ac:dyDescent="0.35"/>
    <row r="988" ht="15.75" customHeight="1" x14ac:dyDescent="0.35"/>
    <row r="989" ht="15.75" customHeight="1" x14ac:dyDescent="0.35"/>
    <row r="990" ht="15.75" customHeight="1" x14ac:dyDescent="0.35"/>
    <row r="991" ht="15.75" customHeight="1" x14ac:dyDescent="0.35"/>
    <row r="992" ht="15.75" customHeight="1" x14ac:dyDescent="0.35"/>
    <row r="993" ht="15.75" customHeight="1" x14ac:dyDescent="0.35"/>
    <row r="994" ht="15.75" customHeight="1" x14ac:dyDescent="0.35"/>
    <row r="995" ht="15.75" customHeight="1" x14ac:dyDescent="0.35"/>
    <row r="996" ht="15.75" customHeight="1" x14ac:dyDescent="0.35"/>
    <row r="997" ht="15.75" customHeight="1" x14ac:dyDescent="0.35"/>
    <row r="998" ht="15.75" customHeight="1" x14ac:dyDescent="0.35"/>
    <row r="999" ht="15.75" customHeight="1" x14ac:dyDescent="0.35"/>
    <row r="1000" ht="15.75" customHeight="1" x14ac:dyDescent="0.35"/>
  </sheetData>
  <pageMargins left="0.7" right="0.7" top="0.75" bottom="0.75" header="0" footer="0"/>
  <pageSetup orientation="landscape"/>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AE1000"/>
  <sheetViews>
    <sheetView workbookViewId="0"/>
  </sheetViews>
  <sheetFormatPr defaultColWidth="14.453125" defaultRowHeight="15" customHeight="1" x14ac:dyDescent="0.35"/>
  <cols>
    <col min="3" max="3" width="20.08984375" customWidth="1"/>
    <col min="16" max="16" width="19.81640625" customWidth="1"/>
    <col min="21" max="21" width="18.54296875" customWidth="1"/>
    <col min="22" max="22" width="10.453125" customWidth="1"/>
    <col min="24" max="24" width="14.81640625" customWidth="1"/>
    <col min="25" max="25" width="14.54296875" customWidth="1"/>
    <col min="26" max="26" width="15.81640625" customWidth="1"/>
  </cols>
  <sheetData>
    <row r="1" spans="1:31" ht="15" customHeight="1" x14ac:dyDescent="0.35">
      <c r="A1" s="12"/>
      <c r="C1" s="13"/>
      <c r="P1" s="13"/>
      <c r="U1" s="13"/>
    </row>
    <row r="2" spans="1:31" ht="15" customHeight="1" x14ac:dyDescent="0.35">
      <c r="B2" s="12"/>
      <c r="C2" s="14"/>
      <c r="D2" s="12"/>
      <c r="E2" s="12"/>
      <c r="F2" s="12"/>
      <c r="G2" s="12"/>
      <c r="H2" s="12"/>
      <c r="I2" s="12"/>
      <c r="J2" s="12"/>
      <c r="K2" s="12"/>
      <c r="L2" s="12"/>
      <c r="M2" s="12"/>
      <c r="N2" s="12"/>
      <c r="O2" s="12"/>
      <c r="P2" s="15" t="s">
        <v>1580</v>
      </c>
      <c r="Q2" s="16"/>
      <c r="R2" s="16"/>
      <c r="S2" s="12"/>
      <c r="U2" s="17" t="s">
        <v>1581</v>
      </c>
      <c r="V2" s="16" t="s">
        <v>1582</v>
      </c>
    </row>
    <row r="3" spans="1:31" ht="48.75" customHeight="1" x14ac:dyDescent="0.35">
      <c r="A3" s="18"/>
      <c r="B3" s="19"/>
      <c r="C3" s="20" t="s">
        <v>1583</v>
      </c>
      <c r="D3" s="21" t="s">
        <v>1584</v>
      </c>
      <c r="E3" s="21" t="s">
        <v>1585</v>
      </c>
      <c r="F3" s="21" t="s">
        <v>1586</v>
      </c>
      <c r="G3" s="21" t="s">
        <v>1587</v>
      </c>
      <c r="H3" s="21" t="s">
        <v>1588</v>
      </c>
      <c r="I3" s="19"/>
      <c r="J3" s="22" t="s">
        <v>1589</v>
      </c>
      <c r="K3" s="22" t="s">
        <v>1590</v>
      </c>
      <c r="L3" s="22"/>
      <c r="M3" s="22"/>
      <c r="N3" s="22"/>
      <c r="O3" s="19"/>
      <c r="P3" s="23" t="s">
        <v>1583</v>
      </c>
      <c r="Q3" s="21" t="s">
        <v>1591</v>
      </c>
      <c r="R3" s="21" t="s">
        <v>1584</v>
      </c>
      <c r="S3" s="18"/>
      <c r="T3" s="18"/>
      <c r="U3" s="24" t="s">
        <v>1592</v>
      </c>
      <c r="V3" s="25" t="s">
        <v>1593</v>
      </c>
      <c r="W3" s="25" t="s">
        <v>1567</v>
      </c>
      <c r="X3" s="25" t="s">
        <v>1594</v>
      </c>
      <c r="Y3" s="25" t="s">
        <v>1595</v>
      </c>
      <c r="Z3" s="25" t="s">
        <v>1596</v>
      </c>
      <c r="AA3" s="18"/>
      <c r="AB3" s="18"/>
      <c r="AC3" s="18"/>
      <c r="AD3" s="18"/>
      <c r="AE3" s="18"/>
    </row>
    <row r="4" spans="1:31" ht="15" customHeight="1" x14ac:dyDescent="0.35">
      <c r="B4" s="26"/>
      <c r="C4" s="14"/>
      <c r="D4" s="26" t="s">
        <v>45</v>
      </c>
      <c r="E4" s="26" t="s">
        <v>45</v>
      </c>
      <c r="F4" s="26" t="s">
        <v>45</v>
      </c>
      <c r="G4" s="26" t="s">
        <v>45</v>
      </c>
      <c r="H4" s="26" t="s">
        <v>45</v>
      </c>
      <c r="I4" s="26"/>
      <c r="J4" s="14" t="s">
        <v>1597</v>
      </c>
      <c r="K4" s="26">
        <f>0.01/(1100*1.05*10^-12)</f>
        <v>8658008.6580086574</v>
      </c>
      <c r="L4" s="26"/>
      <c r="M4" s="26"/>
      <c r="N4" s="26"/>
      <c r="O4" s="26"/>
      <c r="P4" s="14"/>
      <c r="Q4" s="26"/>
      <c r="R4" s="26" t="s">
        <v>45</v>
      </c>
      <c r="U4" s="13"/>
      <c r="V4" s="11"/>
      <c r="W4" s="27" t="s">
        <v>1598</v>
      </c>
      <c r="X4" s="27" t="s">
        <v>1598</v>
      </c>
      <c r="Y4" s="27" t="s">
        <v>1598</v>
      </c>
      <c r="Z4" s="27" t="s">
        <v>1598</v>
      </c>
    </row>
    <row r="5" spans="1:31" ht="15" customHeight="1" x14ac:dyDescent="0.35">
      <c r="B5" s="14">
        <v>1</v>
      </c>
      <c r="C5" s="14" t="s">
        <v>1599</v>
      </c>
      <c r="D5" s="14">
        <v>48.794572799999997</v>
      </c>
      <c r="E5" s="14">
        <v>0</v>
      </c>
      <c r="F5" s="14">
        <v>48.794572799999997</v>
      </c>
      <c r="G5" s="14">
        <v>0</v>
      </c>
      <c r="H5" s="14">
        <v>0</v>
      </c>
      <c r="I5" s="12"/>
      <c r="J5" s="14" t="s">
        <v>1600</v>
      </c>
      <c r="K5" s="12">
        <f>0.2/(3.6*10^-9)</f>
        <v>55555555.555555552</v>
      </c>
      <c r="L5" s="12"/>
      <c r="M5" s="12"/>
      <c r="N5" s="12"/>
      <c r="O5" s="14">
        <v>1</v>
      </c>
      <c r="P5" s="14" t="s">
        <v>1599</v>
      </c>
      <c r="Q5" s="28">
        <f t="shared" ref="Q5:Q95" si="0">R5/$R$96</f>
        <v>5.4049709664493505E-3</v>
      </c>
      <c r="R5" s="14">
        <f t="shared" ref="R5:R24" si="1">D5</f>
        <v>48.794572799999997</v>
      </c>
      <c r="S5" s="12"/>
      <c r="T5" s="14">
        <v>1</v>
      </c>
      <c r="U5" s="14" t="s">
        <v>1599</v>
      </c>
      <c r="V5" s="29">
        <f t="shared" ref="V5:V95" si="2">W5/$W$96</f>
        <v>2.5246027122614839E-2</v>
      </c>
      <c r="W5" s="30">
        <f t="shared" ref="W5:W19" si="3">X5+Y5+Z5</f>
        <v>2710809599.9999995</v>
      </c>
      <c r="X5" s="30">
        <f t="shared" ref="X5:X95" si="4">F5*$K$5</f>
        <v>2710809599.9999995</v>
      </c>
      <c r="Y5" s="30">
        <f t="shared" ref="Y5:Y95" si="5">G5*$K$6</f>
        <v>0</v>
      </c>
      <c r="Z5" s="30">
        <f t="shared" ref="Z5:Z95" si="6">H5*$K$4</f>
        <v>0</v>
      </c>
    </row>
    <row r="6" spans="1:31" ht="15" customHeight="1" x14ac:dyDescent="0.35">
      <c r="B6" s="14">
        <v>2</v>
      </c>
      <c r="C6" s="14" t="s">
        <v>848</v>
      </c>
      <c r="D6" s="14">
        <v>23.155592510000002</v>
      </c>
      <c r="E6" s="12"/>
      <c r="F6" s="14">
        <v>3.9748948560000001</v>
      </c>
      <c r="G6" s="14">
        <v>13.987899779999999</v>
      </c>
      <c r="H6" s="14">
        <v>5.1927978689999996</v>
      </c>
      <c r="I6" s="12"/>
      <c r="J6" s="14" t="s">
        <v>1601</v>
      </c>
      <c r="K6" s="12">
        <f>(K10*N10)+(K11*N11)+(K12*N12)+(K13*N13)+(K14*N14)+(K15*N15)</f>
        <v>5144120.9387179492</v>
      </c>
      <c r="L6" s="12"/>
      <c r="M6" s="12"/>
      <c r="N6" s="12"/>
      <c r="O6" s="14">
        <v>2</v>
      </c>
      <c r="P6" s="14" t="s">
        <v>848</v>
      </c>
      <c r="Q6" s="28">
        <f t="shared" si="0"/>
        <v>2.564943149322583E-3</v>
      </c>
      <c r="R6" s="14">
        <f t="shared" si="1"/>
        <v>23.155592510000002</v>
      </c>
      <c r="S6" s="12"/>
      <c r="T6" s="14">
        <v>2</v>
      </c>
      <c r="U6" s="14" t="s">
        <v>848</v>
      </c>
      <c r="V6" s="29">
        <f t="shared" si="2"/>
        <v>3.1454254386594016E-3</v>
      </c>
      <c r="W6" s="30">
        <f t="shared" si="3"/>
        <v>337742229.05607706</v>
      </c>
      <c r="X6" s="30">
        <f t="shared" si="4"/>
        <v>220827492</v>
      </c>
      <c r="Y6" s="30">
        <f t="shared" si="5"/>
        <v>71955448.146986187</v>
      </c>
      <c r="Z6" s="30">
        <f t="shared" si="6"/>
        <v>44959288.909090899</v>
      </c>
    </row>
    <row r="7" spans="1:31" ht="15" customHeight="1" x14ac:dyDescent="0.35">
      <c r="B7" s="14">
        <v>3</v>
      </c>
      <c r="C7" s="14" t="s">
        <v>266</v>
      </c>
      <c r="D7" s="14">
        <v>1.3120000000000003</v>
      </c>
      <c r="E7" s="14">
        <v>0</v>
      </c>
      <c r="F7" s="14">
        <v>3.2000000000000001E-2</v>
      </c>
      <c r="G7" s="14">
        <v>1.2800000000000002</v>
      </c>
      <c r="H7" s="14">
        <v>0</v>
      </c>
      <c r="I7" s="12"/>
      <c r="J7" s="12"/>
      <c r="K7" s="12"/>
      <c r="L7" s="12"/>
      <c r="M7" s="12"/>
      <c r="N7" s="12"/>
      <c r="O7" s="14">
        <v>3</v>
      </c>
      <c r="P7" s="14" t="s">
        <v>266</v>
      </c>
      <c r="Q7" s="28">
        <f t="shared" si="0"/>
        <v>1.4533013614132E-4</v>
      </c>
      <c r="R7" s="14">
        <f t="shared" si="1"/>
        <v>1.3120000000000003</v>
      </c>
      <c r="S7" s="12"/>
      <c r="T7" s="14">
        <v>3</v>
      </c>
      <c r="U7" s="14" t="s">
        <v>266</v>
      </c>
      <c r="V7" s="29">
        <f t="shared" si="2"/>
        <v>7.7878452040339394E-5</v>
      </c>
      <c r="W7" s="30">
        <f t="shared" si="3"/>
        <v>8362252.579336754</v>
      </c>
      <c r="X7" s="30">
        <f t="shared" si="4"/>
        <v>1777777.7777777778</v>
      </c>
      <c r="Y7" s="30">
        <f t="shared" si="5"/>
        <v>6584474.8015589761</v>
      </c>
      <c r="Z7" s="30">
        <f t="shared" si="6"/>
        <v>0</v>
      </c>
    </row>
    <row r="8" spans="1:31" ht="15" customHeight="1" x14ac:dyDescent="0.35">
      <c r="B8" s="14">
        <v>4</v>
      </c>
      <c r="C8" s="14" t="s">
        <v>519</v>
      </c>
      <c r="D8" s="31">
        <v>0.7</v>
      </c>
      <c r="E8" s="31">
        <v>0</v>
      </c>
      <c r="F8" s="31">
        <v>0</v>
      </c>
      <c r="G8" s="31">
        <v>0.7</v>
      </c>
      <c r="H8" s="31">
        <v>0</v>
      </c>
      <c r="I8" s="31"/>
      <c r="L8" s="12"/>
      <c r="M8" s="12"/>
      <c r="N8" s="12"/>
      <c r="O8" s="14">
        <v>4</v>
      </c>
      <c r="P8" s="14" t="s">
        <v>519</v>
      </c>
      <c r="Q8" s="28">
        <f t="shared" si="0"/>
        <v>7.7538944587594492E-5</v>
      </c>
      <c r="R8" s="14">
        <f t="shared" si="1"/>
        <v>0.7</v>
      </c>
      <c r="S8" s="12"/>
      <c r="T8" s="14">
        <v>4</v>
      </c>
      <c r="U8" s="14" t="s">
        <v>519</v>
      </c>
      <c r="V8" s="29">
        <f t="shared" si="2"/>
        <v>3.3535380617885886E-5</v>
      </c>
      <c r="W8" s="30">
        <f t="shared" si="3"/>
        <v>3600884.6571025643</v>
      </c>
      <c r="X8" s="30">
        <f t="shared" si="4"/>
        <v>0</v>
      </c>
      <c r="Y8" s="30">
        <f t="shared" si="5"/>
        <v>3600884.6571025643</v>
      </c>
      <c r="Z8" s="30">
        <f t="shared" si="6"/>
        <v>0</v>
      </c>
    </row>
    <row r="9" spans="1:31" ht="15" customHeight="1" x14ac:dyDescent="0.35">
      <c r="B9" s="14">
        <v>5</v>
      </c>
      <c r="C9" s="14" t="s">
        <v>673</v>
      </c>
      <c r="D9" s="14">
        <v>12.632400000000002</v>
      </c>
      <c r="E9" s="14">
        <v>0</v>
      </c>
      <c r="F9" s="14">
        <v>4.5936000000000003</v>
      </c>
      <c r="G9" s="14">
        <v>8.0388000000000002</v>
      </c>
      <c r="H9" s="14">
        <v>0</v>
      </c>
      <c r="I9" s="12"/>
      <c r="K9" s="11" t="s">
        <v>1602</v>
      </c>
      <c r="L9" s="12" t="s">
        <v>1603</v>
      </c>
      <c r="M9" s="12"/>
      <c r="N9" s="12" t="s">
        <v>1604</v>
      </c>
      <c r="O9" s="14">
        <v>5</v>
      </c>
      <c r="P9" s="14" t="s">
        <v>673</v>
      </c>
      <c r="Q9" s="28">
        <f t="shared" si="0"/>
        <v>1.3992899480118983E-3</v>
      </c>
      <c r="R9" s="14">
        <f t="shared" si="1"/>
        <v>12.632400000000002</v>
      </c>
      <c r="S9" s="12"/>
      <c r="T9" s="14">
        <v>5</v>
      </c>
      <c r="U9" s="14" t="s">
        <v>673</v>
      </c>
      <c r="V9" s="29">
        <f t="shared" si="2"/>
        <v>2.7618221353310568E-3</v>
      </c>
      <c r="W9" s="30">
        <f t="shared" si="3"/>
        <v>296552559.40216583</v>
      </c>
      <c r="X9" s="30">
        <f t="shared" si="4"/>
        <v>255200000</v>
      </c>
      <c r="Y9" s="30">
        <f t="shared" si="5"/>
        <v>41352559.402165852</v>
      </c>
      <c r="Z9" s="30">
        <f t="shared" si="6"/>
        <v>0</v>
      </c>
    </row>
    <row r="10" spans="1:31" ht="15" customHeight="1" x14ac:dyDescent="0.35">
      <c r="B10" s="14">
        <v>6</v>
      </c>
      <c r="C10" s="14" t="s">
        <v>251</v>
      </c>
      <c r="D10" s="14">
        <v>2.1760000000000002</v>
      </c>
      <c r="E10" s="14">
        <v>0</v>
      </c>
      <c r="F10" s="14">
        <v>2.1760000000000002</v>
      </c>
      <c r="G10" s="14">
        <v>0</v>
      </c>
      <c r="H10" s="14">
        <v>0</v>
      </c>
      <c r="I10" s="12"/>
      <c r="J10" s="12" t="s">
        <v>1605</v>
      </c>
      <c r="K10" s="12">
        <v>0.55000000000000004</v>
      </c>
      <c r="L10" s="12" t="s">
        <v>1606</v>
      </c>
      <c r="M10" s="12"/>
      <c r="N10" s="12">
        <f>2.91/0.00000105505585</f>
        <v>2758147.8269610088</v>
      </c>
      <c r="O10" s="14">
        <v>6</v>
      </c>
      <c r="P10" s="14" t="s">
        <v>251</v>
      </c>
      <c r="Q10" s="28">
        <f t="shared" si="0"/>
        <v>2.4103534774657948E-4</v>
      </c>
      <c r="R10" s="14">
        <f t="shared" si="1"/>
        <v>2.1760000000000002</v>
      </c>
      <c r="S10" s="12"/>
      <c r="T10" s="14">
        <v>6</v>
      </c>
      <c r="U10" s="14" t="s">
        <v>251</v>
      </c>
      <c r="V10" s="29">
        <f t="shared" si="2"/>
        <v>1.1258496973419532E-3</v>
      </c>
      <c r="W10" s="30">
        <f t="shared" si="3"/>
        <v>120888888.8888889</v>
      </c>
      <c r="X10" s="30">
        <f t="shared" si="4"/>
        <v>120888888.8888889</v>
      </c>
      <c r="Y10" s="30">
        <f t="shared" si="5"/>
        <v>0</v>
      </c>
      <c r="Z10" s="30">
        <f t="shared" si="6"/>
        <v>0</v>
      </c>
    </row>
    <row r="11" spans="1:31" ht="15" customHeight="1" x14ac:dyDescent="0.35">
      <c r="B11" s="14">
        <v>7</v>
      </c>
      <c r="C11" s="14" t="s">
        <v>668</v>
      </c>
      <c r="D11" s="14">
        <v>292.26780000000002</v>
      </c>
      <c r="E11" s="14">
        <v>0</v>
      </c>
      <c r="F11" s="14">
        <v>7.7517000000000005</v>
      </c>
      <c r="G11" s="14">
        <v>284.51609999999999</v>
      </c>
      <c r="H11" s="14">
        <v>0</v>
      </c>
      <c r="I11" s="12"/>
      <c r="J11" s="12" t="s">
        <v>1607</v>
      </c>
      <c r="K11" s="12">
        <v>0.36</v>
      </c>
      <c r="L11" s="12">
        <f>0.71/91500</f>
        <v>7.7595628415300542E-6</v>
      </c>
      <c r="M11" s="12" t="s">
        <v>1608</v>
      </c>
      <c r="N11" s="12">
        <f>L11/0.0000000000010551</f>
        <v>7354338.7750261147</v>
      </c>
      <c r="O11" s="14">
        <v>7</v>
      </c>
      <c r="P11" s="14" t="s">
        <v>668</v>
      </c>
      <c r="Q11" s="28">
        <f t="shared" si="0"/>
        <v>3.2374481069911643E-2</v>
      </c>
      <c r="R11" s="14">
        <f t="shared" si="1"/>
        <v>292.26780000000002</v>
      </c>
      <c r="S11" s="12"/>
      <c r="T11" s="14">
        <v>7</v>
      </c>
      <c r="U11" s="14" t="s">
        <v>668</v>
      </c>
      <c r="V11" s="29">
        <f t="shared" si="2"/>
        <v>1.7641192479126971E-2</v>
      </c>
      <c r="W11" s="30">
        <f t="shared" si="3"/>
        <v>1894235227.41237</v>
      </c>
      <c r="X11" s="30">
        <f t="shared" si="4"/>
        <v>430650000</v>
      </c>
      <c r="Y11" s="30">
        <f t="shared" si="5"/>
        <v>1463585227.41237</v>
      </c>
      <c r="Z11" s="30">
        <f t="shared" si="6"/>
        <v>0</v>
      </c>
    </row>
    <row r="12" spans="1:31" ht="15" customHeight="1" x14ac:dyDescent="0.35">
      <c r="B12" s="14">
        <v>8</v>
      </c>
      <c r="C12" s="14" t="s">
        <v>604</v>
      </c>
      <c r="D12" s="14">
        <v>140.01653645958243</v>
      </c>
      <c r="E12" s="14">
        <v>0</v>
      </c>
      <c r="F12" s="14">
        <v>10.112646116234787</v>
      </c>
      <c r="G12" s="14">
        <v>0</v>
      </c>
      <c r="H12" s="14">
        <v>129.90389034334763</v>
      </c>
      <c r="I12" s="12"/>
      <c r="J12" s="12" t="s">
        <v>102</v>
      </c>
      <c r="K12" s="12">
        <v>0.04</v>
      </c>
      <c r="L12" s="12" t="s">
        <v>1609</v>
      </c>
      <c r="M12" s="12"/>
      <c r="N12" s="12">
        <f>2.51/0.00000105505585</f>
        <v>2379020.9778942033</v>
      </c>
      <c r="O12" s="14">
        <v>8</v>
      </c>
      <c r="P12" s="14" t="s">
        <v>604</v>
      </c>
      <c r="Q12" s="28">
        <f t="shared" si="0"/>
        <v>1.5509620659837809E-2</v>
      </c>
      <c r="R12" s="14">
        <f t="shared" si="1"/>
        <v>140.01653645958243</v>
      </c>
      <c r="S12" s="12"/>
      <c r="T12" s="14">
        <v>8</v>
      </c>
      <c r="U12" s="14" t="s">
        <v>604</v>
      </c>
      <c r="V12" s="29">
        <f t="shared" si="2"/>
        <v>1.5706745812371511E-2</v>
      </c>
      <c r="W12" s="30">
        <f t="shared" si="3"/>
        <v>1686522680.4258659</v>
      </c>
      <c r="X12" s="30">
        <f t="shared" si="4"/>
        <v>561813673.12415481</v>
      </c>
      <c r="Y12" s="30">
        <f t="shared" si="5"/>
        <v>0</v>
      </c>
      <c r="Z12" s="30">
        <f t="shared" si="6"/>
        <v>1124709007.3017111</v>
      </c>
    </row>
    <row r="13" spans="1:31" ht="15" customHeight="1" x14ac:dyDescent="0.35">
      <c r="B13" s="14">
        <v>9</v>
      </c>
      <c r="C13" s="14" t="s">
        <v>113</v>
      </c>
      <c r="D13" s="14">
        <v>427.08452224003048</v>
      </c>
      <c r="E13" s="14">
        <v>0</v>
      </c>
      <c r="F13" s="14">
        <v>6.6548538896303997</v>
      </c>
      <c r="G13" s="14">
        <v>420.32966835040003</v>
      </c>
      <c r="H13" s="14">
        <v>0</v>
      </c>
      <c r="I13" s="12"/>
      <c r="J13" s="12" t="s">
        <v>1610</v>
      </c>
      <c r="K13" s="12">
        <f>0.01/2</f>
        <v>5.0000000000000001E-3</v>
      </c>
      <c r="L13" s="12">
        <f>2.34/137381</f>
        <v>1.7032923038848167E-5</v>
      </c>
      <c r="M13" s="12" t="s">
        <v>1608</v>
      </c>
      <c r="N13" s="12">
        <f t="shared" ref="N13:N15" si="7">L13/0.0000000000010551</f>
        <v>16143420.565679241</v>
      </c>
      <c r="O13" s="14">
        <v>9</v>
      </c>
      <c r="P13" s="14" t="s">
        <v>113</v>
      </c>
      <c r="Q13" s="28">
        <f t="shared" si="0"/>
        <v>4.7308118720269986E-2</v>
      </c>
      <c r="R13" s="14">
        <f t="shared" si="1"/>
        <v>427.08452224003048</v>
      </c>
      <c r="S13" s="12"/>
      <c r="T13" s="14">
        <v>9</v>
      </c>
      <c r="U13" s="14" t="s">
        <v>113</v>
      </c>
      <c r="V13" s="29">
        <f t="shared" si="2"/>
        <v>2.3580204572739443E-2</v>
      </c>
      <c r="W13" s="30">
        <f t="shared" si="3"/>
        <v>2531940753.1051307</v>
      </c>
      <c r="X13" s="30">
        <f t="shared" si="4"/>
        <v>369714104.97946662</v>
      </c>
      <c r="Y13" s="30">
        <f t="shared" si="5"/>
        <v>2162226648.1256642</v>
      </c>
      <c r="Z13" s="30">
        <f t="shared" si="6"/>
        <v>0</v>
      </c>
    </row>
    <row r="14" spans="1:31" ht="15" customHeight="1" x14ac:dyDescent="0.35">
      <c r="B14" s="14">
        <v>10</v>
      </c>
      <c r="C14" s="14" t="s">
        <v>526</v>
      </c>
      <c r="D14" s="14">
        <v>1.1000000000000001</v>
      </c>
      <c r="E14" s="14">
        <v>0</v>
      </c>
      <c r="F14" s="14">
        <v>1.1000000000000001</v>
      </c>
      <c r="G14" s="14">
        <v>0</v>
      </c>
      <c r="H14" s="14">
        <v>0</v>
      </c>
      <c r="I14" s="12"/>
      <c r="J14" s="12" t="s">
        <v>1611</v>
      </c>
      <c r="K14" s="12">
        <v>5.0000000000000001E-3</v>
      </c>
      <c r="L14" s="12">
        <f>4/120000</f>
        <v>3.3333333333333335E-5</v>
      </c>
      <c r="M14" s="12" t="s">
        <v>1608</v>
      </c>
      <c r="N14" s="12">
        <f t="shared" si="7"/>
        <v>31592582.061731905</v>
      </c>
      <c r="O14" s="14">
        <v>10</v>
      </c>
      <c r="P14" s="14" t="s">
        <v>526</v>
      </c>
      <c r="Q14" s="28">
        <f t="shared" si="0"/>
        <v>1.2184691292336279E-4</v>
      </c>
      <c r="R14" s="14">
        <f t="shared" si="1"/>
        <v>1.1000000000000001</v>
      </c>
      <c r="S14" s="12"/>
      <c r="T14" s="14">
        <v>10</v>
      </c>
      <c r="U14" s="14" t="s">
        <v>526</v>
      </c>
      <c r="V14" s="29">
        <f t="shared" si="2"/>
        <v>5.6913357861955352E-4</v>
      </c>
      <c r="W14" s="30">
        <f t="shared" si="3"/>
        <v>61111111.111111112</v>
      </c>
      <c r="X14" s="30">
        <f t="shared" si="4"/>
        <v>61111111.111111112</v>
      </c>
      <c r="Y14" s="30">
        <f t="shared" si="5"/>
        <v>0</v>
      </c>
      <c r="Z14" s="30">
        <f t="shared" si="6"/>
        <v>0</v>
      </c>
    </row>
    <row r="15" spans="1:31" ht="15" customHeight="1" x14ac:dyDescent="0.35">
      <c r="B15" s="14">
        <v>11</v>
      </c>
      <c r="C15" s="14" t="s">
        <v>484</v>
      </c>
      <c r="D15" s="14">
        <v>0.6</v>
      </c>
      <c r="E15" s="14">
        <v>0</v>
      </c>
      <c r="F15" s="14">
        <v>0</v>
      </c>
      <c r="G15" s="14">
        <v>0</v>
      </c>
      <c r="H15" s="14">
        <v>0.6</v>
      </c>
      <c r="I15" s="12"/>
      <c r="J15" s="12" t="s">
        <v>1612</v>
      </c>
      <c r="K15" s="12">
        <v>0.04</v>
      </c>
      <c r="L15" s="12">
        <f>L13</f>
        <v>1.7032923038848167E-5</v>
      </c>
      <c r="M15" s="12" t="s">
        <v>1608</v>
      </c>
      <c r="N15" s="12">
        <f t="shared" si="7"/>
        <v>16143420.565679241</v>
      </c>
      <c r="O15" s="14">
        <v>11</v>
      </c>
      <c r="P15" s="14" t="s">
        <v>484</v>
      </c>
      <c r="Q15" s="28">
        <f t="shared" si="0"/>
        <v>6.6461952503652421E-5</v>
      </c>
      <c r="R15" s="14">
        <f t="shared" si="1"/>
        <v>0.6</v>
      </c>
      <c r="S15" s="12"/>
      <c r="T15" s="14">
        <v>11</v>
      </c>
      <c r="U15" s="14" t="s">
        <v>484</v>
      </c>
      <c r="V15" s="29">
        <f t="shared" si="2"/>
        <v>4.8379713885015174E-5</v>
      </c>
      <c r="W15" s="30">
        <f t="shared" si="3"/>
        <v>5194805.1948051946</v>
      </c>
      <c r="X15" s="30">
        <f t="shared" si="4"/>
        <v>0</v>
      </c>
      <c r="Y15" s="30">
        <f t="shared" si="5"/>
        <v>0</v>
      </c>
      <c r="Z15" s="30">
        <f t="shared" si="6"/>
        <v>5194805.1948051946</v>
      </c>
    </row>
    <row r="16" spans="1:31" ht="15" customHeight="1" x14ac:dyDescent="0.35">
      <c r="B16" s="14">
        <v>12</v>
      </c>
      <c r="C16" s="14" t="s">
        <v>422</v>
      </c>
      <c r="D16" s="14">
        <v>23.613583463560932</v>
      </c>
      <c r="E16" s="14">
        <v>0</v>
      </c>
      <c r="F16" s="14">
        <v>12.527139268560932</v>
      </c>
      <c r="G16" s="14">
        <v>0</v>
      </c>
      <c r="H16" s="14">
        <v>9.5465987259999991</v>
      </c>
      <c r="I16" s="12"/>
      <c r="J16" s="12"/>
      <c r="K16" s="12"/>
      <c r="L16" s="12"/>
      <c r="M16" s="12"/>
      <c r="N16" s="12"/>
      <c r="O16" s="14">
        <v>12</v>
      </c>
      <c r="P16" s="14" t="s">
        <v>422</v>
      </c>
      <c r="Q16" s="28">
        <f t="shared" si="0"/>
        <v>2.6156747709936983E-3</v>
      </c>
      <c r="R16" s="14">
        <f t="shared" si="1"/>
        <v>23.613583463560932</v>
      </c>
      <c r="S16" s="12"/>
      <c r="T16" s="14">
        <v>12</v>
      </c>
      <c r="U16" s="14" t="s">
        <v>422</v>
      </c>
      <c r="V16" s="29">
        <f t="shared" si="2"/>
        <v>7.251238253790598E-3</v>
      </c>
      <c r="W16" s="30">
        <f t="shared" si="3"/>
        <v>778606716.01096082</v>
      </c>
      <c r="X16" s="30">
        <f t="shared" si="4"/>
        <v>695952181.58671844</v>
      </c>
      <c r="Y16" s="30">
        <f t="shared" si="5"/>
        <v>0</v>
      </c>
      <c r="Z16" s="30">
        <f t="shared" si="6"/>
        <v>82654534.424242407</v>
      </c>
    </row>
    <row r="17" spans="2:26" ht="15" customHeight="1" x14ac:dyDescent="0.35">
      <c r="B17" s="14">
        <v>13</v>
      </c>
      <c r="C17" s="14" t="s">
        <v>1613</v>
      </c>
      <c r="D17" s="14">
        <v>50.776000000000003</v>
      </c>
      <c r="E17" s="14">
        <v>0</v>
      </c>
      <c r="F17" s="14">
        <v>0</v>
      </c>
      <c r="G17" s="14">
        <v>50.776000000000003</v>
      </c>
      <c r="H17" s="14">
        <v>0</v>
      </c>
      <c r="I17" s="12"/>
      <c r="J17" s="12"/>
      <c r="K17" s="12"/>
      <c r="L17" s="12"/>
      <c r="M17" s="12"/>
      <c r="N17" s="12"/>
      <c r="O17" s="14">
        <v>13</v>
      </c>
      <c r="P17" s="14" t="s">
        <v>1613</v>
      </c>
      <c r="Q17" s="28">
        <f t="shared" si="0"/>
        <v>5.6244535005424258E-3</v>
      </c>
      <c r="R17" s="14">
        <f t="shared" si="1"/>
        <v>50.776000000000003</v>
      </c>
      <c r="S17" s="12"/>
      <c r="T17" s="14">
        <v>13</v>
      </c>
      <c r="U17" s="14" t="s">
        <v>1613</v>
      </c>
      <c r="V17" s="29">
        <f t="shared" si="2"/>
        <v>2.4325606946482485E-3</v>
      </c>
      <c r="W17" s="30">
        <f t="shared" si="3"/>
        <v>261197884.78434262</v>
      </c>
      <c r="X17" s="30">
        <f t="shared" si="4"/>
        <v>0</v>
      </c>
      <c r="Y17" s="30">
        <f t="shared" si="5"/>
        <v>261197884.78434262</v>
      </c>
      <c r="Z17" s="30">
        <f t="shared" si="6"/>
        <v>0</v>
      </c>
    </row>
    <row r="18" spans="2:26" ht="15" customHeight="1" x14ac:dyDescent="0.35">
      <c r="B18" s="14">
        <v>14</v>
      </c>
      <c r="C18" s="14" t="s">
        <v>478</v>
      </c>
      <c r="D18" s="14">
        <v>0</v>
      </c>
      <c r="E18" s="14">
        <v>0</v>
      </c>
      <c r="F18" s="14">
        <v>0</v>
      </c>
      <c r="G18" s="14">
        <v>0</v>
      </c>
      <c r="H18" s="14">
        <v>0</v>
      </c>
      <c r="I18" s="12"/>
      <c r="J18" s="12"/>
      <c r="K18" s="12"/>
      <c r="L18" s="12"/>
      <c r="M18" s="12"/>
      <c r="N18" s="12"/>
      <c r="O18" s="14">
        <v>14</v>
      </c>
      <c r="P18" s="14" t="s">
        <v>478</v>
      </c>
      <c r="Q18" s="28">
        <f t="shared" si="0"/>
        <v>0</v>
      </c>
      <c r="R18" s="14">
        <f t="shared" si="1"/>
        <v>0</v>
      </c>
      <c r="S18" s="12"/>
      <c r="T18" s="14">
        <v>14</v>
      </c>
      <c r="U18" s="14" t="s">
        <v>478</v>
      </c>
      <c r="V18" s="29">
        <f t="shared" si="2"/>
        <v>0</v>
      </c>
      <c r="W18" s="30">
        <f t="shared" si="3"/>
        <v>0</v>
      </c>
      <c r="X18" s="30">
        <f t="shared" si="4"/>
        <v>0</v>
      </c>
      <c r="Y18" s="30">
        <f t="shared" si="5"/>
        <v>0</v>
      </c>
      <c r="Z18" s="30">
        <f t="shared" si="6"/>
        <v>0</v>
      </c>
    </row>
    <row r="19" spans="2:26" ht="15" customHeight="1" x14ac:dyDescent="0.35">
      <c r="B19" s="14">
        <v>15</v>
      </c>
      <c r="C19" s="14" t="s">
        <v>244</v>
      </c>
      <c r="D19" s="14">
        <v>0.63651470121574627</v>
      </c>
      <c r="E19" s="14">
        <v>0</v>
      </c>
      <c r="F19" s="14">
        <v>0</v>
      </c>
      <c r="G19" s="14">
        <v>0</v>
      </c>
      <c r="H19" s="14">
        <v>0.63651470121574627</v>
      </c>
      <c r="I19" s="12"/>
      <c r="J19" s="12"/>
      <c r="K19" s="12"/>
      <c r="L19" s="12"/>
      <c r="M19" s="12"/>
      <c r="N19" s="12"/>
      <c r="O19" s="14">
        <v>15</v>
      </c>
      <c r="P19" s="14" t="s">
        <v>244</v>
      </c>
      <c r="Q19" s="28">
        <f t="shared" si="0"/>
        <v>7.0506683066795731E-5</v>
      </c>
      <c r="R19" s="14">
        <f t="shared" si="1"/>
        <v>0.63651470121574627</v>
      </c>
      <c r="S19" s="12"/>
      <c r="T19" s="14">
        <v>15</v>
      </c>
      <c r="U19" s="14" t="s">
        <v>244</v>
      </c>
      <c r="V19" s="29">
        <f t="shared" si="2"/>
        <v>5.132399854737287E-5</v>
      </c>
      <c r="W19" s="30">
        <f t="shared" si="3"/>
        <v>5510949.7940757247</v>
      </c>
      <c r="X19" s="30">
        <f t="shared" si="4"/>
        <v>0</v>
      </c>
      <c r="Y19" s="30">
        <f t="shared" si="5"/>
        <v>0</v>
      </c>
      <c r="Z19" s="30">
        <f t="shared" si="6"/>
        <v>5510949.7940757247</v>
      </c>
    </row>
    <row r="20" spans="2:26" ht="15" customHeight="1" x14ac:dyDescent="0.35">
      <c r="B20" s="14">
        <v>16</v>
      </c>
      <c r="C20" s="14" t="s">
        <v>317</v>
      </c>
      <c r="D20" s="14">
        <v>44.184577855361709</v>
      </c>
      <c r="E20" s="14">
        <v>0</v>
      </c>
      <c r="F20" s="14">
        <v>-39.560610405381993</v>
      </c>
      <c r="G20" s="14">
        <v>102.75483222177142</v>
      </c>
      <c r="H20" s="14">
        <v>-19.009643961027713</v>
      </c>
      <c r="I20" s="12"/>
      <c r="J20" s="12"/>
      <c r="K20" s="12"/>
      <c r="L20" s="12"/>
      <c r="M20" s="12"/>
      <c r="N20" s="12"/>
      <c r="O20" s="14">
        <v>16</v>
      </c>
      <c r="P20" s="14" t="s">
        <v>317</v>
      </c>
      <c r="Q20" s="28">
        <f t="shared" si="0"/>
        <v>4.8943221913616379E-3</v>
      </c>
      <c r="R20" s="14">
        <f t="shared" si="1"/>
        <v>44.184577855361709</v>
      </c>
      <c r="S20" s="12"/>
      <c r="T20" s="14">
        <v>16</v>
      </c>
      <c r="U20" s="32" t="s">
        <v>317</v>
      </c>
      <c r="V20" s="29">
        <f t="shared" si="2"/>
        <v>0</v>
      </c>
      <c r="W20" s="33">
        <v>0</v>
      </c>
      <c r="X20" s="30">
        <f t="shared" si="4"/>
        <v>-2197811689.1878886</v>
      </c>
      <c r="Y20" s="30">
        <f t="shared" si="5"/>
        <v>528583283.9864642</v>
      </c>
      <c r="Z20" s="30">
        <f t="shared" si="6"/>
        <v>-164585662.00023994</v>
      </c>
    </row>
    <row r="21" spans="2:26" ht="15" customHeight="1" x14ac:dyDescent="0.35">
      <c r="B21" s="14">
        <v>17</v>
      </c>
      <c r="C21" s="14" t="s">
        <v>651</v>
      </c>
      <c r="D21" s="14">
        <v>192.14419290000001</v>
      </c>
      <c r="E21" s="14">
        <v>0</v>
      </c>
      <c r="F21" s="14">
        <v>11.346400340000001</v>
      </c>
      <c r="G21" s="14">
        <v>139.62300429999999</v>
      </c>
      <c r="H21" s="14">
        <v>41.174788290000002</v>
      </c>
      <c r="I21" s="12"/>
      <c r="J21" s="12"/>
      <c r="K21" s="12"/>
      <c r="L21" s="12"/>
      <c r="M21" s="12"/>
      <c r="N21" s="12"/>
      <c r="O21" s="14">
        <v>17</v>
      </c>
      <c r="P21" s="14" t="s">
        <v>651</v>
      </c>
      <c r="Q21" s="28">
        <f t="shared" si="0"/>
        <v>2.1283797037287382E-2</v>
      </c>
      <c r="R21" s="14">
        <f t="shared" si="1"/>
        <v>192.14419290000001</v>
      </c>
      <c r="S21" s="12"/>
      <c r="T21" s="14">
        <v>17</v>
      </c>
      <c r="U21" s="14" t="s">
        <v>651</v>
      </c>
      <c r="V21" s="29">
        <f t="shared" si="2"/>
        <v>1.5879617226268763E-2</v>
      </c>
      <c r="W21" s="30">
        <f t="shared" ref="W21:W24" si="8">X21+Y21+Z21</f>
        <v>1705084867.8972743</v>
      </c>
      <c r="X21" s="30">
        <f t="shared" si="4"/>
        <v>630355574.44444442</v>
      </c>
      <c r="Y21" s="30">
        <f t="shared" si="5"/>
        <v>718237619.94633627</v>
      </c>
      <c r="Z21" s="30">
        <f t="shared" si="6"/>
        <v>356491673.50649351</v>
      </c>
    </row>
    <row r="22" spans="2:26" ht="15" customHeight="1" x14ac:dyDescent="0.35">
      <c r="B22" s="14">
        <v>18</v>
      </c>
      <c r="C22" s="14" t="s">
        <v>1614</v>
      </c>
      <c r="D22" s="14">
        <v>3.3975262599742599</v>
      </c>
      <c r="E22" s="14">
        <v>0</v>
      </c>
      <c r="F22" s="14">
        <v>3.3975262599742599</v>
      </c>
      <c r="G22" s="14">
        <v>0</v>
      </c>
      <c r="H22" s="14">
        <v>0</v>
      </c>
      <c r="I22" s="12"/>
      <c r="J22" s="12"/>
      <c r="K22" s="12"/>
      <c r="L22" s="12"/>
      <c r="M22" s="12"/>
      <c r="N22" s="12"/>
      <c r="O22" s="14">
        <v>18</v>
      </c>
      <c r="P22" s="14" t="s">
        <v>1614</v>
      </c>
      <c r="Q22" s="28">
        <f t="shared" si="0"/>
        <v>3.7634371486720185E-4</v>
      </c>
      <c r="R22" s="14">
        <f t="shared" si="1"/>
        <v>3.3975262599742599</v>
      </c>
      <c r="S22" s="12"/>
      <c r="T22" s="14">
        <v>18</v>
      </c>
      <c r="U22" s="14" t="s">
        <v>1614</v>
      </c>
      <c r="V22" s="29">
        <f t="shared" si="2"/>
        <v>1.7578602534482344E-3</v>
      </c>
      <c r="W22" s="30">
        <f t="shared" si="8"/>
        <v>188751458.88745886</v>
      </c>
      <c r="X22" s="30">
        <f t="shared" si="4"/>
        <v>188751458.88745886</v>
      </c>
      <c r="Y22" s="30">
        <f t="shared" si="5"/>
        <v>0</v>
      </c>
      <c r="Z22" s="30">
        <f t="shared" si="6"/>
        <v>0</v>
      </c>
    </row>
    <row r="23" spans="2:26" ht="15" customHeight="1" x14ac:dyDescent="0.35">
      <c r="B23" s="14">
        <v>19</v>
      </c>
      <c r="C23" s="14" t="s">
        <v>71</v>
      </c>
      <c r="D23" s="14">
        <v>111.51521822844637</v>
      </c>
      <c r="E23" s="14">
        <v>0</v>
      </c>
      <c r="F23" s="14">
        <v>111.51521822844637</v>
      </c>
      <c r="G23" s="14">
        <v>0</v>
      </c>
      <c r="H23" s="14">
        <v>0</v>
      </c>
      <c r="I23" s="12"/>
      <c r="J23" s="12"/>
      <c r="K23" s="12"/>
      <c r="L23" s="12"/>
      <c r="M23" s="12"/>
      <c r="N23" s="12"/>
      <c r="O23" s="14">
        <v>19</v>
      </c>
      <c r="P23" s="14" t="s">
        <v>71</v>
      </c>
      <c r="Q23" s="28">
        <f t="shared" si="0"/>
        <v>1.235253189555573E-2</v>
      </c>
      <c r="R23" s="14">
        <f t="shared" si="1"/>
        <v>111.51521822844637</v>
      </c>
      <c r="S23" s="12"/>
      <c r="T23" s="14">
        <v>19</v>
      </c>
      <c r="U23" s="14" t="s">
        <v>71</v>
      </c>
      <c r="V23" s="29">
        <f t="shared" si="2"/>
        <v>5.7697322928087408E-2</v>
      </c>
      <c r="W23" s="30">
        <f t="shared" si="8"/>
        <v>6195289901.5803537</v>
      </c>
      <c r="X23" s="30">
        <f t="shared" si="4"/>
        <v>6195289901.5803537</v>
      </c>
      <c r="Y23" s="30">
        <f t="shared" si="5"/>
        <v>0</v>
      </c>
      <c r="Z23" s="30">
        <f t="shared" si="6"/>
        <v>0</v>
      </c>
    </row>
    <row r="24" spans="2:26" ht="15" customHeight="1" x14ac:dyDescent="0.35">
      <c r="B24" s="14">
        <v>20</v>
      </c>
      <c r="C24" s="14" t="s">
        <v>334</v>
      </c>
      <c r="D24" s="14">
        <v>12.353227141536207</v>
      </c>
      <c r="E24" s="14">
        <v>0</v>
      </c>
      <c r="F24" s="14">
        <v>0.94065081349076329</v>
      </c>
      <c r="G24" s="14">
        <v>0</v>
      </c>
      <c r="H24" s="14">
        <v>11.412576328045443</v>
      </c>
      <c r="I24" s="12"/>
      <c r="J24" s="12"/>
      <c r="K24" s="12"/>
      <c r="L24" s="12"/>
      <c r="M24" s="12"/>
      <c r="N24" s="12"/>
      <c r="O24" s="14">
        <v>20</v>
      </c>
      <c r="P24" s="14" t="s">
        <v>334</v>
      </c>
      <c r="Q24" s="28">
        <f t="shared" si="0"/>
        <v>1.3683659925793491E-3</v>
      </c>
      <c r="R24" s="14">
        <f t="shared" si="1"/>
        <v>12.353227141536207</v>
      </c>
      <c r="S24" s="12"/>
      <c r="T24" s="14">
        <v>20</v>
      </c>
      <c r="U24" s="14" t="s">
        <v>334</v>
      </c>
      <c r="V24" s="29">
        <f t="shared" si="2"/>
        <v>1.4069158688090071E-3</v>
      </c>
      <c r="W24" s="30">
        <f t="shared" si="8"/>
        <v>151068563.18566674</v>
      </c>
      <c r="X24" s="30">
        <f t="shared" si="4"/>
        <v>52258378.527264625</v>
      </c>
      <c r="Y24" s="30">
        <f t="shared" si="5"/>
        <v>0</v>
      </c>
      <c r="Z24" s="30">
        <f t="shared" si="6"/>
        <v>98810184.6584021</v>
      </c>
    </row>
    <row r="25" spans="2:26" ht="15" customHeight="1" x14ac:dyDescent="0.35">
      <c r="B25" s="14">
        <v>21</v>
      </c>
      <c r="C25" s="14" t="s">
        <v>67</v>
      </c>
      <c r="D25" s="14">
        <v>-207.38899474331001</v>
      </c>
      <c r="E25" s="14">
        <v>0</v>
      </c>
      <c r="F25" s="14">
        <v>17.487853256690013</v>
      </c>
      <c r="G25" s="14">
        <v>0</v>
      </c>
      <c r="H25" s="14">
        <v>-224.87684800000002</v>
      </c>
      <c r="I25" s="12"/>
      <c r="J25" s="12"/>
      <c r="K25" s="12"/>
      <c r="L25" s="12"/>
      <c r="M25" s="12"/>
      <c r="N25" s="12"/>
      <c r="O25" s="14">
        <v>21</v>
      </c>
      <c r="P25" s="32" t="s">
        <v>67</v>
      </c>
      <c r="Q25" s="28">
        <f t="shared" si="0"/>
        <v>0</v>
      </c>
      <c r="R25" s="32">
        <v>0</v>
      </c>
      <c r="S25" s="12"/>
      <c r="T25" s="14">
        <v>21</v>
      </c>
      <c r="U25" s="32" t="s">
        <v>67</v>
      </c>
      <c r="V25" s="29">
        <f t="shared" si="2"/>
        <v>0</v>
      </c>
      <c r="W25" s="33">
        <v>0</v>
      </c>
      <c r="X25" s="30">
        <f t="shared" si="4"/>
        <v>971547403.14944506</v>
      </c>
      <c r="Y25" s="30">
        <f t="shared" si="5"/>
        <v>0</v>
      </c>
      <c r="Z25" s="30">
        <f t="shared" si="6"/>
        <v>-1946985696.969697</v>
      </c>
    </row>
    <row r="26" spans="2:26" ht="15" customHeight="1" x14ac:dyDescent="0.35">
      <c r="B26" s="14">
        <v>22</v>
      </c>
      <c r="C26" s="14" t="s">
        <v>49</v>
      </c>
      <c r="D26" s="14">
        <v>1442.1904971812571</v>
      </c>
      <c r="E26" s="14">
        <v>0</v>
      </c>
      <c r="F26" s="14">
        <v>7.0699127544272944</v>
      </c>
      <c r="G26" s="14">
        <v>1196.4968159999999</v>
      </c>
      <c r="H26" s="14">
        <v>238.62376840982995</v>
      </c>
      <c r="I26" s="12"/>
      <c r="J26" s="12"/>
      <c r="K26" s="12"/>
      <c r="L26" s="12"/>
      <c r="M26" s="12"/>
      <c r="N26" s="12"/>
      <c r="O26" s="14">
        <v>22</v>
      </c>
      <c r="P26" s="14" t="s">
        <v>49</v>
      </c>
      <c r="Q26" s="28">
        <f t="shared" si="0"/>
        <v>0.15975132720813265</v>
      </c>
      <c r="R26" s="14">
        <f t="shared" ref="R26:R47" si="9">D26</f>
        <v>1442.1904971812571</v>
      </c>
      <c r="S26" s="12"/>
      <c r="T26" s="14">
        <v>22</v>
      </c>
      <c r="U26" s="14" t="s">
        <v>49</v>
      </c>
      <c r="V26" s="29">
        <f t="shared" si="2"/>
        <v>8.0220242132618316E-2</v>
      </c>
      <c r="W26" s="30">
        <f t="shared" ref="W26:W47" si="10">X26+Y26+Z26</f>
        <v>8613703907.9954338</v>
      </c>
      <c r="X26" s="30">
        <f t="shared" si="4"/>
        <v>392772930.80151635</v>
      </c>
      <c r="Y26" s="30">
        <f t="shared" si="5"/>
        <v>6154924324.2949562</v>
      </c>
      <c r="Z26" s="30">
        <f t="shared" si="6"/>
        <v>2066006652.8989604</v>
      </c>
    </row>
    <row r="27" spans="2:26" ht="15" customHeight="1" x14ac:dyDescent="0.35">
      <c r="B27" s="14">
        <v>23</v>
      </c>
      <c r="C27" s="14" t="s">
        <v>506</v>
      </c>
      <c r="D27" s="31">
        <v>0.5</v>
      </c>
      <c r="E27" s="31">
        <v>0</v>
      </c>
      <c r="F27" s="31">
        <v>0.5</v>
      </c>
      <c r="G27" s="31">
        <v>0</v>
      </c>
      <c r="H27" s="31">
        <v>0</v>
      </c>
      <c r="I27" s="12"/>
      <c r="J27" s="12"/>
      <c r="K27" s="12"/>
      <c r="L27" s="12"/>
      <c r="M27" s="12"/>
      <c r="N27" s="12"/>
      <c r="O27" s="14">
        <v>23</v>
      </c>
      <c r="P27" s="14" t="s">
        <v>506</v>
      </c>
      <c r="Q27" s="28">
        <f t="shared" si="0"/>
        <v>5.5384960419710351E-5</v>
      </c>
      <c r="R27" s="14">
        <f t="shared" si="9"/>
        <v>0.5</v>
      </c>
      <c r="S27" s="12"/>
      <c r="T27" s="14">
        <v>23</v>
      </c>
      <c r="U27" s="14" t="s">
        <v>506</v>
      </c>
      <c r="V27" s="29">
        <f t="shared" si="2"/>
        <v>2.5869708119070613E-4</v>
      </c>
      <c r="W27" s="30">
        <f t="shared" si="10"/>
        <v>27777777.777777776</v>
      </c>
      <c r="X27" s="30">
        <f t="shared" si="4"/>
        <v>27777777.777777776</v>
      </c>
      <c r="Y27" s="30">
        <f t="shared" si="5"/>
        <v>0</v>
      </c>
      <c r="Z27" s="30">
        <f t="shared" si="6"/>
        <v>0</v>
      </c>
    </row>
    <row r="28" spans="2:26" ht="15" customHeight="1" x14ac:dyDescent="0.35">
      <c r="B28" s="14">
        <v>24</v>
      </c>
      <c r="C28" s="14" t="s">
        <v>418</v>
      </c>
      <c r="D28" s="14">
        <v>25.685780130560001</v>
      </c>
      <c r="E28" s="14">
        <v>0</v>
      </c>
      <c r="F28" s="14">
        <v>12.271230480000002</v>
      </c>
      <c r="G28" s="14">
        <v>0</v>
      </c>
      <c r="H28" s="14">
        <v>13.414549650560001</v>
      </c>
      <c r="I28" s="12"/>
      <c r="J28" s="12"/>
      <c r="K28" s="12"/>
      <c r="L28" s="12"/>
      <c r="M28" s="12"/>
      <c r="N28" s="12"/>
      <c r="O28" s="14">
        <v>24</v>
      </c>
      <c r="P28" s="14" t="s">
        <v>418</v>
      </c>
      <c r="Q28" s="28">
        <f t="shared" si="0"/>
        <v>2.8452118317608965E-3</v>
      </c>
      <c r="R28" s="14">
        <f t="shared" si="9"/>
        <v>25.685780130560001</v>
      </c>
      <c r="S28" s="12"/>
      <c r="T28" s="14">
        <v>24</v>
      </c>
      <c r="U28" s="14" t="s">
        <v>418</v>
      </c>
      <c r="V28" s="29">
        <f t="shared" si="2"/>
        <v>7.4307164722395621E-3</v>
      </c>
      <c r="W28" s="30">
        <f t="shared" si="10"/>
        <v>797878313.68450224</v>
      </c>
      <c r="X28" s="30">
        <f t="shared" si="4"/>
        <v>681735026.66666675</v>
      </c>
      <c r="Y28" s="30">
        <f t="shared" si="5"/>
        <v>0</v>
      </c>
      <c r="Z28" s="30">
        <f t="shared" si="6"/>
        <v>116143287.0178355</v>
      </c>
    </row>
    <row r="29" spans="2:26" ht="15.75" customHeight="1" x14ac:dyDescent="0.35">
      <c r="B29" s="14">
        <v>25</v>
      </c>
      <c r="C29" s="14" t="s">
        <v>542</v>
      </c>
      <c r="D29" s="14">
        <v>0.1</v>
      </c>
      <c r="E29" s="14">
        <v>0</v>
      </c>
      <c r="F29" s="14">
        <v>0.1</v>
      </c>
      <c r="G29" s="14">
        <v>0</v>
      </c>
      <c r="H29" s="14">
        <v>0</v>
      </c>
      <c r="I29" s="12"/>
      <c r="J29" s="12"/>
      <c r="K29" s="12"/>
      <c r="L29" s="12"/>
      <c r="M29" s="12"/>
      <c r="N29" s="12"/>
      <c r="O29" s="14">
        <v>25</v>
      </c>
      <c r="P29" s="14" t="s">
        <v>542</v>
      </c>
      <c r="Q29" s="28">
        <f t="shared" si="0"/>
        <v>1.1076992083942072E-5</v>
      </c>
      <c r="R29" s="14">
        <f t="shared" si="9"/>
        <v>0.1</v>
      </c>
      <c r="S29" s="12"/>
      <c r="T29" s="14">
        <v>25</v>
      </c>
      <c r="U29" s="14" t="s">
        <v>542</v>
      </c>
      <c r="V29" s="29">
        <f t="shared" si="2"/>
        <v>5.1739416238141231E-5</v>
      </c>
      <c r="W29" s="30">
        <f t="shared" si="10"/>
        <v>5555555.555555556</v>
      </c>
      <c r="X29" s="30">
        <f t="shared" si="4"/>
        <v>5555555.555555556</v>
      </c>
      <c r="Y29" s="30">
        <f t="shared" si="5"/>
        <v>0</v>
      </c>
      <c r="Z29" s="30">
        <f t="shared" si="6"/>
        <v>0</v>
      </c>
    </row>
    <row r="30" spans="2:26" ht="15.75" customHeight="1" x14ac:dyDescent="0.35">
      <c r="B30" s="14">
        <v>26</v>
      </c>
      <c r="C30" s="14" t="s">
        <v>330</v>
      </c>
      <c r="D30" s="14">
        <v>1.2313974285697264</v>
      </c>
      <c r="E30" s="14">
        <v>0</v>
      </c>
      <c r="F30" s="14">
        <v>1.2313974285697264</v>
      </c>
      <c r="G30" s="14">
        <v>0</v>
      </c>
      <c r="H30" s="14">
        <v>0</v>
      </c>
      <c r="I30" s="12"/>
      <c r="J30" s="12"/>
      <c r="K30" s="12"/>
      <c r="L30" s="12"/>
      <c r="M30" s="12"/>
      <c r="N30" s="12"/>
      <c r="O30" s="14">
        <v>26</v>
      </c>
      <c r="P30" s="14" t="s">
        <v>330</v>
      </c>
      <c r="Q30" s="28">
        <f t="shared" si="0"/>
        <v>1.364017956845348E-4</v>
      </c>
      <c r="R30" s="14">
        <f t="shared" si="9"/>
        <v>1.2313974285697264</v>
      </c>
      <c r="S30" s="12"/>
      <c r="T30" s="14">
        <v>26</v>
      </c>
      <c r="U30" s="14" t="s">
        <v>330</v>
      </c>
      <c r="V30" s="29">
        <f t="shared" si="2"/>
        <v>6.3711784111345859E-4</v>
      </c>
      <c r="W30" s="30">
        <f t="shared" si="10"/>
        <v>68410968.253873691</v>
      </c>
      <c r="X30" s="30">
        <f t="shared" si="4"/>
        <v>68410968.253873691</v>
      </c>
      <c r="Y30" s="30">
        <f t="shared" si="5"/>
        <v>0</v>
      </c>
      <c r="Z30" s="30">
        <f t="shared" si="6"/>
        <v>0</v>
      </c>
    </row>
    <row r="31" spans="2:26" ht="15.75" customHeight="1" x14ac:dyDescent="0.35">
      <c r="B31" s="14">
        <v>27</v>
      </c>
      <c r="C31" s="14" t="s">
        <v>471</v>
      </c>
      <c r="D31" s="14">
        <v>0.4</v>
      </c>
      <c r="E31" s="14">
        <v>0</v>
      </c>
      <c r="F31" s="14">
        <v>0</v>
      </c>
      <c r="G31" s="14">
        <v>0</v>
      </c>
      <c r="H31" s="14">
        <v>0.4</v>
      </c>
      <c r="I31" s="12"/>
      <c r="J31" s="12"/>
      <c r="K31" s="12"/>
      <c r="L31" s="12"/>
      <c r="M31" s="12"/>
      <c r="N31" s="12"/>
      <c r="O31" s="14">
        <v>27</v>
      </c>
      <c r="P31" s="14" t="s">
        <v>471</v>
      </c>
      <c r="Q31" s="28">
        <f t="shared" si="0"/>
        <v>4.4307968335768288E-5</v>
      </c>
      <c r="R31" s="14">
        <f t="shared" si="9"/>
        <v>0.4</v>
      </c>
      <c r="S31" s="12"/>
      <c r="T31" s="14">
        <v>27</v>
      </c>
      <c r="U31" s="14" t="s">
        <v>471</v>
      </c>
      <c r="V31" s="29">
        <f t="shared" si="2"/>
        <v>3.2253142590010116E-5</v>
      </c>
      <c r="W31" s="30">
        <f t="shared" si="10"/>
        <v>3463203.4632034632</v>
      </c>
      <c r="X31" s="30">
        <f t="shared" si="4"/>
        <v>0</v>
      </c>
      <c r="Y31" s="30">
        <f t="shared" si="5"/>
        <v>0</v>
      </c>
      <c r="Z31" s="30">
        <f t="shared" si="6"/>
        <v>3463203.4632034632</v>
      </c>
    </row>
    <row r="32" spans="2:26" ht="15.75" customHeight="1" x14ac:dyDescent="0.35">
      <c r="B32" s="14">
        <v>28</v>
      </c>
      <c r="C32" s="14" t="s">
        <v>344</v>
      </c>
      <c r="D32" s="14">
        <v>14.006343675328475</v>
      </c>
      <c r="E32" s="14">
        <v>0</v>
      </c>
      <c r="F32" s="14">
        <v>0</v>
      </c>
      <c r="G32" s="14">
        <v>0</v>
      </c>
      <c r="H32" s="14">
        <v>14.006343675328475</v>
      </c>
      <c r="I32" s="12"/>
      <c r="J32" s="12"/>
      <c r="K32" s="12"/>
      <c r="L32" s="12"/>
      <c r="M32" s="12"/>
      <c r="N32" s="12"/>
      <c r="O32" s="14">
        <v>28</v>
      </c>
      <c r="P32" s="14" t="s">
        <v>344</v>
      </c>
      <c r="Q32" s="28">
        <f t="shared" si="0"/>
        <v>1.5514815801658561E-3</v>
      </c>
      <c r="R32" s="14">
        <f t="shared" si="9"/>
        <v>14.006343675328475</v>
      </c>
      <c r="S32" s="12"/>
      <c r="T32" s="14">
        <v>28</v>
      </c>
      <c r="U32" s="14" t="s">
        <v>344</v>
      </c>
      <c r="V32" s="29">
        <f t="shared" si="2"/>
        <v>1.1293714993126391E-3</v>
      </c>
      <c r="W32" s="30">
        <f t="shared" si="10"/>
        <v>121267044.80803874</v>
      </c>
      <c r="X32" s="30">
        <f t="shared" si="4"/>
        <v>0</v>
      </c>
      <c r="Y32" s="30">
        <f t="shared" si="5"/>
        <v>0</v>
      </c>
      <c r="Z32" s="30">
        <f t="shared" si="6"/>
        <v>121267044.80803874</v>
      </c>
    </row>
    <row r="33" spans="2:26" ht="15.75" customHeight="1" x14ac:dyDescent="0.35">
      <c r="B33" s="14">
        <v>29</v>
      </c>
      <c r="C33" s="14" t="s">
        <v>155</v>
      </c>
      <c r="D33" s="14">
        <v>4.1000525148662401</v>
      </c>
      <c r="E33" s="14">
        <v>0</v>
      </c>
      <c r="F33" s="14">
        <v>3.7053230968662398</v>
      </c>
      <c r="G33" s="14">
        <v>0</v>
      </c>
      <c r="H33" s="14">
        <v>0</v>
      </c>
      <c r="I33" s="12"/>
      <c r="J33" s="12"/>
      <c r="K33" s="12"/>
      <c r="L33" s="12"/>
      <c r="M33" s="12"/>
      <c r="N33" s="12"/>
      <c r="O33" s="14">
        <v>29</v>
      </c>
      <c r="P33" s="14" t="s">
        <v>155</v>
      </c>
      <c r="Q33" s="28">
        <f t="shared" si="0"/>
        <v>4.5416249250920121E-4</v>
      </c>
      <c r="R33" s="14">
        <f t="shared" si="9"/>
        <v>4.1000525148662401</v>
      </c>
      <c r="S33" s="12"/>
      <c r="T33" s="14">
        <v>29</v>
      </c>
      <c r="U33" s="14" t="s">
        <v>155</v>
      </c>
      <c r="V33" s="29">
        <f t="shared" si="2"/>
        <v>1.9171125400556086E-3</v>
      </c>
      <c r="W33" s="30">
        <f t="shared" si="10"/>
        <v>205851283.15923554</v>
      </c>
      <c r="X33" s="30">
        <f t="shared" si="4"/>
        <v>205851283.15923554</v>
      </c>
      <c r="Y33" s="30">
        <f t="shared" si="5"/>
        <v>0</v>
      </c>
      <c r="Z33" s="30">
        <f t="shared" si="6"/>
        <v>0</v>
      </c>
    </row>
    <row r="34" spans="2:26" ht="15.75" customHeight="1" x14ac:dyDescent="0.35">
      <c r="B34" s="14">
        <v>30</v>
      </c>
      <c r="C34" s="14" t="s">
        <v>475</v>
      </c>
      <c r="D34" s="14">
        <v>6.5</v>
      </c>
      <c r="E34" s="14">
        <v>0</v>
      </c>
      <c r="F34" s="14">
        <v>0.1</v>
      </c>
      <c r="G34" s="14">
        <v>0</v>
      </c>
      <c r="H34" s="14">
        <v>6.4</v>
      </c>
      <c r="I34" s="12"/>
      <c r="J34" s="12"/>
      <c r="K34" s="12"/>
      <c r="L34" s="12"/>
      <c r="M34" s="12"/>
      <c r="N34" s="12"/>
      <c r="O34" s="14">
        <v>30</v>
      </c>
      <c r="P34" s="14" t="s">
        <v>475</v>
      </c>
      <c r="Q34" s="28">
        <f t="shared" si="0"/>
        <v>7.2000448545623456E-4</v>
      </c>
      <c r="R34" s="14">
        <f t="shared" si="9"/>
        <v>6.5</v>
      </c>
      <c r="S34" s="12"/>
      <c r="T34" s="14">
        <v>30</v>
      </c>
      <c r="U34" s="14" t="s">
        <v>475</v>
      </c>
      <c r="V34" s="29">
        <f t="shared" si="2"/>
        <v>5.6778969767830312E-4</v>
      </c>
      <c r="W34" s="30">
        <f t="shared" si="10"/>
        <v>60966810.966810971</v>
      </c>
      <c r="X34" s="30">
        <f t="shared" si="4"/>
        <v>5555555.555555556</v>
      </c>
      <c r="Y34" s="30">
        <f t="shared" si="5"/>
        <v>0</v>
      </c>
      <c r="Z34" s="30">
        <f t="shared" si="6"/>
        <v>55411255.411255412</v>
      </c>
    </row>
    <row r="35" spans="2:26" ht="15.75" customHeight="1" x14ac:dyDescent="0.35">
      <c r="B35" s="14">
        <v>31</v>
      </c>
      <c r="C35" s="14" t="s">
        <v>428</v>
      </c>
      <c r="D35" s="14">
        <v>1.0226025400000001</v>
      </c>
      <c r="E35" s="14">
        <v>0</v>
      </c>
      <c r="F35" s="14">
        <v>1.0226025400000001</v>
      </c>
      <c r="G35" s="14">
        <v>0</v>
      </c>
      <c r="H35" s="14">
        <v>0</v>
      </c>
      <c r="I35" s="12"/>
      <c r="J35" s="12"/>
      <c r="K35" s="12"/>
      <c r="L35" s="12"/>
      <c r="M35" s="12"/>
      <c r="N35" s="12"/>
      <c r="O35" s="14">
        <v>31</v>
      </c>
      <c r="P35" s="14" t="s">
        <v>428</v>
      </c>
      <c r="Q35" s="28">
        <f t="shared" si="0"/>
        <v>1.1327360240599055E-4</v>
      </c>
      <c r="R35" s="14">
        <f t="shared" si="9"/>
        <v>1.0226025400000001</v>
      </c>
      <c r="S35" s="12"/>
      <c r="T35" s="14">
        <v>31</v>
      </c>
      <c r="U35" s="14" t="s">
        <v>428</v>
      </c>
      <c r="V35" s="29">
        <f t="shared" si="2"/>
        <v>5.290885846324047E-4</v>
      </c>
      <c r="W35" s="30">
        <f t="shared" si="10"/>
        <v>56811252.222222224</v>
      </c>
      <c r="X35" s="30">
        <f t="shared" si="4"/>
        <v>56811252.222222224</v>
      </c>
      <c r="Y35" s="30">
        <f t="shared" si="5"/>
        <v>0</v>
      </c>
      <c r="Z35" s="30">
        <f t="shared" si="6"/>
        <v>0</v>
      </c>
    </row>
    <row r="36" spans="2:26" ht="15.75" customHeight="1" x14ac:dyDescent="0.35">
      <c r="B36" s="14">
        <v>32</v>
      </c>
      <c r="C36" s="14" t="s">
        <v>83</v>
      </c>
      <c r="D36" s="14">
        <v>1294.9749492492526</v>
      </c>
      <c r="E36" s="14">
        <v>0</v>
      </c>
      <c r="F36" s="14">
        <v>20.618877633</v>
      </c>
      <c r="G36" s="14">
        <v>549.23739569999998</v>
      </c>
      <c r="H36" s="14">
        <v>725.1186759002527</v>
      </c>
      <c r="I36" s="12"/>
      <c r="J36" s="12"/>
      <c r="K36" s="12"/>
      <c r="L36" s="12"/>
      <c r="M36" s="12"/>
      <c r="N36" s="12"/>
      <c r="O36" s="14">
        <v>32</v>
      </c>
      <c r="P36" s="14" t="s">
        <v>83</v>
      </c>
      <c r="Q36" s="28">
        <f t="shared" si="0"/>
        <v>0.14344427261737255</v>
      </c>
      <c r="R36" s="14">
        <f t="shared" si="9"/>
        <v>1294.9749492492526</v>
      </c>
      <c r="S36" s="12"/>
      <c r="T36" s="14">
        <v>32</v>
      </c>
      <c r="U36" s="14" t="s">
        <v>83</v>
      </c>
      <c r="V36" s="29">
        <f t="shared" si="2"/>
        <v>9.5449170063933317E-2</v>
      </c>
      <c r="W36" s="30">
        <f t="shared" si="10"/>
        <v>10248920563.408779</v>
      </c>
      <c r="X36" s="30">
        <f t="shared" si="4"/>
        <v>1145493201.8333333</v>
      </c>
      <c r="Y36" s="30">
        <f t="shared" si="5"/>
        <v>2825343587.5472856</v>
      </c>
      <c r="Z36" s="30">
        <f t="shared" si="6"/>
        <v>6278083774.028161</v>
      </c>
    </row>
    <row r="37" spans="2:26" ht="15.75" customHeight="1" x14ac:dyDescent="0.35">
      <c r="B37" s="14">
        <v>33</v>
      </c>
      <c r="C37" s="14" t="s">
        <v>75</v>
      </c>
      <c r="D37" s="14">
        <v>788.40724577871219</v>
      </c>
      <c r="E37" s="14">
        <v>0</v>
      </c>
      <c r="F37" s="14">
        <v>42.85684059895457</v>
      </c>
      <c r="G37" s="14">
        <v>363.92678898387129</v>
      </c>
      <c r="H37" s="14">
        <v>379.61540527488631</v>
      </c>
      <c r="I37" s="12"/>
      <c r="J37" s="12"/>
      <c r="K37" s="12"/>
      <c r="L37" s="12"/>
      <c r="M37" s="12"/>
      <c r="N37" s="12"/>
      <c r="O37" s="14">
        <v>33</v>
      </c>
      <c r="P37" s="14" t="s">
        <v>75</v>
      </c>
      <c r="Q37" s="28">
        <f t="shared" si="0"/>
        <v>8.7331808204133651E-2</v>
      </c>
      <c r="R37" s="14">
        <f t="shared" si="9"/>
        <v>788.40724577871219</v>
      </c>
      <c r="S37" s="12"/>
      <c r="T37" s="14">
        <v>33</v>
      </c>
      <c r="U37" s="14" t="s">
        <v>75</v>
      </c>
      <c r="V37" s="29">
        <f t="shared" si="2"/>
        <v>7.0218244184132778E-2</v>
      </c>
      <c r="W37" s="30">
        <f t="shared" si="10"/>
        <v>7539732469.786561</v>
      </c>
      <c r="X37" s="30">
        <f t="shared" si="4"/>
        <v>2380935588.8308091</v>
      </c>
      <c r="Y37" s="30">
        <f t="shared" si="5"/>
        <v>1872083415.3723209</v>
      </c>
      <c r="Z37" s="30">
        <f t="shared" si="6"/>
        <v>3286713465.5834312</v>
      </c>
    </row>
    <row r="38" spans="2:26" ht="15.75" customHeight="1" x14ac:dyDescent="0.35">
      <c r="B38" s="14">
        <v>34</v>
      </c>
      <c r="C38" s="14" t="s">
        <v>288</v>
      </c>
      <c r="D38" s="14">
        <v>157.62730372764528</v>
      </c>
      <c r="E38" s="14">
        <v>0</v>
      </c>
      <c r="F38" s="14">
        <v>157.62730372764528</v>
      </c>
      <c r="G38" s="14">
        <v>0</v>
      </c>
      <c r="H38" s="14">
        <v>0</v>
      </c>
      <c r="I38" s="12"/>
      <c r="J38" s="12"/>
      <c r="K38" s="12"/>
      <c r="L38" s="12"/>
      <c r="M38" s="12"/>
      <c r="N38" s="12"/>
      <c r="O38" s="14">
        <v>34</v>
      </c>
      <c r="P38" s="14" t="s">
        <v>288</v>
      </c>
      <c r="Q38" s="28">
        <f t="shared" si="0"/>
        <v>1.7460363956042592E-2</v>
      </c>
      <c r="R38" s="14">
        <f t="shared" si="9"/>
        <v>157.62730372764528</v>
      </c>
      <c r="S38" s="12"/>
      <c r="T38" s="14">
        <v>34</v>
      </c>
      <c r="U38" s="14" t="s">
        <v>288</v>
      </c>
      <c r="V38" s="29">
        <f t="shared" si="2"/>
        <v>8.1555446780605501E-2</v>
      </c>
      <c r="W38" s="30">
        <f t="shared" si="10"/>
        <v>8757072429.3136272</v>
      </c>
      <c r="X38" s="30">
        <f t="shared" si="4"/>
        <v>8757072429.3136272</v>
      </c>
      <c r="Y38" s="30">
        <f t="shared" si="5"/>
        <v>0</v>
      </c>
      <c r="Z38" s="30">
        <f t="shared" si="6"/>
        <v>0</v>
      </c>
    </row>
    <row r="39" spans="2:26" ht="15.75" customHeight="1" x14ac:dyDescent="0.35">
      <c r="B39" s="14">
        <v>35</v>
      </c>
      <c r="C39" s="14" t="s">
        <v>140</v>
      </c>
      <c r="D39" s="14">
        <v>351.48520430950214</v>
      </c>
      <c r="E39" s="14">
        <v>0</v>
      </c>
      <c r="F39" s="14">
        <v>5.00735413584552</v>
      </c>
      <c r="G39" s="14">
        <v>0</v>
      </c>
      <c r="H39" s="14">
        <v>345.93033842665659</v>
      </c>
      <c r="I39" s="12"/>
      <c r="J39" s="12"/>
      <c r="K39" s="12"/>
      <c r="L39" s="12"/>
      <c r="M39" s="12"/>
      <c r="N39" s="12"/>
      <c r="O39" s="14">
        <v>35</v>
      </c>
      <c r="P39" s="14" t="s">
        <v>140</v>
      </c>
      <c r="Q39" s="28">
        <f t="shared" si="0"/>
        <v>3.8933988257591166E-2</v>
      </c>
      <c r="R39" s="14">
        <f t="shared" si="9"/>
        <v>351.48520430950214</v>
      </c>
      <c r="S39" s="12"/>
      <c r="T39" s="14">
        <v>35</v>
      </c>
      <c r="U39" s="14" t="s">
        <v>140</v>
      </c>
      <c r="V39" s="29">
        <f t="shared" si="2"/>
        <v>3.0484127127576421E-2</v>
      </c>
      <c r="W39" s="30">
        <f t="shared" si="10"/>
        <v>3273254206.0461645</v>
      </c>
      <c r="X39" s="30">
        <f t="shared" si="4"/>
        <v>278186340.88030666</v>
      </c>
      <c r="Y39" s="30">
        <f t="shared" si="5"/>
        <v>0</v>
      </c>
      <c r="Z39" s="30">
        <f t="shared" si="6"/>
        <v>2995067865.1658578</v>
      </c>
    </row>
    <row r="40" spans="2:26" ht="15.75" customHeight="1" x14ac:dyDescent="0.35">
      <c r="B40" s="14">
        <v>36</v>
      </c>
      <c r="C40" s="14" t="s">
        <v>340</v>
      </c>
      <c r="D40" s="14">
        <v>4.4602735931507631</v>
      </c>
      <c r="E40" s="14">
        <v>0</v>
      </c>
      <c r="F40" s="14">
        <v>0.94065081349076329</v>
      </c>
      <c r="G40" s="14">
        <v>0</v>
      </c>
      <c r="H40" s="14">
        <v>3.5196227796600001</v>
      </c>
      <c r="I40" s="12"/>
      <c r="J40" s="12"/>
      <c r="K40" s="12"/>
      <c r="L40" s="12"/>
      <c r="M40" s="12"/>
      <c r="N40" s="12"/>
      <c r="O40" s="14">
        <v>36</v>
      </c>
      <c r="P40" s="14" t="s">
        <v>340</v>
      </c>
      <c r="Q40" s="28">
        <f t="shared" si="0"/>
        <v>4.9406415283546857E-4</v>
      </c>
      <c r="R40" s="14">
        <f t="shared" si="9"/>
        <v>4.4602735931507631</v>
      </c>
      <c r="S40" s="12"/>
      <c r="T40" s="14">
        <v>36</v>
      </c>
      <c r="U40" s="14" t="s">
        <v>340</v>
      </c>
      <c r="V40" s="29">
        <f t="shared" si="2"/>
        <v>7.7048447817800185E-4</v>
      </c>
      <c r="W40" s="30">
        <f t="shared" si="10"/>
        <v>82731303.026485398</v>
      </c>
      <c r="X40" s="30">
        <f t="shared" si="4"/>
        <v>52258378.527264625</v>
      </c>
      <c r="Y40" s="30">
        <f t="shared" si="5"/>
        <v>0</v>
      </c>
      <c r="Z40" s="30">
        <f t="shared" si="6"/>
        <v>30472924.499220777</v>
      </c>
    </row>
    <row r="41" spans="2:26" ht="15.75" customHeight="1" x14ac:dyDescent="0.35">
      <c r="B41" s="14">
        <v>37</v>
      </c>
      <c r="C41" s="14" t="s">
        <v>378</v>
      </c>
      <c r="D41" s="14">
        <v>9.0028765052432416</v>
      </c>
      <c r="E41" s="14">
        <v>0</v>
      </c>
      <c r="F41" s="14">
        <v>9.0028765052432416</v>
      </c>
      <c r="G41" s="14">
        <v>0</v>
      </c>
      <c r="H41" s="14">
        <v>0</v>
      </c>
      <c r="I41" s="12"/>
      <c r="J41" s="12"/>
      <c r="K41" s="12"/>
      <c r="L41" s="12"/>
      <c r="M41" s="12"/>
      <c r="N41" s="12"/>
      <c r="O41" s="14">
        <v>37</v>
      </c>
      <c r="P41" s="14" t="s">
        <v>378</v>
      </c>
      <c r="Q41" s="28">
        <f t="shared" si="0"/>
        <v>9.9724791781287446E-4</v>
      </c>
      <c r="R41" s="14">
        <f t="shared" si="9"/>
        <v>9.0028765052432416</v>
      </c>
      <c r="S41" s="12"/>
      <c r="T41" s="14">
        <v>37</v>
      </c>
      <c r="U41" s="14" t="s">
        <v>378</v>
      </c>
      <c r="V41" s="29">
        <f t="shared" si="2"/>
        <v>4.6580357484536225E-3</v>
      </c>
      <c r="W41" s="30">
        <f t="shared" si="10"/>
        <v>500159805.8468467</v>
      </c>
      <c r="X41" s="30">
        <f t="shared" si="4"/>
        <v>500159805.8468467</v>
      </c>
      <c r="Y41" s="30">
        <f t="shared" si="5"/>
        <v>0</v>
      </c>
      <c r="Z41" s="30">
        <f t="shared" si="6"/>
        <v>0</v>
      </c>
    </row>
    <row r="42" spans="2:26" ht="15.75" customHeight="1" x14ac:dyDescent="0.35">
      <c r="B42" s="14">
        <v>38</v>
      </c>
      <c r="C42" s="14" t="s">
        <v>431</v>
      </c>
      <c r="D42" s="14">
        <v>0</v>
      </c>
      <c r="E42" s="14">
        <v>0</v>
      </c>
      <c r="F42" s="14">
        <v>0</v>
      </c>
      <c r="G42" s="14">
        <v>0</v>
      </c>
      <c r="H42" s="14">
        <v>0</v>
      </c>
      <c r="I42" s="12"/>
      <c r="J42" s="12"/>
      <c r="K42" s="12"/>
      <c r="L42" s="12"/>
      <c r="M42" s="12"/>
      <c r="N42" s="12"/>
      <c r="O42" s="14">
        <v>38</v>
      </c>
      <c r="P42" s="14" t="s">
        <v>431</v>
      </c>
      <c r="Q42" s="28">
        <f t="shared" si="0"/>
        <v>0</v>
      </c>
      <c r="R42" s="14">
        <f t="shared" si="9"/>
        <v>0</v>
      </c>
      <c r="S42" s="12"/>
      <c r="T42" s="14">
        <v>38</v>
      </c>
      <c r="U42" s="14" t="s">
        <v>431</v>
      </c>
      <c r="V42" s="29">
        <f t="shared" si="2"/>
        <v>0</v>
      </c>
      <c r="W42" s="30">
        <f t="shared" si="10"/>
        <v>0</v>
      </c>
      <c r="X42" s="30">
        <f t="shared" si="4"/>
        <v>0</v>
      </c>
      <c r="Y42" s="30">
        <f t="shared" si="5"/>
        <v>0</v>
      </c>
      <c r="Z42" s="30">
        <f t="shared" si="6"/>
        <v>0</v>
      </c>
    </row>
    <row r="43" spans="2:26" ht="15.75" customHeight="1" x14ac:dyDescent="0.35">
      <c r="B43" s="14">
        <v>39</v>
      </c>
      <c r="C43" s="14" t="s">
        <v>271</v>
      </c>
      <c r="D43" s="14">
        <v>5.9239999999999995</v>
      </c>
      <c r="E43" s="14">
        <v>0</v>
      </c>
      <c r="F43" s="14">
        <v>5.9239999999999995</v>
      </c>
      <c r="G43" s="14">
        <v>0</v>
      </c>
      <c r="H43" s="14">
        <v>0</v>
      </c>
      <c r="I43" s="12"/>
      <c r="J43" s="12"/>
      <c r="K43" s="12"/>
      <c r="L43" s="12"/>
      <c r="M43" s="12"/>
      <c r="N43" s="12"/>
      <c r="O43" s="14">
        <v>39</v>
      </c>
      <c r="P43" s="14" t="s">
        <v>271</v>
      </c>
      <c r="Q43" s="28">
        <f t="shared" si="0"/>
        <v>6.5620101105272821E-4</v>
      </c>
      <c r="R43" s="14">
        <f t="shared" si="9"/>
        <v>5.9239999999999995</v>
      </c>
      <c r="S43" s="12"/>
      <c r="T43" s="14">
        <v>39</v>
      </c>
      <c r="U43" s="14" t="s">
        <v>271</v>
      </c>
      <c r="V43" s="29">
        <f t="shared" si="2"/>
        <v>3.0650430179474859E-3</v>
      </c>
      <c r="W43" s="30">
        <f t="shared" si="10"/>
        <v>329111111.11111104</v>
      </c>
      <c r="X43" s="30">
        <f t="shared" si="4"/>
        <v>329111111.11111104</v>
      </c>
      <c r="Y43" s="30">
        <f t="shared" si="5"/>
        <v>0</v>
      </c>
      <c r="Z43" s="30">
        <f t="shared" si="6"/>
        <v>0</v>
      </c>
    </row>
    <row r="44" spans="2:26" ht="15.75" customHeight="1" x14ac:dyDescent="0.35">
      <c r="B44" s="14">
        <v>40</v>
      </c>
      <c r="C44" s="14" t="s">
        <v>337</v>
      </c>
      <c r="D44" s="14">
        <v>2.1948518981451142</v>
      </c>
      <c r="E44" s="14">
        <v>0</v>
      </c>
      <c r="F44" s="14">
        <v>2.1948518981451142</v>
      </c>
      <c r="G44" s="14">
        <v>0</v>
      </c>
      <c r="H44" s="14">
        <v>0</v>
      </c>
      <c r="I44" s="12"/>
      <c r="J44" s="12"/>
      <c r="K44" s="12"/>
      <c r="L44" s="12"/>
      <c r="M44" s="12"/>
      <c r="N44" s="12"/>
      <c r="O44" s="14">
        <v>40</v>
      </c>
      <c r="P44" s="14" t="s">
        <v>337</v>
      </c>
      <c r="Q44" s="28">
        <f t="shared" si="0"/>
        <v>2.4312357101178658E-4</v>
      </c>
      <c r="R44" s="14">
        <f t="shared" si="9"/>
        <v>2.1948518981451142</v>
      </c>
      <c r="S44" s="12"/>
      <c r="T44" s="14">
        <v>40</v>
      </c>
      <c r="U44" s="14" t="s">
        <v>337</v>
      </c>
      <c r="V44" s="29">
        <f t="shared" si="2"/>
        <v>1.1356035593920442E-3</v>
      </c>
      <c r="W44" s="30">
        <f t="shared" si="10"/>
        <v>121936216.56361745</v>
      </c>
      <c r="X44" s="30">
        <f t="shared" si="4"/>
        <v>121936216.56361745</v>
      </c>
      <c r="Y44" s="30">
        <f t="shared" si="5"/>
        <v>0</v>
      </c>
      <c r="Z44" s="30">
        <f t="shared" si="6"/>
        <v>0</v>
      </c>
    </row>
    <row r="45" spans="2:26" ht="15.75" customHeight="1" x14ac:dyDescent="0.35">
      <c r="B45" s="14">
        <v>41</v>
      </c>
      <c r="C45" s="14" t="s">
        <v>261</v>
      </c>
      <c r="D45" s="14">
        <v>33.549000000000007</v>
      </c>
      <c r="E45" s="14">
        <v>0</v>
      </c>
      <c r="F45" s="14">
        <v>33.549000000000007</v>
      </c>
      <c r="G45" s="14">
        <v>0</v>
      </c>
      <c r="H45" s="14">
        <v>0</v>
      </c>
      <c r="I45" s="12"/>
      <c r="J45" s="12"/>
      <c r="K45" s="12"/>
      <c r="L45" s="12"/>
      <c r="M45" s="12"/>
      <c r="N45" s="12"/>
      <c r="O45" s="14">
        <v>41</v>
      </c>
      <c r="P45" s="14" t="s">
        <v>261</v>
      </c>
      <c r="Q45" s="28">
        <f t="shared" si="0"/>
        <v>3.7162200742417262E-3</v>
      </c>
      <c r="R45" s="14">
        <f t="shared" si="9"/>
        <v>33.549000000000007</v>
      </c>
      <c r="S45" s="12"/>
      <c r="T45" s="14">
        <v>41</v>
      </c>
      <c r="U45" s="14" t="s">
        <v>261</v>
      </c>
      <c r="V45" s="29">
        <f t="shared" si="2"/>
        <v>1.7358056753734002E-2</v>
      </c>
      <c r="W45" s="30">
        <f t="shared" si="10"/>
        <v>1863833333.3333335</v>
      </c>
      <c r="X45" s="30">
        <f t="shared" si="4"/>
        <v>1863833333.3333335</v>
      </c>
      <c r="Y45" s="30">
        <f t="shared" si="5"/>
        <v>0</v>
      </c>
      <c r="Z45" s="30">
        <f t="shared" si="6"/>
        <v>0</v>
      </c>
    </row>
    <row r="46" spans="2:26" ht="15.75" customHeight="1" x14ac:dyDescent="0.35">
      <c r="B46" s="14">
        <v>42</v>
      </c>
      <c r="C46" s="14" t="s">
        <v>565</v>
      </c>
      <c r="D46" s="14">
        <v>21.117600000000003</v>
      </c>
      <c r="E46" s="14">
        <v>0</v>
      </c>
      <c r="F46" s="14">
        <v>2.6816000000000004</v>
      </c>
      <c r="G46" s="14">
        <v>0</v>
      </c>
      <c r="H46" s="14">
        <v>18.436000000000003</v>
      </c>
      <c r="I46" s="12"/>
      <c r="J46" s="12"/>
      <c r="K46" s="12"/>
      <c r="L46" s="12"/>
      <c r="M46" s="12"/>
      <c r="N46" s="12"/>
      <c r="O46" s="14">
        <v>42</v>
      </c>
      <c r="P46" s="14" t="s">
        <v>565</v>
      </c>
      <c r="Q46" s="28">
        <f t="shared" si="0"/>
        <v>2.3391948803185509E-3</v>
      </c>
      <c r="R46" s="14">
        <f t="shared" si="9"/>
        <v>21.117600000000003</v>
      </c>
      <c r="S46" s="12"/>
      <c r="T46" s="14">
        <v>42</v>
      </c>
      <c r="U46" s="14" t="s">
        <v>565</v>
      </c>
      <c r="V46" s="29">
        <f t="shared" si="2"/>
        <v>2.8739915278155619E-3</v>
      </c>
      <c r="W46" s="30">
        <f t="shared" si="10"/>
        <v>308596825.39682543</v>
      </c>
      <c r="X46" s="30">
        <f t="shared" si="4"/>
        <v>148977777.77777779</v>
      </c>
      <c r="Y46" s="30">
        <f t="shared" si="5"/>
        <v>0</v>
      </c>
      <c r="Z46" s="30">
        <f t="shared" si="6"/>
        <v>159619047.61904764</v>
      </c>
    </row>
    <row r="47" spans="2:26" ht="15.75" customHeight="1" x14ac:dyDescent="0.35">
      <c r="B47" s="14">
        <v>43</v>
      </c>
      <c r="C47" s="14" t="s">
        <v>100</v>
      </c>
      <c r="D47" s="14">
        <v>25.800143616045187</v>
      </c>
      <c r="E47" s="14">
        <v>0</v>
      </c>
      <c r="F47" s="14">
        <v>24.327661781045187</v>
      </c>
      <c r="G47" s="14">
        <v>0</v>
      </c>
      <c r="H47" s="14">
        <v>0.5</v>
      </c>
      <c r="I47" s="12"/>
      <c r="J47" s="12"/>
      <c r="K47" s="12"/>
      <c r="L47" s="12"/>
      <c r="M47" s="12"/>
      <c r="N47" s="12"/>
      <c r="O47" s="14">
        <v>43</v>
      </c>
      <c r="P47" s="14" t="s">
        <v>100</v>
      </c>
      <c r="Q47" s="28">
        <f t="shared" si="0"/>
        <v>2.8578798659950107E-3</v>
      </c>
      <c r="R47" s="14">
        <f t="shared" si="9"/>
        <v>25.800143616045187</v>
      </c>
      <c r="S47" s="12"/>
      <c r="T47" s="14">
        <v>43</v>
      </c>
      <c r="U47" s="14" t="s">
        <v>100</v>
      </c>
      <c r="V47" s="29">
        <f t="shared" si="2"/>
        <v>1.2627306618139683E-2</v>
      </c>
      <c r="W47" s="30">
        <f t="shared" si="10"/>
        <v>1355865769.9426258</v>
      </c>
      <c r="X47" s="30">
        <f t="shared" si="4"/>
        <v>1351536765.6136215</v>
      </c>
      <c r="Y47" s="30">
        <f t="shared" si="5"/>
        <v>0</v>
      </c>
      <c r="Z47" s="30">
        <f t="shared" si="6"/>
        <v>4329004.3290043287</v>
      </c>
    </row>
    <row r="48" spans="2:26" ht="15.75" customHeight="1" x14ac:dyDescent="0.35">
      <c r="B48" s="14">
        <v>44</v>
      </c>
      <c r="C48" s="14" t="s">
        <v>58</v>
      </c>
      <c r="D48" s="14">
        <v>-377.44709007352935</v>
      </c>
      <c r="E48" s="14">
        <v>0</v>
      </c>
      <c r="F48" s="14">
        <v>0</v>
      </c>
      <c r="G48" s="14">
        <v>0</v>
      </c>
      <c r="H48" s="14">
        <v>-377.44709007352935</v>
      </c>
      <c r="I48" s="12"/>
      <c r="J48" s="12"/>
      <c r="K48" s="12"/>
      <c r="L48" s="12"/>
      <c r="M48" s="12"/>
      <c r="N48" s="12"/>
      <c r="O48" s="14">
        <v>44</v>
      </c>
      <c r="P48" s="32" t="s">
        <v>58</v>
      </c>
      <c r="Q48" s="28">
        <f t="shared" si="0"/>
        <v>0</v>
      </c>
      <c r="R48" s="32">
        <v>0</v>
      </c>
      <c r="S48" s="12"/>
      <c r="T48" s="14">
        <v>44</v>
      </c>
      <c r="U48" s="32" t="s">
        <v>58</v>
      </c>
      <c r="V48" s="29">
        <f t="shared" si="2"/>
        <v>0</v>
      </c>
      <c r="W48" s="33">
        <v>0</v>
      </c>
      <c r="X48" s="30">
        <f t="shared" si="4"/>
        <v>0</v>
      </c>
      <c r="Y48" s="30">
        <f t="shared" si="5"/>
        <v>0</v>
      </c>
      <c r="Z48" s="30">
        <f t="shared" si="6"/>
        <v>-3267940173.7967906</v>
      </c>
    </row>
    <row r="49" spans="2:26" ht="15.75" customHeight="1" x14ac:dyDescent="0.35">
      <c r="B49" s="14">
        <v>45</v>
      </c>
      <c r="C49" s="14" t="s">
        <v>229</v>
      </c>
      <c r="D49" s="14">
        <v>26.576935636136099</v>
      </c>
      <c r="E49" s="14">
        <v>0</v>
      </c>
      <c r="F49" s="14">
        <v>4.8047302619999996</v>
      </c>
      <c r="G49" s="14">
        <v>3.2</v>
      </c>
      <c r="H49" s="14">
        <v>18.572205374136097</v>
      </c>
      <c r="I49" s="12"/>
      <c r="J49" s="12"/>
      <c r="K49" s="12"/>
      <c r="L49" s="12"/>
      <c r="M49" s="12"/>
      <c r="N49" s="12"/>
      <c r="O49" s="14">
        <v>45</v>
      </c>
      <c r="P49" s="14" t="s">
        <v>229</v>
      </c>
      <c r="Q49" s="28">
        <f t="shared" si="0"/>
        <v>2.9439250565691747E-3</v>
      </c>
      <c r="R49" s="14">
        <f t="shared" ref="R49:R51" si="11">D49</f>
        <v>26.576935636136099</v>
      </c>
      <c r="S49" s="12"/>
      <c r="T49" s="14">
        <v>45</v>
      </c>
      <c r="U49" s="14" t="s">
        <v>229</v>
      </c>
      <c r="V49" s="29">
        <f t="shared" si="2"/>
        <v>4.1367739568438583E-3</v>
      </c>
      <c r="W49" s="30">
        <f t="shared" ref="W49:W51" si="12">X49+Y49+Z49</f>
        <v>444188960.93148267</v>
      </c>
      <c r="X49" s="30">
        <f t="shared" si="4"/>
        <v>266929458.99999997</v>
      </c>
      <c r="Y49" s="30">
        <f t="shared" si="5"/>
        <v>16461187.003897438</v>
      </c>
      <c r="Z49" s="30">
        <f t="shared" si="6"/>
        <v>160798314.92758524</v>
      </c>
    </row>
    <row r="50" spans="2:26" ht="15.75" customHeight="1" x14ac:dyDescent="0.35">
      <c r="B50" s="14">
        <v>46</v>
      </c>
      <c r="C50" s="14" t="s">
        <v>1615</v>
      </c>
      <c r="D50" s="14">
        <v>16.82650683</v>
      </c>
      <c r="E50" s="14"/>
      <c r="F50" s="14"/>
      <c r="G50" s="14"/>
      <c r="H50" s="14">
        <v>16.82650683</v>
      </c>
      <c r="I50" s="12"/>
      <c r="J50" s="12"/>
      <c r="K50" s="12"/>
      <c r="L50" s="12"/>
      <c r="M50" s="12"/>
      <c r="N50" s="12"/>
      <c r="O50" s="14">
        <v>46</v>
      </c>
      <c r="P50" s="13" t="s">
        <v>1615</v>
      </c>
      <c r="Q50" s="28">
        <f t="shared" si="0"/>
        <v>1.8638708295630718E-3</v>
      </c>
      <c r="R50" s="14">
        <f t="shared" si="11"/>
        <v>16.82650683</v>
      </c>
      <c r="S50" s="12"/>
      <c r="T50" s="14">
        <v>46</v>
      </c>
      <c r="U50" s="13" t="s">
        <v>1615</v>
      </c>
      <c r="V50" s="29">
        <f t="shared" si="2"/>
        <v>1.3567693101994226E-3</v>
      </c>
      <c r="W50" s="30">
        <f t="shared" si="12"/>
        <v>145684041.81818181</v>
      </c>
      <c r="X50" s="30">
        <f t="shared" si="4"/>
        <v>0</v>
      </c>
      <c r="Y50" s="30">
        <f t="shared" si="5"/>
        <v>0</v>
      </c>
      <c r="Z50" s="30">
        <f t="shared" si="6"/>
        <v>145684041.81818181</v>
      </c>
    </row>
    <row r="51" spans="2:26" ht="15.75" customHeight="1" x14ac:dyDescent="0.35">
      <c r="B51" s="14">
        <v>47</v>
      </c>
      <c r="C51" s="14" t="s">
        <v>109</v>
      </c>
      <c r="D51" s="14">
        <v>2.4829283476317023</v>
      </c>
      <c r="E51" s="14">
        <v>0</v>
      </c>
      <c r="F51" s="14">
        <v>2.4829283476317023</v>
      </c>
      <c r="G51" s="14">
        <v>0</v>
      </c>
      <c r="H51" s="14">
        <v>0</v>
      </c>
      <c r="I51" s="12"/>
      <c r="J51" s="12"/>
      <c r="K51" s="12"/>
      <c r="L51" s="12"/>
      <c r="M51" s="12"/>
      <c r="N51" s="12"/>
      <c r="O51" s="14">
        <v>47</v>
      </c>
      <c r="P51" s="14" t="s">
        <v>109</v>
      </c>
      <c r="Q51" s="28">
        <f t="shared" si="0"/>
        <v>2.7503377651711731E-4</v>
      </c>
      <c r="R51" s="14">
        <f t="shared" si="11"/>
        <v>2.4829283476317023</v>
      </c>
      <c r="S51" s="12"/>
      <c r="T51" s="14">
        <v>47</v>
      </c>
      <c r="U51" s="14" t="s">
        <v>109</v>
      </c>
      <c r="V51" s="29">
        <f t="shared" si="2"/>
        <v>1.2846526326759687E-3</v>
      </c>
      <c r="W51" s="30">
        <f t="shared" si="12"/>
        <v>137940463.7573168</v>
      </c>
      <c r="X51" s="30">
        <f t="shared" si="4"/>
        <v>137940463.7573168</v>
      </c>
      <c r="Y51" s="30">
        <f t="shared" si="5"/>
        <v>0</v>
      </c>
      <c r="Z51" s="30">
        <f t="shared" si="6"/>
        <v>0</v>
      </c>
    </row>
    <row r="52" spans="2:26" ht="15.75" customHeight="1" x14ac:dyDescent="0.35">
      <c r="B52" s="14">
        <v>48</v>
      </c>
      <c r="C52" s="14" t="s">
        <v>452</v>
      </c>
      <c r="D52" s="14">
        <v>-2.9020031999999993</v>
      </c>
      <c r="E52" s="14">
        <v>0</v>
      </c>
      <c r="F52" s="14">
        <v>0.16122240000000002</v>
      </c>
      <c r="G52" s="14">
        <v>0</v>
      </c>
      <c r="H52" s="14">
        <v>-3.0632255999999995</v>
      </c>
      <c r="I52" s="12"/>
      <c r="J52" s="12"/>
      <c r="K52" s="12"/>
      <c r="L52" s="12"/>
      <c r="M52" s="12"/>
      <c r="N52" s="12"/>
      <c r="O52" s="14">
        <v>48</v>
      </c>
      <c r="P52" s="32" t="s">
        <v>452</v>
      </c>
      <c r="Q52" s="28">
        <f t="shared" si="0"/>
        <v>0</v>
      </c>
      <c r="R52" s="32">
        <v>0</v>
      </c>
      <c r="S52" s="12"/>
      <c r="T52" s="14">
        <v>48</v>
      </c>
      <c r="U52" s="32" t="s">
        <v>452</v>
      </c>
      <c r="V52" s="29">
        <f t="shared" si="2"/>
        <v>0</v>
      </c>
      <c r="W52" s="33">
        <v>0</v>
      </c>
      <c r="X52" s="30">
        <f t="shared" si="4"/>
        <v>8956800</v>
      </c>
      <c r="Y52" s="30">
        <f t="shared" si="5"/>
        <v>0</v>
      </c>
      <c r="Z52" s="30">
        <f t="shared" si="6"/>
        <v>-26521433.766233761</v>
      </c>
    </row>
    <row r="53" spans="2:26" ht="15.75" customHeight="1" x14ac:dyDescent="0.35">
      <c r="B53" s="14">
        <v>49</v>
      </c>
      <c r="C53" s="14" t="s">
        <v>826</v>
      </c>
      <c r="D53" s="14">
        <v>151.17728550000001</v>
      </c>
      <c r="E53" s="12"/>
      <c r="F53" s="14">
        <v>10.37478447</v>
      </c>
      <c r="G53" s="14">
        <v>102.68298420000001</v>
      </c>
      <c r="H53" s="14">
        <v>38.119516830000002</v>
      </c>
      <c r="I53" s="12"/>
      <c r="J53" s="12"/>
      <c r="K53" s="12"/>
      <c r="L53" s="12"/>
      <c r="M53" s="12"/>
      <c r="N53" s="12"/>
      <c r="O53" s="14">
        <v>49</v>
      </c>
      <c r="P53" s="14" t="s">
        <v>826</v>
      </c>
      <c r="Q53" s="28">
        <f t="shared" si="0"/>
        <v>1.6745895947553505E-2</v>
      </c>
      <c r="R53" s="14">
        <f t="shared" ref="R53:R68" si="13">D53</f>
        <v>151.17728550000001</v>
      </c>
      <c r="S53" s="12"/>
      <c r="T53" s="14">
        <v>49</v>
      </c>
      <c r="U53" s="14" t="s">
        <v>826</v>
      </c>
      <c r="V53" s="29">
        <f t="shared" si="2"/>
        <v>1.3360842676090268E-2</v>
      </c>
      <c r="W53" s="30">
        <f t="shared" ref="W53:W68" si="14">X53+Y53+Z53</f>
        <v>1434629710.8265111</v>
      </c>
      <c r="X53" s="30">
        <f t="shared" si="4"/>
        <v>576376915</v>
      </c>
      <c r="Y53" s="30">
        <f t="shared" si="5"/>
        <v>528213689.07326436</v>
      </c>
      <c r="Z53" s="30">
        <f t="shared" si="6"/>
        <v>330039106.75324672</v>
      </c>
    </row>
    <row r="54" spans="2:26" ht="15.75" customHeight="1" x14ac:dyDescent="0.35">
      <c r="B54" s="14">
        <v>50</v>
      </c>
      <c r="C54" s="14" t="s">
        <v>809</v>
      </c>
      <c r="D54" s="14">
        <v>397.29716575999998</v>
      </c>
      <c r="E54" s="14">
        <v>0</v>
      </c>
      <c r="F54" s="14">
        <v>26.585645763000002</v>
      </c>
      <c r="G54" s="14">
        <v>270.34864346000001</v>
      </c>
      <c r="H54" s="14">
        <v>100.36287655000001</v>
      </c>
      <c r="I54" s="12"/>
      <c r="J54" s="12"/>
      <c r="K54" s="12"/>
      <c r="L54" s="12"/>
      <c r="M54" s="12"/>
      <c r="N54" s="12"/>
      <c r="O54" s="14">
        <v>50</v>
      </c>
      <c r="P54" s="14" t="s">
        <v>809</v>
      </c>
      <c r="Q54" s="28">
        <f t="shared" si="0"/>
        <v>4.4008575600961407E-2</v>
      </c>
      <c r="R54" s="14">
        <f t="shared" si="13"/>
        <v>397.29716575999998</v>
      </c>
      <c r="S54" s="12"/>
      <c r="T54" s="14">
        <v>50</v>
      </c>
      <c r="U54" s="14" t="s">
        <v>809</v>
      </c>
      <c r="V54" s="29">
        <f t="shared" si="2"/>
        <v>3.4799581423993482E-2</v>
      </c>
      <c r="W54" s="30">
        <f t="shared" si="14"/>
        <v>3736629091.8558002</v>
      </c>
      <c r="X54" s="30">
        <f t="shared" si="4"/>
        <v>1476980320.1666667</v>
      </c>
      <c r="Y54" s="30">
        <f t="shared" si="5"/>
        <v>1390706117.5765793</v>
      </c>
      <c r="Z54" s="30">
        <f t="shared" si="6"/>
        <v>868942654.11255419</v>
      </c>
    </row>
    <row r="55" spans="2:26" ht="15.75" customHeight="1" x14ac:dyDescent="0.35">
      <c r="B55" s="14">
        <v>51</v>
      </c>
      <c r="C55" s="14" t="s">
        <v>832</v>
      </c>
      <c r="D55" s="14">
        <v>4.2402488070000004</v>
      </c>
      <c r="E55" s="12"/>
      <c r="F55" s="14">
        <v>0.844466355</v>
      </c>
      <c r="G55" s="14">
        <v>2.4764409239999998</v>
      </c>
      <c r="H55" s="14">
        <v>0.91934152700000005</v>
      </c>
      <c r="I55" s="12"/>
      <c r="J55" s="12"/>
      <c r="K55" s="12"/>
      <c r="L55" s="12"/>
      <c r="M55" s="12"/>
      <c r="N55" s="12"/>
      <c r="O55" s="14">
        <v>51</v>
      </c>
      <c r="P55" s="14" t="s">
        <v>832</v>
      </c>
      <c r="Q55" s="28">
        <f t="shared" si="0"/>
        <v>4.6969202469083815E-4</v>
      </c>
      <c r="R55" s="14">
        <f t="shared" si="13"/>
        <v>4.2402488070000004</v>
      </c>
      <c r="S55" s="12"/>
      <c r="T55" s="14">
        <v>51</v>
      </c>
      <c r="U55" s="14" t="s">
        <v>832</v>
      </c>
      <c r="V55" s="29">
        <f t="shared" si="2"/>
        <v>6.2969165146555808E-4</v>
      </c>
      <c r="W55" s="30">
        <f t="shared" si="14"/>
        <v>67613576.011079326</v>
      </c>
      <c r="X55" s="30">
        <f t="shared" si="4"/>
        <v>46914797.5</v>
      </c>
      <c r="Y55" s="30">
        <f t="shared" si="5"/>
        <v>12739111.610646425</v>
      </c>
      <c r="Z55" s="30">
        <f t="shared" si="6"/>
        <v>7959666.9004329005</v>
      </c>
    </row>
    <row r="56" spans="2:26" ht="15.75" customHeight="1" x14ac:dyDescent="0.35">
      <c r="B56" s="14">
        <v>52</v>
      </c>
      <c r="C56" s="14" t="s">
        <v>275</v>
      </c>
      <c r="D56" s="14">
        <v>2.048</v>
      </c>
      <c r="E56" s="14">
        <v>0</v>
      </c>
      <c r="F56" s="14">
        <v>0.44800000000000006</v>
      </c>
      <c r="G56" s="14">
        <v>1.6</v>
      </c>
      <c r="H56" s="14">
        <v>0</v>
      </c>
      <c r="I56" s="12"/>
      <c r="J56" s="12"/>
      <c r="K56" s="12"/>
      <c r="L56" s="12"/>
      <c r="M56" s="12"/>
      <c r="N56" s="12"/>
      <c r="O56" s="14">
        <v>52</v>
      </c>
      <c r="P56" s="14" t="s">
        <v>275</v>
      </c>
      <c r="Q56" s="28">
        <f t="shared" si="0"/>
        <v>2.2685679787913361E-4</v>
      </c>
      <c r="R56" s="14">
        <f t="shared" si="13"/>
        <v>2.048</v>
      </c>
      <c r="S56" s="12"/>
      <c r="T56" s="14">
        <v>52</v>
      </c>
      <c r="U56" s="14" t="s">
        <v>275</v>
      </c>
      <c r="V56" s="29">
        <f t="shared" si="2"/>
        <v>3.0844488330204046E-4</v>
      </c>
      <c r="W56" s="30">
        <f t="shared" si="14"/>
        <v>33119482.39083761</v>
      </c>
      <c r="X56" s="30">
        <f t="shared" si="4"/>
        <v>24888888.888888892</v>
      </c>
      <c r="Y56" s="30">
        <f t="shared" si="5"/>
        <v>8230593.5019487189</v>
      </c>
      <c r="Z56" s="30">
        <f t="shared" si="6"/>
        <v>0</v>
      </c>
    </row>
    <row r="57" spans="2:26" ht="15.75" customHeight="1" x14ac:dyDescent="0.35">
      <c r="B57" s="14">
        <v>53</v>
      </c>
      <c r="C57" s="14" t="s">
        <v>366</v>
      </c>
      <c r="D57" s="14">
        <v>0.47307327670527671</v>
      </c>
      <c r="E57" s="14">
        <v>0</v>
      </c>
      <c r="F57" s="14">
        <v>0.47307327670527671</v>
      </c>
      <c r="G57" s="14">
        <v>0</v>
      </c>
      <c r="H57" s="14">
        <v>0</v>
      </c>
      <c r="I57" s="12"/>
      <c r="J57" s="12"/>
      <c r="K57" s="12"/>
      <c r="L57" s="12"/>
      <c r="M57" s="12"/>
      <c r="N57" s="12"/>
      <c r="O57" s="14">
        <v>53</v>
      </c>
      <c r="P57" s="14" t="s">
        <v>366</v>
      </c>
      <c r="Q57" s="28">
        <f t="shared" si="0"/>
        <v>5.2402289411888867E-5</v>
      </c>
      <c r="R57" s="14">
        <f t="shared" si="13"/>
        <v>0.47307327670527671</v>
      </c>
      <c r="S57" s="12"/>
      <c r="T57" s="14">
        <v>53</v>
      </c>
      <c r="U57" s="14" t="s">
        <v>366</v>
      </c>
      <c r="V57" s="29">
        <f t="shared" si="2"/>
        <v>2.4476535174595672E-4</v>
      </c>
      <c r="W57" s="30">
        <f t="shared" si="14"/>
        <v>26281848.705848705</v>
      </c>
      <c r="X57" s="30">
        <f t="shared" si="4"/>
        <v>26281848.705848705</v>
      </c>
      <c r="Y57" s="30">
        <f t="shared" si="5"/>
        <v>0</v>
      </c>
      <c r="Z57" s="30">
        <f t="shared" si="6"/>
        <v>0</v>
      </c>
    </row>
    <row r="58" spans="2:26" ht="15.75" customHeight="1" x14ac:dyDescent="0.35">
      <c r="B58" s="14">
        <v>54</v>
      </c>
      <c r="C58" s="14" t="s">
        <v>411</v>
      </c>
      <c r="D58" s="14">
        <v>1.073936181486</v>
      </c>
      <c r="E58" s="14">
        <v>0</v>
      </c>
      <c r="F58" s="14">
        <v>0</v>
      </c>
      <c r="G58" s="14">
        <v>1.073936181486</v>
      </c>
      <c r="H58" s="14">
        <v>0</v>
      </c>
      <c r="I58" s="12"/>
      <c r="J58" s="12"/>
      <c r="K58" s="12"/>
      <c r="L58" s="12"/>
      <c r="M58" s="12"/>
      <c r="N58" s="12"/>
      <c r="O58" s="14">
        <v>54</v>
      </c>
      <c r="P58" s="14" t="s">
        <v>411</v>
      </c>
      <c r="Q58" s="28">
        <f t="shared" si="0"/>
        <v>1.1895982580979397E-4</v>
      </c>
      <c r="R58" s="14">
        <f t="shared" si="13"/>
        <v>1.073936181486</v>
      </c>
      <c r="S58" s="12"/>
      <c r="T58" s="14">
        <v>54</v>
      </c>
      <c r="U58" s="14" t="s">
        <v>411</v>
      </c>
      <c r="V58" s="29">
        <f t="shared" si="2"/>
        <v>5.1449798007788547E-5</v>
      </c>
      <c r="W58" s="30">
        <f t="shared" si="14"/>
        <v>5524457.5980289318</v>
      </c>
      <c r="X58" s="30">
        <f t="shared" si="4"/>
        <v>0</v>
      </c>
      <c r="Y58" s="30">
        <f t="shared" si="5"/>
        <v>5524457.5980289318</v>
      </c>
      <c r="Z58" s="30">
        <f t="shared" si="6"/>
        <v>0</v>
      </c>
    </row>
    <row r="59" spans="2:26" ht="15.75" customHeight="1" x14ac:dyDescent="0.35">
      <c r="B59" s="14">
        <v>55</v>
      </c>
      <c r="C59" s="14" t="s">
        <v>188</v>
      </c>
      <c r="D59" s="14">
        <v>6.2461765921054848</v>
      </c>
      <c r="E59" s="14">
        <v>0</v>
      </c>
      <c r="F59" s="14">
        <v>2.2125477271241514</v>
      </c>
      <c r="G59" s="14">
        <v>0</v>
      </c>
      <c r="H59" s="14">
        <v>4.033628864981333</v>
      </c>
      <c r="I59" s="12"/>
      <c r="J59" s="12"/>
      <c r="K59" s="12"/>
      <c r="L59" s="12"/>
      <c r="M59" s="12"/>
      <c r="N59" s="12"/>
      <c r="O59" s="14">
        <v>55</v>
      </c>
      <c r="P59" s="14" t="s">
        <v>188</v>
      </c>
      <c r="Q59" s="28">
        <f t="shared" si="0"/>
        <v>6.9188848665656714E-4</v>
      </c>
      <c r="R59" s="14">
        <f t="shared" si="13"/>
        <v>6.2461765921054848</v>
      </c>
      <c r="S59" s="12"/>
      <c r="T59" s="14">
        <v>55</v>
      </c>
      <c r="U59" s="14" t="s">
        <v>188</v>
      </c>
      <c r="V59" s="29">
        <f t="shared" si="2"/>
        <v>1.4700022953478566E-3</v>
      </c>
      <c r="W59" s="30">
        <f t="shared" si="14"/>
        <v>157842511.80976596</v>
      </c>
      <c r="X59" s="30">
        <f t="shared" si="4"/>
        <v>122919318.17356396</v>
      </c>
      <c r="Y59" s="30">
        <f t="shared" si="5"/>
        <v>0</v>
      </c>
      <c r="Z59" s="30">
        <f t="shared" si="6"/>
        <v>34923193.636202015</v>
      </c>
    </row>
    <row r="60" spans="2:26" ht="15.75" customHeight="1" x14ac:dyDescent="0.35">
      <c r="B60" s="14">
        <v>56</v>
      </c>
      <c r="C60" s="14" t="s">
        <v>360</v>
      </c>
      <c r="D60" s="14">
        <v>3.8705995366795367</v>
      </c>
      <c r="E60" s="14">
        <v>0</v>
      </c>
      <c r="F60" s="14">
        <v>0</v>
      </c>
      <c r="G60" s="14">
        <v>0</v>
      </c>
      <c r="H60" s="14">
        <v>3.8705995366795367</v>
      </c>
      <c r="I60" s="12"/>
      <c r="J60" s="12"/>
      <c r="K60" s="12"/>
      <c r="L60" s="12"/>
      <c r="M60" s="12"/>
      <c r="N60" s="12"/>
      <c r="O60" s="14">
        <v>56</v>
      </c>
      <c r="P60" s="14" t="s">
        <v>360</v>
      </c>
      <c r="Q60" s="28">
        <f t="shared" si="0"/>
        <v>4.2874600427909073E-4</v>
      </c>
      <c r="R60" s="14">
        <f t="shared" si="13"/>
        <v>3.8705995366795367</v>
      </c>
      <c r="S60" s="12"/>
      <c r="T60" s="14">
        <v>56</v>
      </c>
      <c r="U60" s="14" t="s">
        <v>360</v>
      </c>
      <c r="V60" s="29">
        <f t="shared" si="2"/>
        <v>3.1209749691338046E-4</v>
      </c>
      <c r="W60" s="30">
        <f t="shared" si="14"/>
        <v>33511684.300255727</v>
      </c>
      <c r="X60" s="30">
        <f t="shared" si="4"/>
        <v>0</v>
      </c>
      <c r="Y60" s="30">
        <f t="shared" si="5"/>
        <v>0</v>
      </c>
      <c r="Z60" s="30">
        <f t="shared" si="6"/>
        <v>33511684.300255727</v>
      </c>
    </row>
    <row r="61" spans="2:26" ht="15.75" customHeight="1" x14ac:dyDescent="0.35">
      <c r="B61" s="14">
        <v>57</v>
      </c>
      <c r="C61" s="14" t="s">
        <v>256</v>
      </c>
      <c r="D61" s="14">
        <v>288.23790000000002</v>
      </c>
      <c r="E61" s="14">
        <v>0</v>
      </c>
      <c r="F61" s="14">
        <v>131.20380000000003</v>
      </c>
      <c r="G61" s="14">
        <v>144.98624109347443</v>
      </c>
      <c r="H61" s="14">
        <v>0</v>
      </c>
      <c r="I61" s="12"/>
      <c r="J61" s="12"/>
      <c r="K61" s="12"/>
      <c r="L61" s="12"/>
      <c r="M61" s="12"/>
      <c r="N61" s="12"/>
      <c r="O61" s="14">
        <v>57</v>
      </c>
      <c r="P61" s="14" t="s">
        <v>256</v>
      </c>
      <c r="Q61" s="28">
        <f t="shared" si="0"/>
        <v>3.1928089365920863E-2</v>
      </c>
      <c r="R61" s="14">
        <f t="shared" si="13"/>
        <v>288.23790000000002</v>
      </c>
      <c r="S61" s="12"/>
      <c r="T61" s="14">
        <v>57</v>
      </c>
      <c r="U61" s="14" t="s">
        <v>256</v>
      </c>
      <c r="V61" s="29">
        <f t="shared" si="2"/>
        <v>7.483003560143868E-2</v>
      </c>
      <c r="W61" s="30">
        <f t="shared" si="14"/>
        <v>8034926758.6349516</v>
      </c>
      <c r="X61" s="30">
        <f t="shared" si="4"/>
        <v>7289100000.000001</v>
      </c>
      <c r="Y61" s="30">
        <f t="shared" si="5"/>
        <v>745826758.63495064</v>
      </c>
      <c r="Z61" s="30">
        <f t="shared" si="6"/>
        <v>0</v>
      </c>
    </row>
    <row r="62" spans="2:26" ht="15.75" customHeight="1" x14ac:dyDescent="0.35">
      <c r="B62" s="14">
        <v>58</v>
      </c>
      <c r="C62" s="14" t="s">
        <v>570</v>
      </c>
      <c r="D62" s="14">
        <v>0</v>
      </c>
      <c r="E62" s="14">
        <v>0</v>
      </c>
      <c r="F62" s="14">
        <v>0</v>
      </c>
      <c r="G62" s="14">
        <v>0</v>
      </c>
      <c r="H62" s="14">
        <v>0</v>
      </c>
      <c r="I62" s="12"/>
      <c r="J62" s="12"/>
      <c r="K62" s="12"/>
      <c r="L62" s="12"/>
      <c r="M62" s="12"/>
      <c r="N62" s="12"/>
      <c r="O62" s="14">
        <v>58</v>
      </c>
      <c r="P62" s="14" t="s">
        <v>570</v>
      </c>
      <c r="Q62" s="28">
        <f t="shared" si="0"/>
        <v>0</v>
      </c>
      <c r="R62" s="14">
        <f t="shared" si="13"/>
        <v>0</v>
      </c>
      <c r="S62" s="12"/>
      <c r="T62" s="14">
        <v>58</v>
      </c>
      <c r="U62" s="14" t="s">
        <v>570</v>
      </c>
      <c r="V62" s="29">
        <f t="shared" si="2"/>
        <v>0</v>
      </c>
      <c r="W62" s="30">
        <f t="shared" si="14"/>
        <v>0</v>
      </c>
      <c r="X62" s="30">
        <f t="shared" si="4"/>
        <v>0</v>
      </c>
      <c r="Y62" s="30">
        <f t="shared" si="5"/>
        <v>0</v>
      </c>
      <c r="Z62" s="30">
        <f t="shared" si="6"/>
        <v>0</v>
      </c>
    </row>
    <row r="63" spans="2:26" ht="15.75" customHeight="1" x14ac:dyDescent="0.35">
      <c r="B63" s="14">
        <v>59</v>
      </c>
      <c r="C63" s="14" t="s">
        <v>355</v>
      </c>
      <c r="D63" s="14">
        <v>1.7847764530244532</v>
      </c>
      <c r="E63" s="14">
        <v>0</v>
      </c>
      <c r="F63" s="14">
        <v>1.7847764530244532</v>
      </c>
      <c r="G63" s="14">
        <v>0</v>
      </c>
      <c r="H63" s="14">
        <v>0</v>
      </c>
      <c r="I63" s="12"/>
      <c r="J63" s="12"/>
      <c r="K63" s="12"/>
      <c r="L63" s="12"/>
      <c r="M63" s="12"/>
      <c r="N63" s="12"/>
      <c r="O63" s="14">
        <v>59</v>
      </c>
      <c r="P63" s="14" t="s">
        <v>355</v>
      </c>
      <c r="Q63" s="28">
        <f t="shared" si="0"/>
        <v>1.9769954641758074E-4</v>
      </c>
      <c r="R63" s="14">
        <f t="shared" si="13"/>
        <v>1.7847764530244532</v>
      </c>
      <c r="S63" s="12"/>
      <c r="T63" s="14">
        <v>59</v>
      </c>
      <c r="U63" s="14" t="s">
        <v>355</v>
      </c>
      <c r="V63" s="29">
        <f t="shared" si="2"/>
        <v>9.2343291795065491E-4</v>
      </c>
      <c r="W63" s="30">
        <f t="shared" si="14"/>
        <v>99154247.39024739</v>
      </c>
      <c r="X63" s="30">
        <f t="shared" si="4"/>
        <v>99154247.39024739</v>
      </c>
      <c r="Y63" s="30">
        <f t="shared" si="5"/>
        <v>0</v>
      </c>
      <c r="Z63" s="30">
        <f t="shared" si="6"/>
        <v>0</v>
      </c>
    </row>
    <row r="64" spans="2:26" ht="15.75" customHeight="1" x14ac:dyDescent="0.35">
      <c r="B64" s="14">
        <v>60</v>
      </c>
      <c r="C64" s="14" t="s">
        <v>511</v>
      </c>
      <c r="D64" s="14">
        <v>0</v>
      </c>
      <c r="E64" s="14">
        <v>0</v>
      </c>
      <c r="F64" s="14">
        <v>0</v>
      </c>
      <c r="G64" s="14">
        <v>0</v>
      </c>
      <c r="H64" s="14">
        <v>0</v>
      </c>
      <c r="I64" s="12"/>
      <c r="J64" s="12"/>
      <c r="K64" s="12"/>
      <c r="L64" s="12"/>
      <c r="M64" s="12"/>
      <c r="N64" s="12"/>
      <c r="O64" s="14">
        <v>60</v>
      </c>
      <c r="P64" s="14" t="s">
        <v>511</v>
      </c>
      <c r="Q64" s="28">
        <f t="shared" si="0"/>
        <v>0</v>
      </c>
      <c r="R64" s="14">
        <f t="shared" si="13"/>
        <v>0</v>
      </c>
      <c r="S64" s="12"/>
      <c r="T64" s="14">
        <v>60</v>
      </c>
      <c r="U64" s="14" t="s">
        <v>511</v>
      </c>
      <c r="V64" s="29">
        <f t="shared" si="2"/>
        <v>0</v>
      </c>
      <c r="W64" s="30">
        <f t="shared" si="14"/>
        <v>0</v>
      </c>
      <c r="X64" s="30">
        <f t="shared" si="4"/>
        <v>0</v>
      </c>
      <c r="Y64" s="30">
        <f t="shared" si="5"/>
        <v>0</v>
      </c>
      <c r="Z64" s="30">
        <f t="shared" si="6"/>
        <v>0</v>
      </c>
    </row>
    <row r="65" spans="2:26" ht="15.75" customHeight="1" x14ac:dyDescent="0.35">
      <c r="B65" s="14">
        <v>61</v>
      </c>
      <c r="C65" s="14" t="s">
        <v>516</v>
      </c>
      <c r="D65" s="14">
        <v>0.1</v>
      </c>
      <c r="E65" s="14">
        <v>0</v>
      </c>
      <c r="F65" s="14">
        <v>0.1</v>
      </c>
      <c r="G65" s="14">
        <v>0</v>
      </c>
      <c r="H65" s="14">
        <v>0</v>
      </c>
      <c r="I65" s="12"/>
      <c r="J65" s="12"/>
      <c r="K65" s="12"/>
      <c r="L65" s="12"/>
      <c r="M65" s="12"/>
      <c r="N65" s="12"/>
      <c r="O65" s="14">
        <v>61</v>
      </c>
      <c r="P65" s="14" t="s">
        <v>516</v>
      </c>
      <c r="Q65" s="28">
        <f t="shared" si="0"/>
        <v>1.1076992083942072E-5</v>
      </c>
      <c r="R65" s="14">
        <f t="shared" si="13"/>
        <v>0.1</v>
      </c>
      <c r="S65" s="12"/>
      <c r="T65" s="14">
        <v>61</v>
      </c>
      <c r="U65" s="14" t="s">
        <v>516</v>
      </c>
      <c r="V65" s="29">
        <f t="shared" si="2"/>
        <v>5.1739416238141231E-5</v>
      </c>
      <c r="W65" s="30">
        <f t="shared" si="14"/>
        <v>5555555.555555556</v>
      </c>
      <c r="X65" s="30">
        <f t="shared" si="4"/>
        <v>5555555.555555556</v>
      </c>
      <c r="Y65" s="30">
        <f t="shared" si="5"/>
        <v>0</v>
      </c>
      <c r="Z65" s="30">
        <f t="shared" si="6"/>
        <v>0</v>
      </c>
    </row>
    <row r="66" spans="2:26" ht="15.75" customHeight="1" x14ac:dyDescent="0.35">
      <c r="B66" s="14">
        <v>62</v>
      </c>
      <c r="C66" s="14" t="s">
        <v>124</v>
      </c>
      <c r="D66" s="14">
        <v>2.9430490527886528</v>
      </c>
      <c r="E66" s="14">
        <v>0</v>
      </c>
      <c r="F66" s="14">
        <v>2.9430490527886528</v>
      </c>
      <c r="G66" s="14">
        <v>0</v>
      </c>
      <c r="H66" s="14">
        <v>0</v>
      </c>
      <c r="I66" s="12"/>
      <c r="J66" s="12"/>
      <c r="K66" s="12"/>
      <c r="L66" s="12"/>
      <c r="M66" s="12"/>
      <c r="N66" s="12"/>
      <c r="O66" s="14">
        <v>62</v>
      </c>
      <c r="P66" s="14" t="s">
        <v>124</v>
      </c>
      <c r="Q66" s="28">
        <f t="shared" si="0"/>
        <v>3.2600131060393116E-4</v>
      </c>
      <c r="R66" s="14">
        <f t="shared" si="13"/>
        <v>2.9430490527886528</v>
      </c>
      <c r="S66" s="12"/>
      <c r="T66" s="14">
        <v>62</v>
      </c>
      <c r="U66" s="14" t="s">
        <v>124</v>
      </c>
      <c r="V66" s="29">
        <f t="shared" si="2"/>
        <v>1.5227163995149937E-3</v>
      </c>
      <c r="W66" s="30">
        <f t="shared" si="14"/>
        <v>163502725.15492514</v>
      </c>
      <c r="X66" s="30">
        <f t="shared" si="4"/>
        <v>163502725.15492514</v>
      </c>
      <c r="Y66" s="30">
        <f t="shared" si="5"/>
        <v>0</v>
      </c>
      <c r="Z66" s="30">
        <f t="shared" si="6"/>
        <v>0</v>
      </c>
    </row>
    <row r="67" spans="2:26" ht="15.75" customHeight="1" x14ac:dyDescent="0.35">
      <c r="B67" s="14">
        <v>63</v>
      </c>
      <c r="C67" s="14" t="s">
        <v>1616</v>
      </c>
      <c r="D67" s="14">
        <v>3.1121195887685915</v>
      </c>
      <c r="E67" s="14">
        <v>0</v>
      </c>
      <c r="F67" s="14">
        <v>3.1121195887685915</v>
      </c>
      <c r="G67" s="14">
        <v>0</v>
      </c>
      <c r="H67" s="14">
        <v>0</v>
      </c>
      <c r="I67" s="12"/>
      <c r="J67" s="12"/>
      <c r="K67" s="12"/>
      <c r="L67" s="12"/>
      <c r="M67" s="12"/>
      <c r="N67" s="12"/>
      <c r="O67" s="14">
        <v>63</v>
      </c>
      <c r="P67" s="14" t="s">
        <v>1616</v>
      </c>
      <c r="Q67" s="28">
        <f t="shared" si="0"/>
        <v>3.4472924049070743E-4</v>
      </c>
      <c r="R67" s="14">
        <f t="shared" si="13"/>
        <v>3.1121195887685915</v>
      </c>
      <c r="S67" s="12"/>
      <c r="T67" s="14">
        <v>63</v>
      </c>
      <c r="U67" s="14" t="s">
        <v>1616</v>
      </c>
      <c r="V67" s="29">
        <f t="shared" si="2"/>
        <v>1.6101925078617105E-3</v>
      </c>
      <c r="W67" s="30">
        <f t="shared" si="14"/>
        <v>172895532.70936617</v>
      </c>
      <c r="X67" s="30">
        <f t="shared" si="4"/>
        <v>172895532.70936617</v>
      </c>
      <c r="Y67" s="30">
        <f t="shared" si="5"/>
        <v>0</v>
      </c>
      <c r="Z67" s="30">
        <f t="shared" si="6"/>
        <v>0</v>
      </c>
    </row>
    <row r="68" spans="2:26" ht="15.75" customHeight="1" x14ac:dyDescent="0.35">
      <c r="B68" s="14">
        <v>64</v>
      </c>
      <c r="C68" s="14" t="s">
        <v>217</v>
      </c>
      <c r="D68" s="14">
        <v>29.598767235191847</v>
      </c>
      <c r="E68" s="14">
        <v>0</v>
      </c>
      <c r="F68" s="14">
        <v>0</v>
      </c>
      <c r="G68" s="14">
        <v>0</v>
      </c>
      <c r="H68" s="14">
        <v>29.598767235191847</v>
      </c>
      <c r="I68" s="12"/>
      <c r="J68" s="12"/>
      <c r="K68" s="12"/>
      <c r="L68" s="12"/>
      <c r="M68" s="12"/>
      <c r="N68" s="12"/>
      <c r="O68" s="14">
        <v>64</v>
      </c>
      <c r="P68" s="14" t="s">
        <v>217</v>
      </c>
      <c r="Q68" s="28">
        <f t="shared" si="0"/>
        <v>3.27865310358664E-3</v>
      </c>
      <c r="R68" s="14">
        <f t="shared" si="13"/>
        <v>29.598767235191847</v>
      </c>
      <c r="S68" s="12"/>
      <c r="T68" s="14">
        <v>64</v>
      </c>
      <c r="U68" s="14" t="s">
        <v>217</v>
      </c>
      <c r="V68" s="29">
        <f t="shared" si="2"/>
        <v>2.3866331503129053E-3</v>
      </c>
      <c r="W68" s="30">
        <f t="shared" si="14"/>
        <v>256266382.98867399</v>
      </c>
      <c r="X68" s="30">
        <f t="shared" si="4"/>
        <v>0</v>
      </c>
      <c r="Y68" s="30">
        <f t="shared" si="5"/>
        <v>0</v>
      </c>
      <c r="Z68" s="30">
        <f t="shared" si="6"/>
        <v>256266382.98867399</v>
      </c>
    </row>
    <row r="69" spans="2:26" ht="15.75" customHeight="1" x14ac:dyDescent="0.35">
      <c r="B69" s="14">
        <v>65</v>
      </c>
      <c r="C69" s="14" t="s">
        <v>63</v>
      </c>
      <c r="D69" s="14">
        <v>-167.67466142205882</v>
      </c>
      <c r="E69" s="14">
        <v>0</v>
      </c>
      <c r="F69" s="14">
        <v>-167.67466142205882</v>
      </c>
      <c r="G69" s="14">
        <v>0</v>
      </c>
      <c r="H69" s="14">
        <v>0</v>
      </c>
      <c r="I69" s="12"/>
      <c r="J69" s="12"/>
      <c r="K69" s="12"/>
      <c r="L69" s="12"/>
      <c r="M69" s="12"/>
      <c r="N69" s="12"/>
      <c r="O69" s="14">
        <v>65</v>
      </c>
      <c r="P69" s="32" t="s">
        <v>63</v>
      </c>
      <c r="Q69" s="28">
        <f t="shared" si="0"/>
        <v>0</v>
      </c>
      <c r="R69" s="32">
        <v>0</v>
      </c>
      <c r="S69" s="12"/>
      <c r="T69" s="14">
        <v>65</v>
      </c>
      <c r="U69" s="32" t="s">
        <v>63</v>
      </c>
      <c r="V69" s="29">
        <f t="shared" si="2"/>
        <v>0</v>
      </c>
      <c r="W69" s="33">
        <v>0</v>
      </c>
      <c r="X69" s="30">
        <f t="shared" si="4"/>
        <v>-9315258967.8921566</v>
      </c>
      <c r="Y69" s="30">
        <f t="shared" si="5"/>
        <v>0</v>
      </c>
      <c r="Z69" s="30">
        <f t="shared" si="6"/>
        <v>0</v>
      </c>
    </row>
    <row r="70" spans="2:26" ht="15.75" customHeight="1" x14ac:dyDescent="0.35">
      <c r="B70" s="14">
        <v>66</v>
      </c>
      <c r="C70" s="14" t="s">
        <v>487</v>
      </c>
      <c r="D70" s="14">
        <v>0.1</v>
      </c>
      <c r="E70" s="14">
        <v>0</v>
      </c>
      <c r="F70" s="14">
        <v>0.1</v>
      </c>
      <c r="G70" s="14">
        <v>0</v>
      </c>
      <c r="H70" s="14">
        <v>0</v>
      </c>
      <c r="I70" s="12"/>
      <c r="J70" s="12"/>
      <c r="K70" s="12"/>
      <c r="L70" s="12"/>
      <c r="M70" s="12"/>
      <c r="N70" s="12"/>
      <c r="O70" s="14">
        <v>66</v>
      </c>
      <c r="P70" s="14" t="s">
        <v>487</v>
      </c>
      <c r="Q70" s="28">
        <f t="shared" si="0"/>
        <v>1.1076992083942072E-5</v>
      </c>
      <c r="R70" s="14">
        <f t="shared" ref="R70:R75" si="15">D70</f>
        <v>0.1</v>
      </c>
      <c r="S70" s="12"/>
      <c r="T70" s="14">
        <v>66</v>
      </c>
      <c r="U70" s="14" t="s">
        <v>487</v>
      </c>
      <c r="V70" s="29">
        <f t="shared" si="2"/>
        <v>5.1739416238141231E-5</v>
      </c>
      <c r="W70" s="30">
        <f t="shared" ref="W70:W75" si="16">X70+Y70+Z70</f>
        <v>5555555.555555556</v>
      </c>
      <c r="X70" s="30">
        <f t="shared" si="4"/>
        <v>5555555.555555556</v>
      </c>
      <c r="Y70" s="30">
        <f t="shared" si="5"/>
        <v>0</v>
      </c>
      <c r="Z70" s="30">
        <f t="shared" si="6"/>
        <v>0</v>
      </c>
    </row>
    <row r="71" spans="2:26" ht="15.75" customHeight="1" x14ac:dyDescent="0.35">
      <c r="B71" s="14">
        <v>67</v>
      </c>
      <c r="C71" s="14" t="s">
        <v>613</v>
      </c>
      <c r="D71" s="14">
        <v>10.1037</v>
      </c>
      <c r="E71" s="14">
        <v>0</v>
      </c>
      <c r="F71" s="14">
        <v>4.0392000000000001</v>
      </c>
      <c r="G71" s="14">
        <v>0</v>
      </c>
      <c r="H71" s="14">
        <v>6.0644999999999989</v>
      </c>
      <c r="I71" s="12"/>
      <c r="J71" s="12"/>
      <c r="K71" s="12"/>
      <c r="L71" s="12"/>
      <c r="M71" s="12"/>
      <c r="N71" s="12"/>
      <c r="O71" s="14">
        <v>67</v>
      </c>
      <c r="P71" s="14" t="s">
        <v>613</v>
      </c>
      <c r="Q71" s="28">
        <f t="shared" si="0"/>
        <v>1.1191860491852549E-3</v>
      </c>
      <c r="R71" s="14">
        <f t="shared" si="15"/>
        <v>10.1037</v>
      </c>
      <c r="S71" s="12"/>
      <c r="T71" s="14">
        <v>67</v>
      </c>
      <c r="U71" s="14" t="s">
        <v>613</v>
      </c>
      <c r="V71" s="29">
        <f t="shared" si="2"/>
        <v>2.5788564587837914E-3</v>
      </c>
      <c r="W71" s="30">
        <f t="shared" si="16"/>
        <v>276906493.50649351</v>
      </c>
      <c r="X71" s="30">
        <f t="shared" si="4"/>
        <v>224400000</v>
      </c>
      <c r="Y71" s="30">
        <f t="shared" si="5"/>
        <v>0</v>
      </c>
      <c r="Z71" s="30">
        <f t="shared" si="6"/>
        <v>52506493.506493494</v>
      </c>
    </row>
    <row r="72" spans="2:26" ht="15.75" customHeight="1" x14ac:dyDescent="0.35">
      <c r="B72" s="14">
        <v>68</v>
      </c>
      <c r="C72" s="14" t="s">
        <v>708</v>
      </c>
      <c r="D72" s="14">
        <v>6.2969433920000002</v>
      </c>
      <c r="E72" s="14">
        <v>0</v>
      </c>
      <c r="F72" s="14">
        <v>4.0537982939999999</v>
      </c>
      <c r="G72" s="14">
        <v>0</v>
      </c>
      <c r="H72" s="14">
        <v>1.577915824</v>
      </c>
      <c r="I72" s="12"/>
      <c r="J72" s="12"/>
      <c r="K72" s="12"/>
      <c r="L72" s="12"/>
      <c r="M72" s="12"/>
      <c r="N72" s="12"/>
      <c r="O72" s="14">
        <v>68</v>
      </c>
      <c r="P72" s="14" t="s">
        <v>708</v>
      </c>
      <c r="Q72" s="28">
        <f t="shared" si="0"/>
        <v>6.9751192106215336E-4</v>
      </c>
      <c r="R72" s="14">
        <f t="shared" si="15"/>
        <v>6.2969433920000002</v>
      </c>
      <c r="S72" s="12"/>
      <c r="T72" s="14">
        <v>68</v>
      </c>
      <c r="U72" s="14" t="s">
        <v>708</v>
      </c>
      <c r="V72" s="29">
        <f t="shared" si="2"/>
        <v>2.2246434329535911E-3</v>
      </c>
      <c r="W72" s="30">
        <f t="shared" si="16"/>
        <v>238872625.19913417</v>
      </c>
      <c r="X72" s="30">
        <f t="shared" si="4"/>
        <v>225211016.33333331</v>
      </c>
      <c r="Y72" s="30">
        <f t="shared" si="5"/>
        <v>0</v>
      </c>
      <c r="Z72" s="30">
        <f t="shared" si="6"/>
        <v>13661608.865800865</v>
      </c>
    </row>
    <row r="73" spans="2:26" ht="15.75" customHeight="1" x14ac:dyDescent="0.35">
      <c r="B73" s="14">
        <v>69</v>
      </c>
      <c r="C73" s="14" t="s">
        <v>593</v>
      </c>
      <c r="D73" s="14">
        <v>124.17118212312167</v>
      </c>
      <c r="E73" s="14">
        <v>0</v>
      </c>
      <c r="F73" s="14">
        <v>8.0761555136796197</v>
      </c>
      <c r="G73" s="14">
        <v>0</v>
      </c>
      <c r="H73" s="14">
        <v>116.09502660944207</v>
      </c>
      <c r="I73" s="12"/>
      <c r="J73" s="12"/>
      <c r="K73" s="12"/>
      <c r="L73" s="12"/>
      <c r="M73" s="12"/>
      <c r="N73" s="12"/>
      <c r="O73" s="14">
        <v>69</v>
      </c>
      <c r="P73" s="14" t="s">
        <v>593</v>
      </c>
      <c r="Q73" s="28">
        <f t="shared" si="0"/>
        <v>1.3754432014315478E-2</v>
      </c>
      <c r="R73" s="14">
        <f t="shared" si="15"/>
        <v>124.17118212312167</v>
      </c>
      <c r="S73" s="12"/>
      <c r="T73" s="14">
        <v>69</v>
      </c>
      <c r="U73" s="14" t="s">
        <v>593</v>
      </c>
      <c r="V73" s="29">
        <f t="shared" si="2"/>
        <v>1.3539629335325674E-2</v>
      </c>
      <c r="W73" s="30">
        <f t="shared" si="16"/>
        <v>1453827051.8518293</v>
      </c>
      <c r="X73" s="30">
        <f t="shared" si="4"/>
        <v>448675306.31553441</v>
      </c>
      <c r="Y73" s="30">
        <f t="shared" si="5"/>
        <v>0</v>
      </c>
      <c r="Z73" s="30">
        <f t="shared" si="6"/>
        <v>1005151745.5362949</v>
      </c>
    </row>
    <row r="74" spans="2:26" ht="15.75" customHeight="1" x14ac:dyDescent="0.35">
      <c r="B74" s="14">
        <v>70</v>
      </c>
      <c r="C74" s="14" t="s">
        <v>89</v>
      </c>
      <c r="D74" s="14">
        <v>3.8181688399999998</v>
      </c>
      <c r="E74" s="14">
        <v>0</v>
      </c>
      <c r="F74" s="14">
        <v>0.60869318299999997</v>
      </c>
      <c r="G74" s="14">
        <v>0</v>
      </c>
      <c r="H74" s="14">
        <v>3.209475657</v>
      </c>
      <c r="I74" s="12"/>
      <c r="J74" s="12"/>
      <c r="K74" s="12"/>
      <c r="L74" s="12"/>
      <c r="M74" s="12"/>
      <c r="N74" s="12"/>
      <c r="O74" s="14">
        <v>70</v>
      </c>
      <c r="P74" s="14" t="s">
        <v>89</v>
      </c>
      <c r="Q74" s="28">
        <f t="shared" si="0"/>
        <v>4.2293826015834277E-4</v>
      </c>
      <c r="R74" s="14">
        <f t="shared" si="15"/>
        <v>3.8181688399999998</v>
      </c>
      <c r="S74" s="12"/>
      <c r="T74" s="14">
        <v>70</v>
      </c>
      <c r="U74" s="14" t="s">
        <v>89</v>
      </c>
      <c r="V74" s="29">
        <f t="shared" si="2"/>
        <v>5.7372348957652921E-4</v>
      </c>
      <c r="W74" s="30">
        <f t="shared" si="16"/>
        <v>61603955.970418468</v>
      </c>
      <c r="X74" s="30">
        <f t="shared" si="4"/>
        <v>33816287.94444444</v>
      </c>
      <c r="Y74" s="30">
        <f t="shared" si="5"/>
        <v>0</v>
      </c>
      <c r="Z74" s="30">
        <f t="shared" si="6"/>
        <v>27787668.025974024</v>
      </c>
    </row>
    <row r="75" spans="2:26" ht="15.75" customHeight="1" x14ac:dyDescent="0.35">
      <c r="B75" s="14">
        <v>71</v>
      </c>
      <c r="C75" s="14" t="s">
        <v>279</v>
      </c>
      <c r="D75" s="14">
        <v>2.3373098960380942</v>
      </c>
      <c r="E75" s="14">
        <v>0</v>
      </c>
      <c r="F75" s="14">
        <v>2.3373098960380942</v>
      </c>
      <c r="G75" s="14">
        <v>0</v>
      </c>
      <c r="H75" s="14">
        <v>0</v>
      </c>
      <c r="I75" s="12"/>
      <c r="J75" s="12"/>
      <c r="K75" s="12"/>
      <c r="L75" s="12"/>
      <c r="M75" s="12"/>
      <c r="N75" s="12"/>
      <c r="O75" s="14">
        <v>71</v>
      </c>
      <c r="P75" s="14" t="s">
        <v>279</v>
      </c>
      <c r="Q75" s="28">
        <f t="shared" si="0"/>
        <v>2.5890363216133435E-4</v>
      </c>
      <c r="R75" s="14">
        <f t="shared" si="15"/>
        <v>2.3373098960380942</v>
      </c>
      <c r="S75" s="12"/>
      <c r="T75" s="14">
        <v>71</v>
      </c>
      <c r="U75" s="14" t="s">
        <v>279</v>
      </c>
      <c r="V75" s="29">
        <f t="shared" si="2"/>
        <v>1.2093104958864156E-3</v>
      </c>
      <c r="W75" s="30">
        <f t="shared" si="16"/>
        <v>129850549.77989411</v>
      </c>
      <c r="X75" s="30">
        <f t="shared" si="4"/>
        <v>129850549.77989411</v>
      </c>
      <c r="Y75" s="30">
        <f t="shared" si="5"/>
        <v>0</v>
      </c>
      <c r="Z75" s="30">
        <f t="shared" si="6"/>
        <v>0</v>
      </c>
    </row>
    <row r="76" spans="2:26" ht="15.75" customHeight="1" x14ac:dyDescent="0.35">
      <c r="B76" s="14">
        <v>72</v>
      </c>
      <c r="C76" s="14" t="s">
        <v>68</v>
      </c>
      <c r="D76" s="14">
        <v>-44.575018509829782</v>
      </c>
      <c r="E76" s="14">
        <v>0</v>
      </c>
      <c r="F76" s="14">
        <v>0</v>
      </c>
      <c r="G76" s="14">
        <v>0</v>
      </c>
      <c r="H76" s="14">
        <v>-44.575018509829782</v>
      </c>
      <c r="I76" s="12"/>
      <c r="J76" s="12"/>
      <c r="K76" s="12"/>
      <c r="L76" s="12"/>
      <c r="M76" s="12"/>
      <c r="N76" s="12"/>
      <c r="O76" s="14">
        <v>72</v>
      </c>
      <c r="P76" s="32" t="s">
        <v>68</v>
      </c>
      <c r="Q76" s="28">
        <f t="shared" si="0"/>
        <v>0</v>
      </c>
      <c r="R76" s="32">
        <v>0</v>
      </c>
      <c r="S76" s="12"/>
      <c r="T76" s="14">
        <v>72</v>
      </c>
      <c r="U76" s="32" t="s">
        <v>68</v>
      </c>
      <c r="V76" s="29">
        <f t="shared" si="2"/>
        <v>0</v>
      </c>
      <c r="W76" s="33">
        <v>0</v>
      </c>
      <c r="X76" s="30">
        <f t="shared" si="4"/>
        <v>0</v>
      </c>
      <c r="Y76" s="30">
        <f t="shared" si="5"/>
        <v>0</v>
      </c>
      <c r="Z76" s="30">
        <f t="shared" si="6"/>
        <v>-385930896.18900239</v>
      </c>
    </row>
    <row r="77" spans="2:26" ht="15.75" customHeight="1" x14ac:dyDescent="0.35">
      <c r="B77" s="14">
        <v>73</v>
      </c>
      <c r="C77" s="14" t="s">
        <v>560</v>
      </c>
      <c r="D77" s="14">
        <v>-97.055973629999997</v>
      </c>
      <c r="E77" s="14">
        <v>0</v>
      </c>
      <c r="F77" s="14">
        <v>37.2376</v>
      </c>
      <c r="G77" s="14">
        <v>0</v>
      </c>
      <c r="H77" s="14">
        <v>-134.2935736</v>
      </c>
      <c r="I77" s="12"/>
      <c r="J77" s="12"/>
      <c r="K77" s="12"/>
      <c r="L77" s="12"/>
      <c r="M77" s="12"/>
      <c r="N77" s="12"/>
      <c r="O77" s="14">
        <v>73</v>
      </c>
      <c r="P77" s="32" t="s">
        <v>560</v>
      </c>
      <c r="Q77" s="28">
        <f t="shared" si="0"/>
        <v>0</v>
      </c>
      <c r="R77" s="32">
        <v>0</v>
      </c>
      <c r="S77" s="12"/>
      <c r="T77" s="14">
        <v>73</v>
      </c>
      <c r="U77" s="32" t="s">
        <v>560</v>
      </c>
      <c r="V77" s="29">
        <f t="shared" si="2"/>
        <v>8.43804241548703E-3</v>
      </c>
      <c r="W77" s="30">
        <f t="shared" ref="W77:W95" si="17">X77+Y77+Z77</f>
        <v>906040632.61183238</v>
      </c>
      <c r="X77" s="30">
        <f t="shared" si="4"/>
        <v>2068755555.5555553</v>
      </c>
      <c r="Y77" s="30">
        <f t="shared" si="5"/>
        <v>0</v>
      </c>
      <c r="Z77" s="30">
        <f t="shared" si="6"/>
        <v>-1162714922.943723</v>
      </c>
    </row>
    <row r="78" spans="2:26" ht="15.75" customHeight="1" x14ac:dyDescent="0.35">
      <c r="B78" s="14">
        <v>74</v>
      </c>
      <c r="C78" s="14" t="s">
        <v>684</v>
      </c>
      <c r="D78" s="14">
        <v>568.32749999999999</v>
      </c>
      <c r="E78" s="14">
        <v>0</v>
      </c>
      <c r="F78" s="14">
        <v>20.401499999999999</v>
      </c>
      <c r="G78" s="14">
        <v>547.92600000000004</v>
      </c>
      <c r="H78" s="14">
        <v>0</v>
      </c>
      <c r="I78" s="12"/>
      <c r="J78" s="12"/>
      <c r="K78" s="12"/>
      <c r="L78" s="12"/>
      <c r="M78" s="12"/>
      <c r="N78" s="12"/>
      <c r="O78" s="14">
        <v>74</v>
      </c>
      <c r="P78" s="14" t="s">
        <v>684</v>
      </c>
      <c r="Q78" s="28">
        <f t="shared" si="0"/>
        <v>6.2953592185865867E-2</v>
      </c>
      <c r="R78" s="14">
        <f t="shared" ref="R78:R95" si="18">D78</f>
        <v>568.32749999999999</v>
      </c>
      <c r="S78" s="12"/>
      <c r="T78" s="14">
        <v>74</v>
      </c>
      <c r="U78" s="14" t="s">
        <v>684</v>
      </c>
      <c r="V78" s="29">
        <f t="shared" si="2"/>
        <v>3.6805484090161156E-2</v>
      </c>
      <c r="W78" s="30">
        <f t="shared" si="17"/>
        <v>3952014276.1346378</v>
      </c>
      <c r="X78" s="30">
        <f t="shared" si="4"/>
        <v>1133416666.6666665</v>
      </c>
      <c r="Y78" s="30">
        <f t="shared" si="5"/>
        <v>2818597609.4679713</v>
      </c>
      <c r="Z78" s="30">
        <f t="shared" si="6"/>
        <v>0</v>
      </c>
    </row>
    <row r="79" spans="2:26" ht="15.75" customHeight="1" x14ac:dyDescent="0.35">
      <c r="B79" s="14">
        <v>75</v>
      </c>
      <c r="C79" s="14" t="s">
        <v>197</v>
      </c>
      <c r="D79" s="14">
        <v>51.567257729962662</v>
      </c>
      <c r="E79" s="14">
        <v>0</v>
      </c>
      <c r="F79" s="14">
        <v>0</v>
      </c>
      <c r="G79" s="14">
        <v>43.5</v>
      </c>
      <c r="H79" s="14">
        <v>8.067257729962666</v>
      </c>
      <c r="I79" s="12"/>
      <c r="J79" s="12"/>
      <c r="K79" s="12"/>
      <c r="L79" s="12"/>
      <c r="M79" s="12"/>
      <c r="N79" s="12"/>
      <c r="O79" s="14">
        <v>75</v>
      </c>
      <c r="P79" s="14" t="s">
        <v>197</v>
      </c>
      <c r="Q79" s="28">
        <f t="shared" si="0"/>
        <v>5.7121010566539695E-3</v>
      </c>
      <c r="R79" s="14">
        <f t="shared" si="18"/>
        <v>51.567257729962662</v>
      </c>
      <c r="S79" s="12"/>
      <c r="T79" s="14">
        <v>75</v>
      </c>
      <c r="U79" s="14" t="s">
        <v>197</v>
      </c>
      <c r="V79" s="29">
        <f t="shared" si="2"/>
        <v>2.7344704016557405E-3</v>
      </c>
      <c r="W79" s="30">
        <f t="shared" si="17"/>
        <v>293615648.1066348</v>
      </c>
      <c r="X79" s="30">
        <f t="shared" si="4"/>
        <v>0</v>
      </c>
      <c r="Y79" s="30">
        <f t="shared" si="5"/>
        <v>223769260.83423078</v>
      </c>
      <c r="Z79" s="30">
        <f t="shared" si="6"/>
        <v>69846387.27240403</v>
      </c>
    </row>
    <row r="80" spans="2:26" ht="15.75" customHeight="1" x14ac:dyDescent="0.35">
      <c r="B80" s="14">
        <v>76</v>
      </c>
      <c r="C80" s="14" t="s">
        <v>552</v>
      </c>
      <c r="D80" s="14">
        <v>1381.237515166242</v>
      </c>
      <c r="E80" s="14">
        <v>0</v>
      </c>
      <c r="F80" s="14">
        <v>72.376429299999998</v>
      </c>
      <c r="G80" s="14">
        <v>971.53143850000004</v>
      </c>
      <c r="H80" s="14">
        <v>337.32964736624206</v>
      </c>
      <c r="I80" s="12"/>
      <c r="J80" s="12"/>
      <c r="K80" s="12"/>
      <c r="L80" s="12"/>
      <c r="M80" s="12"/>
      <c r="N80" s="12"/>
      <c r="O80" s="14">
        <v>76</v>
      </c>
      <c r="P80" s="14" t="s">
        <v>552</v>
      </c>
      <c r="Q80" s="28">
        <f t="shared" si="0"/>
        <v>0.15299957021540278</v>
      </c>
      <c r="R80" s="14">
        <f t="shared" si="18"/>
        <v>1381.237515166242</v>
      </c>
      <c r="S80" s="12"/>
      <c r="T80" s="14">
        <v>76</v>
      </c>
      <c r="U80" s="14" t="s">
        <v>552</v>
      </c>
      <c r="V80" s="29">
        <f t="shared" si="2"/>
        <v>0.11119081872945508</v>
      </c>
      <c r="W80" s="30">
        <f t="shared" si="17"/>
        <v>11939190961.799438</v>
      </c>
      <c r="X80" s="30">
        <f t="shared" si="4"/>
        <v>4020912738.8888884</v>
      </c>
      <c r="Y80" s="30">
        <f t="shared" si="5"/>
        <v>4997675215.4106197</v>
      </c>
      <c r="Z80" s="30">
        <f t="shared" si="6"/>
        <v>2920603007.4999309</v>
      </c>
    </row>
    <row r="81" spans="2:26" ht="15.75" customHeight="1" x14ac:dyDescent="0.35">
      <c r="B81" s="14">
        <v>77</v>
      </c>
      <c r="C81" s="14" t="s">
        <v>79</v>
      </c>
      <c r="D81" s="14">
        <v>55.901987999999996</v>
      </c>
      <c r="E81" s="14">
        <v>0</v>
      </c>
      <c r="F81" s="14">
        <v>55.901987999999996</v>
      </c>
      <c r="G81" s="14">
        <v>0</v>
      </c>
      <c r="H81" s="14">
        <v>0</v>
      </c>
      <c r="I81" s="12"/>
      <c r="J81" s="12"/>
      <c r="K81" s="12"/>
      <c r="L81" s="12"/>
      <c r="M81" s="12"/>
      <c r="N81" s="12"/>
      <c r="O81" s="14">
        <v>77</v>
      </c>
      <c r="P81" s="14" t="s">
        <v>79</v>
      </c>
      <c r="Q81" s="28">
        <f t="shared" si="0"/>
        <v>6.1922587855262456E-3</v>
      </c>
      <c r="R81" s="14">
        <f t="shared" si="18"/>
        <v>55.901987999999996</v>
      </c>
      <c r="S81" s="12"/>
      <c r="T81" s="14">
        <v>77</v>
      </c>
      <c r="U81" s="14" t="s">
        <v>79</v>
      </c>
      <c r="V81" s="29">
        <f t="shared" si="2"/>
        <v>2.8923362256715757E-2</v>
      </c>
      <c r="W81" s="30">
        <f t="shared" si="17"/>
        <v>3105665999.9999995</v>
      </c>
      <c r="X81" s="30">
        <f t="shared" si="4"/>
        <v>3105665999.9999995</v>
      </c>
      <c r="Y81" s="30">
        <f t="shared" si="5"/>
        <v>0</v>
      </c>
      <c r="Z81" s="30">
        <f t="shared" si="6"/>
        <v>0</v>
      </c>
    </row>
    <row r="82" spans="2:26" ht="15.75" customHeight="1" x14ac:dyDescent="0.35">
      <c r="B82" s="14">
        <v>78</v>
      </c>
      <c r="C82" s="14" t="s">
        <v>615</v>
      </c>
      <c r="D82" s="14">
        <v>1.7744603004291846</v>
      </c>
      <c r="E82" s="14">
        <v>0</v>
      </c>
      <c r="F82" s="14">
        <v>0.63349999999999995</v>
      </c>
      <c r="G82" s="14">
        <v>0</v>
      </c>
      <c r="H82" s="14">
        <v>1.1409603004291844</v>
      </c>
      <c r="I82" s="12"/>
      <c r="J82" s="12"/>
      <c r="K82" s="12"/>
      <c r="L82" s="12"/>
      <c r="M82" s="12"/>
      <c r="N82" s="12"/>
      <c r="O82" s="14">
        <v>78</v>
      </c>
      <c r="P82" s="14" t="s">
        <v>615</v>
      </c>
      <c r="Q82" s="28">
        <f t="shared" si="0"/>
        <v>1.9655682701123547E-4</v>
      </c>
      <c r="R82" s="14">
        <f t="shared" si="18"/>
        <v>1.7744603004291846</v>
      </c>
      <c r="S82" s="12"/>
      <c r="T82" s="14">
        <v>78</v>
      </c>
      <c r="U82" s="14" t="s">
        <v>615</v>
      </c>
      <c r="V82" s="29">
        <f t="shared" si="2"/>
        <v>4.197680900168328E-4</v>
      </c>
      <c r="W82" s="30">
        <f t="shared" si="17"/>
        <v>45072888.60400448</v>
      </c>
      <c r="X82" s="30">
        <f t="shared" si="4"/>
        <v>35194444.44444444</v>
      </c>
      <c r="Y82" s="30">
        <f t="shared" si="5"/>
        <v>0</v>
      </c>
      <c r="Z82" s="30">
        <f t="shared" si="6"/>
        <v>9878444.1595600378</v>
      </c>
    </row>
    <row r="83" spans="2:26" ht="15.75" customHeight="1" x14ac:dyDescent="0.35">
      <c r="B83" s="14">
        <v>79</v>
      </c>
      <c r="C83" s="14" t="s">
        <v>194</v>
      </c>
      <c r="D83" s="14">
        <v>108.91383990998135</v>
      </c>
      <c r="E83" s="14">
        <v>0</v>
      </c>
      <c r="F83" s="14">
        <v>1.5435469079999999</v>
      </c>
      <c r="G83" s="14">
        <v>0</v>
      </c>
      <c r="H83" s="14">
        <v>107.37029300098133</v>
      </c>
      <c r="I83" s="12"/>
      <c r="J83" s="12"/>
      <c r="K83" s="12"/>
      <c r="L83" s="12"/>
      <c r="M83" s="12"/>
      <c r="N83" s="12"/>
      <c r="O83" s="14">
        <v>79</v>
      </c>
      <c r="P83" s="14" t="s">
        <v>194</v>
      </c>
      <c r="Q83" s="28">
        <f t="shared" si="0"/>
        <v>1.2064377425145973E-2</v>
      </c>
      <c r="R83" s="14">
        <f t="shared" si="18"/>
        <v>108.91383990998135</v>
      </c>
      <c r="S83" s="12"/>
      <c r="T83" s="14">
        <v>79</v>
      </c>
      <c r="U83" s="14" t="s">
        <v>194</v>
      </c>
      <c r="V83" s="29">
        <f t="shared" si="2"/>
        <v>9.4561955847906193E-3</v>
      </c>
      <c r="W83" s="30">
        <f t="shared" si="17"/>
        <v>1015365532.4154228</v>
      </c>
      <c r="X83" s="30">
        <f t="shared" si="4"/>
        <v>85752605.999999985</v>
      </c>
      <c r="Y83" s="30">
        <f t="shared" si="5"/>
        <v>0</v>
      </c>
      <c r="Z83" s="30">
        <f t="shared" si="6"/>
        <v>929612926.4154228</v>
      </c>
    </row>
    <row r="84" spans="2:26" ht="15.75" customHeight="1" x14ac:dyDescent="0.35">
      <c r="B84" s="14">
        <v>80</v>
      </c>
      <c r="C84" s="14" t="s">
        <v>162</v>
      </c>
      <c r="D84" s="14">
        <v>19.601161022823252</v>
      </c>
      <c r="E84" s="14">
        <v>0</v>
      </c>
      <c r="F84" s="14">
        <v>19.601161022823252</v>
      </c>
      <c r="G84" s="14">
        <v>0</v>
      </c>
      <c r="H84" s="14">
        <v>0</v>
      </c>
      <c r="I84" s="12"/>
      <c r="J84" s="12"/>
      <c r="K84" s="12"/>
      <c r="L84" s="12"/>
      <c r="M84" s="12"/>
      <c r="N84" s="12"/>
      <c r="O84" s="14">
        <v>80</v>
      </c>
      <c r="P84" s="14" t="s">
        <v>162</v>
      </c>
      <c r="Q84" s="28">
        <f t="shared" si="0"/>
        <v>2.1712190548588703E-3</v>
      </c>
      <c r="R84" s="14">
        <f t="shared" si="18"/>
        <v>19.601161022823252</v>
      </c>
      <c r="S84" s="12"/>
      <c r="T84" s="14">
        <v>80</v>
      </c>
      <c r="U84" s="14" t="s">
        <v>162</v>
      </c>
      <c r="V84" s="29">
        <f t="shared" si="2"/>
        <v>1.0141526289106821E-2</v>
      </c>
      <c r="W84" s="30">
        <f t="shared" si="17"/>
        <v>1088953390.1568472</v>
      </c>
      <c r="X84" s="30">
        <f t="shared" si="4"/>
        <v>1088953390.1568472</v>
      </c>
      <c r="Y84" s="30">
        <f t="shared" si="5"/>
        <v>0</v>
      </c>
      <c r="Z84" s="30">
        <f t="shared" si="6"/>
        <v>0</v>
      </c>
    </row>
    <row r="85" spans="2:26" ht="15.75" customHeight="1" x14ac:dyDescent="0.35">
      <c r="B85" s="14">
        <v>81</v>
      </c>
      <c r="C85" s="14" t="s">
        <v>211</v>
      </c>
      <c r="D85" s="14">
        <v>2.0452050800000001</v>
      </c>
      <c r="E85" s="14">
        <v>0</v>
      </c>
      <c r="F85" s="14">
        <v>2.0452050800000001</v>
      </c>
      <c r="G85" s="14">
        <v>0</v>
      </c>
      <c r="H85" s="14">
        <v>0</v>
      </c>
      <c r="I85" s="12"/>
      <c r="J85" s="12"/>
      <c r="K85" s="12"/>
      <c r="L85" s="12"/>
      <c r="M85" s="12"/>
      <c r="N85" s="12"/>
      <c r="O85" s="14">
        <v>81</v>
      </c>
      <c r="P85" s="14" t="s">
        <v>211</v>
      </c>
      <c r="Q85" s="28">
        <f t="shared" si="0"/>
        <v>2.2654720481198111E-4</v>
      </c>
      <c r="R85" s="14">
        <f t="shared" si="18"/>
        <v>2.0452050800000001</v>
      </c>
      <c r="S85" s="12"/>
      <c r="T85" s="14">
        <v>81</v>
      </c>
      <c r="U85" s="14" t="s">
        <v>211</v>
      </c>
      <c r="V85" s="29">
        <f t="shared" si="2"/>
        <v>1.0581771692648094E-3</v>
      </c>
      <c r="W85" s="30">
        <f t="shared" si="17"/>
        <v>113622504.44444445</v>
      </c>
      <c r="X85" s="30">
        <f t="shared" si="4"/>
        <v>113622504.44444445</v>
      </c>
      <c r="Y85" s="30">
        <f t="shared" si="5"/>
        <v>0</v>
      </c>
      <c r="Z85" s="30">
        <f t="shared" si="6"/>
        <v>0</v>
      </c>
    </row>
    <row r="86" spans="2:26" ht="15.75" customHeight="1" x14ac:dyDescent="0.35">
      <c r="B86" s="14">
        <v>82</v>
      </c>
      <c r="C86" s="14" t="s">
        <v>532</v>
      </c>
      <c r="D86" s="14">
        <v>0.4</v>
      </c>
      <c r="E86" s="14">
        <v>0</v>
      </c>
      <c r="F86" s="14">
        <v>0.4</v>
      </c>
      <c r="G86" s="14">
        <v>0</v>
      </c>
      <c r="H86" s="14">
        <v>0</v>
      </c>
      <c r="I86" s="12"/>
      <c r="J86" s="12"/>
      <c r="K86" s="12"/>
      <c r="L86" s="12"/>
      <c r="M86" s="12"/>
      <c r="N86" s="12"/>
      <c r="O86" s="14">
        <v>82</v>
      </c>
      <c r="P86" s="14" t="s">
        <v>532</v>
      </c>
      <c r="Q86" s="28">
        <f t="shared" si="0"/>
        <v>4.4307968335768288E-5</v>
      </c>
      <c r="R86" s="14">
        <f t="shared" si="18"/>
        <v>0.4</v>
      </c>
      <c r="S86" s="12"/>
      <c r="T86" s="14">
        <v>82</v>
      </c>
      <c r="U86" s="14" t="s">
        <v>532</v>
      </c>
      <c r="V86" s="29">
        <f t="shared" si="2"/>
        <v>2.0695766495256492E-4</v>
      </c>
      <c r="W86" s="30">
        <f t="shared" si="17"/>
        <v>22222222.222222224</v>
      </c>
      <c r="X86" s="30">
        <f t="shared" si="4"/>
        <v>22222222.222222224</v>
      </c>
      <c r="Y86" s="30">
        <f t="shared" si="5"/>
        <v>0</v>
      </c>
      <c r="Z86" s="30">
        <f t="shared" si="6"/>
        <v>0</v>
      </c>
    </row>
    <row r="87" spans="2:26" ht="15.75" customHeight="1" x14ac:dyDescent="0.35">
      <c r="B87" s="14">
        <v>83</v>
      </c>
      <c r="C87" s="14" t="s">
        <v>753</v>
      </c>
      <c r="D87" s="14">
        <v>3.364717647</v>
      </c>
      <c r="E87" s="14">
        <v>0</v>
      </c>
      <c r="F87" s="14">
        <v>1.0920179350000001</v>
      </c>
      <c r="G87" s="14">
        <v>0</v>
      </c>
      <c r="H87" s="14">
        <v>0</v>
      </c>
      <c r="I87" s="12"/>
      <c r="J87" s="12"/>
      <c r="K87" s="12"/>
      <c r="L87" s="12"/>
      <c r="M87" s="12"/>
      <c r="N87" s="12"/>
      <c r="O87" s="14">
        <v>83</v>
      </c>
      <c r="P87" s="14" t="s">
        <v>753</v>
      </c>
      <c r="Q87" s="28">
        <f t="shared" si="0"/>
        <v>3.727095074051919E-4</v>
      </c>
      <c r="R87" s="14">
        <f t="shared" si="18"/>
        <v>3.364717647</v>
      </c>
      <c r="S87" s="12"/>
      <c r="T87" s="14">
        <v>83</v>
      </c>
      <c r="U87" s="14" t="s">
        <v>753</v>
      </c>
      <c r="V87" s="29">
        <f t="shared" si="2"/>
        <v>5.6500370478480453E-4</v>
      </c>
      <c r="W87" s="30">
        <f t="shared" si="17"/>
        <v>60667663.05555556</v>
      </c>
      <c r="X87" s="30">
        <f t="shared" si="4"/>
        <v>60667663.05555556</v>
      </c>
      <c r="Y87" s="30">
        <f t="shared" si="5"/>
        <v>0</v>
      </c>
      <c r="Z87" s="30">
        <f t="shared" si="6"/>
        <v>0</v>
      </c>
    </row>
    <row r="88" spans="2:26" ht="15.75" customHeight="1" x14ac:dyDescent="0.35">
      <c r="B88" s="14">
        <v>84</v>
      </c>
      <c r="C88" s="14" t="s">
        <v>659</v>
      </c>
      <c r="D88" s="14">
        <v>42.4908</v>
      </c>
      <c r="E88" s="14">
        <v>0</v>
      </c>
      <c r="F88" s="14">
        <v>4.5936000000000003</v>
      </c>
      <c r="G88" s="14">
        <v>37.897200000000005</v>
      </c>
      <c r="H88" s="14">
        <v>0</v>
      </c>
      <c r="I88" s="12"/>
      <c r="J88" s="12"/>
      <c r="K88" s="12"/>
      <c r="L88" s="12"/>
      <c r="M88" s="12"/>
      <c r="N88" s="12"/>
      <c r="O88" s="14">
        <v>84</v>
      </c>
      <c r="P88" s="14" t="s">
        <v>659</v>
      </c>
      <c r="Q88" s="28">
        <f t="shared" si="0"/>
        <v>4.7067025524036576E-3</v>
      </c>
      <c r="R88" s="14">
        <f t="shared" si="18"/>
        <v>42.4908</v>
      </c>
      <c r="S88" s="12"/>
      <c r="T88" s="14">
        <v>84</v>
      </c>
      <c r="U88" s="14" t="s">
        <v>659</v>
      </c>
      <c r="V88" s="29">
        <f t="shared" si="2"/>
        <v>4.1922690048183196E-3</v>
      </c>
      <c r="W88" s="30">
        <f t="shared" si="17"/>
        <v>450147780.03878188</v>
      </c>
      <c r="X88" s="30">
        <f t="shared" si="4"/>
        <v>255200000</v>
      </c>
      <c r="Y88" s="30">
        <f t="shared" si="5"/>
        <v>194947780.03878188</v>
      </c>
      <c r="Z88" s="30">
        <f t="shared" si="6"/>
        <v>0</v>
      </c>
    </row>
    <row r="89" spans="2:26" ht="15.75" customHeight="1" x14ac:dyDescent="0.35">
      <c r="B89" s="14">
        <v>85</v>
      </c>
      <c r="C89" s="14" t="s">
        <v>394</v>
      </c>
      <c r="D89" s="14">
        <v>0.72197390352000002</v>
      </c>
      <c r="E89" s="14">
        <v>0</v>
      </c>
      <c r="F89" s="14">
        <v>0.72197390352000002</v>
      </c>
      <c r="G89" s="14">
        <v>0</v>
      </c>
      <c r="H89" s="14">
        <v>0</v>
      </c>
      <c r="I89" s="12"/>
      <c r="J89" s="12"/>
      <c r="K89" s="12"/>
      <c r="L89" s="12"/>
      <c r="M89" s="12"/>
      <c r="N89" s="12"/>
      <c r="O89" s="14">
        <v>85</v>
      </c>
      <c r="P89" s="14" t="s">
        <v>394</v>
      </c>
      <c r="Q89" s="28">
        <f t="shared" si="0"/>
        <v>7.9972992141037958E-5</v>
      </c>
      <c r="R89" s="14">
        <f t="shared" si="18"/>
        <v>0.72197390352000002</v>
      </c>
      <c r="S89" s="12"/>
      <c r="T89" s="14">
        <v>85</v>
      </c>
      <c r="U89" s="14" t="s">
        <v>394</v>
      </c>
      <c r="V89" s="29">
        <f t="shared" si="2"/>
        <v>3.7354508307296894E-4</v>
      </c>
      <c r="W89" s="30">
        <f t="shared" si="17"/>
        <v>40109661.306666665</v>
      </c>
      <c r="X89" s="30">
        <f t="shared" si="4"/>
        <v>40109661.306666665</v>
      </c>
      <c r="Y89" s="30">
        <f t="shared" si="5"/>
        <v>0</v>
      </c>
      <c r="Z89" s="30">
        <f t="shared" si="6"/>
        <v>0</v>
      </c>
    </row>
    <row r="90" spans="2:26" ht="15.75" customHeight="1" x14ac:dyDescent="0.35">
      <c r="B90" s="14">
        <v>86</v>
      </c>
      <c r="C90" s="14" t="s">
        <v>93</v>
      </c>
      <c r="D90" s="14">
        <v>64.789538374965375</v>
      </c>
      <c r="E90" s="14">
        <v>0</v>
      </c>
      <c r="F90" s="14">
        <v>0</v>
      </c>
      <c r="G90" s="14">
        <v>0</v>
      </c>
      <c r="H90" s="14">
        <v>64.789538374965375</v>
      </c>
      <c r="I90" s="12"/>
      <c r="J90" s="12"/>
      <c r="K90" s="12"/>
      <c r="L90" s="12"/>
      <c r="M90" s="12"/>
      <c r="N90" s="12"/>
      <c r="O90" s="14">
        <v>86</v>
      </c>
      <c r="P90" s="14" t="s">
        <v>93</v>
      </c>
      <c r="Q90" s="28">
        <f t="shared" si="0"/>
        <v>7.1767320370175244E-3</v>
      </c>
      <c r="R90" s="14">
        <f t="shared" si="18"/>
        <v>64.789538374965375</v>
      </c>
      <c r="S90" s="12"/>
      <c r="T90" s="14">
        <v>86</v>
      </c>
      <c r="U90" s="14" t="s">
        <v>93</v>
      </c>
      <c r="V90" s="29">
        <f t="shared" si="2"/>
        <v>5.2241655488717261E-3</v>
      </c>
      <c r="W90" s="30">
        <f t="shared" si="17"/>
        <v>560948384.19883442</v>
      </c>
      <c r="X90" s="30">
        <f t="shared" si="4"/>
        <v>0</v>
      </c>
      <c r="Y90" s="30">
        <f t="shared" si="5"/>
        <v>0</v>
      </c>
      <c r="Z90" s="30">
        <f t="shared" si="6"/>
        <v>560948384.19883442</v>
      </c>
    </row>
    <row r="91" spans="2:26" ht="15.75" customHeight="1" x14ac:dyDescent="0.35">
      <c r="B91" s="14">
        <v>87</v>
      </c>
      <c r="C91" s="14" t="s">
        <v>133</v>
      </c>
      <c r="D91" s="14">
        <v>2.3845229209858396</v>
      </c>
      <c r="E91" s="14">
        <v>0</v>
      </c>
      <c r="F91" s="14">
        <v>0.11560668443383999</v>
      </c>
      <c r="G91" s="14">
        <v>0</v>
      </c>
      <c r="H91" s="14">
        <v>2.2689162365519997</v>
      </c>
      <c r="I91" s="12"/>
      <c r="J91" s="12"/>
      <c r="K91" s="12"/>
      <c r="L91" s="12"/>
      <c r="M91" s="12"/>
      <c r="N91" s="12"/>
      <c r="O91" s="14">
        <v>87</v>
      </c>
      <c r="P91" s="14" t="s">
        <v>133</v>
      </c>
      <c r="Q91" s="28">
        <f t="shared" si="0"/>
        <v>2.641334151973857E-4</v>
      </c>
      <c r="R91" s="14">
        <f t="shared" si="18"/>
        <v>2.3845229209858396</v>
      </c>
      <c r="S91" s="12"/>
      <c r="T91" s="14">
        <v>87</v>
      </c>
      <c r="U91" s="14" t="s">
        <v>133</v>
      </c>
      <c r="V91" s="29">
        <f t="shared" si="2"/>
        <v>2.4276342091409081E-4</v>
      </c>
      <c r="W91" s="30">
        <f t="shared" si="17"/>
        <v>26066890.000021409</v>
      </c>
      <c r="X91" s="30">
        <f t="shared" si="4"/>
        <v>6422593.5796577772</v>
      </c>
      <c r="Y91" s="30">
        <f t="shared" si="5"/>
        <v>0</v>
      </c>
      <c r="Z91" s="30">
        <f t="shared" si="6"/>
        <v>19644296.420363631</v>
      </c>
    </row>
    <row r="92" spans="2:26" ht="15.75" customHeight="1" x14ac:dyDescent="0.35">
      <c r="B92" s="14">
        <v>88</v>
      </c>
      <c r="C92" s="14" t="s">
        <v>233</v>
      </c>
      <c r="D92" s="14">
        <v>0.33443352000000004</v>
      </c>
      <c r="E92" s="14">
        <v>0</v>
      </c>
      <c r="F92" s="14">
        <v>0</v>
      </c>
      <c r="G92" s="14">
        <v>0</v>
      </c>
      <c r="H92" s="14">
        <v>0.33443352000000004</v>
      </c>
      <c r="I92" s="12"/>
      <c r="J92" s="12"/>
      <c r="K92" s="12"/>
      <c r="L92" s="12"/>
      <c r="M92" s="12"/>
      <c r="N92" s="12"/>
      <c r="O92" s="14">
        <v>88</v>
      </c>
      <c r="P92" s="14" t="s">
        <v>233</v>
      </c>
      <c r="Q92" s="28">
        <f t="shared" si="0"/>
        <v>3.7045174536448826E-5</v>
      </c>
      <c r="R92" s="14">
        <f t="shared" si="18"/>
        <v>0.33443352000000004</v>
      </c>
      <c r="S92" s="12"/>
      <c r="T92" s="14">
        <v>88</v>
      </c>
      <c r="U92" s="14" t="s">
        <v>233</v>
      </c>
      <c r="V92" s="29">
        <f t="shared" si="2"/>
        <v>2.6966330018597501E-5</v>
      </c>
      <c r="W92" s="30">
        <f t="shared" si="17"/>
        <v>2895528.3116883119</v>
      </c>
      <c r="X92" s="30">
        <f t="shared" si="4"/>
        <v>0</v>
      </c>
      <c r="Y92" s="30">
        <f t="shared" si="5"/>
        <v>0</v>
      </c>
      <c r="Z92" s="30">
        <f t="shared" si="6"/>
        <v>2895528.3116883119</v>
      </c>
    </row>
    <row r="93" spans="2:26" ht="15.75" customHeight="1" x14ac:dyDescent="0.35">
      <c r="B93" s="14">
        <v>89</v>
      </c>
      <c r="C93" s="14" t="s">
        <v>862</v>
      </c>
      <c r="D93" s="14">
        <v>31.353549149999999</v>
      </c>
      <c r="E93" s="12"/>
      <c r="F93" s="14">
        <v>31.353549149999999</v>
      </c>
      <c r="G93" s="14">
        <v>0</v>
      </c>
      <c r="H93" s="14">
        <v>0</v>
      </c>
      <c r="I93" s="12"/>
      <c r="J93" s="12"/>
      <c r="K93" s="12"/>
      <c r="L93" s="12"/>
      <c r="M93" s="12"/>
      <c r="N93" s="12"/>
      <c r="O93" s="14">
        <v>89</v>
      </c>
      <c r="P93" s="14" t="s">
        <v>862</v>
      </c>
      <c r="Q93" s="28">
        <f t="shared" si="0"/>
        <v>3.4730301573803863E-3</v>
      </c>
      <c r="R93" s="14">
        <f t="shared" si="18"/>
        <v>31.353549149999999</v>
      </c>
      <c r="S93" s="12"/>
      <c r="T93" s="14">
        <v>89</v>
      </c>
      <c r="U93" s="14" t="s">
        <v>862</v>
      </c>
      <c r="V93" s="29">
        <f t="shared" si="2"/>
        <v>1.6222143300148689E-2</v>
      </c>
      <c r="W93" s="30">
        <f t="shared" si="17"/>
        <v>1741863841.6666665</v>
      </c>
      <c r="X93" s="30">
        <f t="shared" si="4"/>
        <v>1741863841.6666665</v>
      </c>
      <c r="Y93" s="30">
        <f t="shared" si="5"/>
        <v>0</v>
      </c>
      <c r="Z93" s="30">
        <f t="shared" si="6"/>
        <v>0</v>
      </c>
    </row>
    <row r="94" spans="2:26" ht="15.75" customHeight="1" x14ac:dyDescent="0.35">
      <c r="B94" s="14">
        <v>90</v>
      </c>
      <c r="C94" s="14" t="s">
        <v>150</v>
      </c>
      <c r="D94" s="14">
        <v>20.596965235637441</v>
      </c>
      <c r="E94" s="14">
        <v>0</v>
      </c>
      <c r="F94" s="14">
        <v>20.596965235637441</v>
      </c>
      <c r="G94" s="14">
        <v>0</v>
      </c>
      <c r="H94" s="14">
        <v>0.1</v>
      </c>
      <c r="I94" s="12"/>
      <c r="J94" s="12"/>
      <c r="K94" s="12"/>
      <c r="L94" s="12"/>
      <c r="M94" s="12"/>
      <c r="N94" s="12"/>
      <c r="O94" s="14">
        <v>90</v>
      </c>
      <c r="P94" s="14" t="s">
        <v>150</v>
      </c>
      <c r="Q94" s="28">
        <f t="shared" si="0"/>
        <v>2.2815242086838597E-3</v>
      </c>
      <c r="R94" s="14">
        <f t="shared" si="18"/>
        <v>20.596965235637441</v>
      </c>
      <c r="S94" s="12"/>
      <c r="T94" s="14">
        <v>90</v>
      </c>
      <c r="U94" s="14" t="s">
        <v>150</v>
      </c>
      <c r="V94" s="29">
        <f t="shared" si="2"/>
        <v>1.0664812861339202E-2</v>
      </c>
      <c r="W94" s="30">
        <f t="shared" si="17"/>
        <v>1145141647.290103</v>
      </c>
      <c r="X94" s="30">
        <f t="shared" si="4"/>
        <v>1144275846.4243021</v>
      </c>
      <c r="Y94" s="30">
        <f t="shared" si="5"/>
        <v>0</v>
      </c>
      <c r="Z94" s="30">
        <f t="shared" si="6"/>
        <v>865800.86580086581</v>
      </c>
    </row>
    <row r="95" spans="2:26" ht="15.75" customHeight="1" x14ac:dyDescent="0.35">
      <c r="B95" s="14">
        <v>91</v>
      </c>
      <c r="C95" s="14" t="s">
        <v>587</v>
      </c>
      <c r="D95" s="14">
        <v>8.2589491569933564</v>
      </c>
      <c r="E95" s="14">
        <v>0</v>
      </c>
      <c r="F95" s="14">
        <v>8.2589491569933564</v>
      </c>
      <c r="G95" s="14">
        <v>0</v>
      </c>
      <c r="H95" s="14">
        <v>0</v>
      </c>
      <c r="I95" s="12"/>
      <c r="J95" s="12"/>
      <c r="K95" s="12"/>
      <c r="L95" s="12"/>
      <c r="M95" s="12"/>
      <c r="N95" s="12"/>
      <c r="O95" s="14">
        <v>91</v>
      </c>
      <c r="P95" s="14" t="s">
        <v>587</v>
      </c>
      <c r="Q95" s="28">
        <f t="shared" si="0"/>
        <v>9.1484314433695443E-4</v>
      </c>
      <c r="R95" s="14">
        <f t="shared" si="18"/>
        <v>8.2589491569933564</v>
      </c>
      <c r="S95" s="12"/>
      <c r="T95" s="14">
        <v>91</v>
      </c>
      <c r="U95" s="14" t="s">
        <v>587</v>
      </c>
      <c r="V95" s="29">
        <f t="shared" si="2"/>
        <v>4.2731320812332482E-3</v>
      </c>
      <c r="W95" s="30">
        <f t="shared" si="17"/>
        <v>458830508.72185308</v>
      </c>
      <c r="X95" s="30">
        <f t="shared" si="4"/>
        <v>458830508.72185308</v>
      </c>
      <c r="Y95" s="30">
        <f t="shared" si="5"/>
        <v>0</v>
      </c>
      <c r="Z95" s="30">
        <f t="shared" si="6"/>
        <v>0</v>
      </c>
    </row>
    <row r="96" spans="2:26" ht="15.75" customHeight="1" x14ac:dyDescent="0.35">
      <c r="B96" s="12"/>
      <c r="C96" s="34" t="s">
        <v>1617</v>
      </c>
      <c r="D96" s="14"/>
      <c r="E96" s="12"/>
      <c r="F96" s="12"/>
      <c r="G96" s="12"/>
      <c r="H96" s="12"/>
      <c r="I96" s="12"/>
      <c r="J96" s="12"/>
      <c r="K96" s="12"/>
      <c r="L96" s="12"/>
      <c r="M96" s="12"/>
      <c r="N96" s="12"/>
      <c r="O96" s="12"/>
      <c r="P96" s="34" t="s">
        <v>1618</v>
      </c>
      <c r="Q96" s="35">
        <f t="shared" ref="Q96:R96" si="19">SUM(Q5:Q95)</f>
        <v>0.99999999999999967</v>
      </c>
      <c r="R96" s="14">
        <f t="shared" si="19"/>
        <v>9027.7215368752059</v>
      </c>
      <c r="S96" s="12"/>
      <c r="U96" s="17" t="s">
        <v>1567</v>
      </c>
      <c r="V96" s="36">
        <f t="shared" ref="V96:W96" si="20">SUM(V5:V95)</f>
        <v>1.0000000000000004</v>
      </c>
      <c r="W96" s="30">
        <f t="shared" si="20"/>
        <v>107375690711.02342</v>
      </c>
    </row>
    <row r="97" spans="2:21" ht="15.75" customHeight="1" x14ac:dyDescent="0.35">
      <c r="B97" s="12"/>
      <c r="C97" s="14"/>
      <c r="D97" s="12"/>
      <c r="E97" s="12"/>
      <c r="F97" s="12"/>
      <c r="G97" s="12"/>
      <c r="H97" s="12"/>
      <c r="I97" s="12"/>
      <c r="J97" s="12"/>
      <c r="K97" s="12"/>
      <c r="L97" s="12"/>
      <c r="M97" s="12"/>
      <c r="N97" s="12"/>
      <c r="O97" s="12"/>
      <c r="P97" s="14"/>
      <c r="Q97" s="12"/>
      <c r="R97" s="12"/>
      <c r="S97" s="12"/>
      <c r="U97" s="13"/>
    </row>
    <row r="98" spans="2:21" ht="15.75" customHeight="1" x14ac:dyDescent="0.35">
      <c r="B98" s="12"/>
      <c r="C98" s="14"/>
      <c r="D98" s="12"/>
      <c r="E98" s="12"/>
      <c r="F98" s="12"/>
      <c r="G98" s="12"/>
      <c r="H98" s="12"/>
      <c r="I98" s="12"/>
      <c r="J98" s="12"/>
      <c r="K98" s="12"/>
      <c r="L98" s="12"/>
      <c r="M98" s="12"/>
      <c r="N98" s="12"/>
      <c r="O98" s="12"/>
      <c r="P98" s="14"/>
      <c r="Q98" s="12"/>
      <c r="R98" s="12"/>
      <c r="S98" s="12"/>
      <c r="U98" s="13"/>
    </row>
    <row r="99" spans="2:21" ht="15.75" customHeight="1" x14ac:dyDescent="0.35">
      <c r="C99" s="13"/>
      <c r="P99" s="13"/>
      <c r="U99" s="13"/>
    </row>
    <row r="100" spans="2:21" ht="15.75" customHeight="1" x14ac:dyDescent="0.35">
      <c r="C100" s="13"/>
      <c r="P100" s="13"/>
      <c r="U100" s="13"/>
    </row>
    <row r="101" spans="2:21" ht="15.75" customHeight="1" x14ac:dyDescent="0.35">
      <c r="C101" s="13"/>
      <c r="P101" s="13"/>
      <c r="U101" s="13"/>
    </row>
    <row r="102" spans="2:21" ht="15.75" customHeight="1" x14ac:dyDescent="0.35">
      <c r="C102" s="13"/>
      <c r="P102" s="13"/>
      <c r="U102" s="13"/>
    </row>
    <row r="103" spans="2:21" ht="15.75" customHeight="1" x14ac:dyDescent="0.35">
      <c r="C103" s="13"/>
      <c r="P103" s="13"/>
      <c r="U103" s="13"/>
    </row>
    <row r="104" spans="2:21" ht="15.75" customHeight="1" x14ac:dyDescent="0.35">
      <c r="C104" s="13"/>
      <c r="P104" s="13"/>
      <c r="U104" s="13"/>
    </row>
    <row r="105" spans="2:21" ht="15.75" customHeight="1" x14ac:dyDescent="0.35">
      <c r="C105" s="13"/>
      <c r="P105" s="13"/>
      <c r="U105" s="13"/>
    </row>
    <row r="106" spans="2:21" ht="15.75" customHeight="1" x14ac:dyDescent="0.35">
      <c r="C106" s="13"/>
      <c r="P106" s="13"/>
      <c r="U106" s="13"/>
    </row>
    <row r="107" spans="2:21" ht="15.75" customHeight="1" x14ac:dyDescent="0.35">
      <c r="C107" s="13"/>
      <c r="P107" s="13"/>
      <c r="U107" s="13"/>
    </row>
    <row r="108" spans="2:21" ht="15.75" customHeight="1" x14ac:dyDescent="0.35">
      <c r="C108" s="13"/>
      <c r="P108" s="13"/>
      <c r="U108" s="13"/>
    </row>
    <row r="109" spans="2:21" ht="15.75" customHeight="1" x14ac:dyDescent="0.35">
      <c r="C109" s="13"/>
      <c r="P109" s="13"/>
      <c r="U109" s="13"/>
    </row>
    <row r="110" spans="2:21" ht="15.75" customHeight="1" x14ac:dyDescent="0.35">
      <c r="C110" s="13"/>
      <c r="P110" s="13"/>
      <c r="U110" s="13"/>
    </row>
    <row r="111" spans="2:21" ht="15.75" customHeight="1" x14ac:dyDescent="0.35">
      <c r="C111" s="13"/>
      <c r="P111" s="13"/>
      <c r="U111" s="13"/>
    </row>
    <row r="112" spans="2:21" ht="15.75" customHeight="1" x14ac:dyDescent="0.35">
      <c r="C112" s="13"/>
      <c r="P112" s="13"/>
      <c r="U112" s="13"/>
    </row>
    <row r="113" spans="3:21" ht="15.75" customHeight="1" x14ac:dyDescent="0.35">
      <c r="C113" s="13"/>
      <c r="P113" s="13"/>
      <c r="U113" s="13"/>
    </row>
    <row r="114" spans="3:21" ht="15.75" customHeight="1" x14ac:dyDescent="0.35">
      <c r="C114" s="13"/>
      <c r="P114" s="13"/>
      <c r="U114" s="13"/>
    </row>
    <row r="115" spans="3:21" ht="15.75" customHeight="1" x14ac:dyDescent="0.35">
      <c r="C115" s="13"/>
      <c r="P115" s="13"/>
      <c r="U115" s="13"/>
    </row>
    <row r="116" spans="3:21" ht="15.75" customHeight="1" x14ac:dyDescent="0.35">
      <c r="C116" s="13"/>
      <c r="P116" s="13"/>
      <c r="U116" s="13"/>
    </row>
    <row r="117" spans="3:21" ht="15.75" customHeight="1" x14ac:dyDescent="0.35">
      <c r="C117" s="13"/>
      <c r="P117" s="13"/>
      <c r="U117" s="13"/>
    </row>
    <row r="118" spans="3:21" ht="15.75" customHeight="1" x14ac:dyDescent="0.35">
      <c r="C118" s="13"/>
      <c r="P118" s="13"/>
      <c r="U118" s="13"/>
    </row>
    <row r="119" spans="3:21" ht="15.75" customHeight="1" x14ac:dyDescent="0.35">
      <c r="C119" s="13"/>
      <c r="P119" s="13"/>
      <c r="U119" s="13"/>
    </row>
    <row r="120" spans="3:21" ht="15.75" customHeight="1" x14ac:dyDescent="0.35">
      <c r="C120" s="13"/>
      <c r="P120" s="13"/>
      <c r="U120" s="13"/>
    </row>
    <row r="121" spans="3:21" ht="15.75" customHeight="1" x14ac:dyDescent="0.35">
      <c r="C121" s="13"/>
      <c r="P121" s="13"/>
      <c r="U121" s="13"/>
    </row>
    <row r="122" spans="3:21" ht="15.75" customHeight="1" x14ac:dyDescent="0.35">
      <c r="C122" s="13"/>
      <c r="P122" s="13"/>
      <c r="U122" s="13"/>
    </row>
    <row r="123" spans="3:21" ht="15.75" customHeight="1" x14ac:dyDescent="0.35">
      <c r="C123" s="13"/>
      <c r="P123" s="13"/>
      <c r="U123" s="13"/>
    </row>
    <row r="124" spans="3:21" ht="15.75" customHeight="1" x14ac:dyDescent="0.35">
      <c r="C124" s="13"/>
      <c r="P124" s="13"/>
      <c r="U124" s="13"/>
    </row>
    <row r="125" spans="3:21" ht="15.75" customHeight="1" x14ac:dyDescent="0.35">
      <c r="C125" s="13"/>
      <c r="P125" s="13"/>
      <c r="U125" s="13"/>
    </row>
    <row r="126" spans="3:21" ht="15.75" customHeight="1" x14ac:dyDescent="0.35">
      <c r="C126" s="13"/>
      <c r="P126" s="13"/>
      <c r="U126" s="13"/>
    </row>
    <row r="127" spans="3:21" ht="15.75" customHeight="1" x14ac:dyDescent="0.35">
      <c r="C127" s="13"/>
      <c r="P127" s="13"/>
      <c r="U127" s="13"/>
    </row>
    <row r="128" spans="3:21" ht="15.75" customHeight="1" x14ac:dyDescent="0.35">
      <c r="C128" s="13"/>
      <c r="P128" s="13"/>
      <c r="U128" s="13"/>
    </row>
    <row r="129" spans="3:21" ht="15.75" customHeight="1" x14ac:dyDescent="0.35">
      <c r="C129" s="13"/>
      <c r="P129" s="13"/>
      <c r="U129" s="13"/>
    </row>
    <row r="130" spans="3:21" ht="15.75" customHeight="1" x14ac:dyDescent="0.35">
      <c r="C130" s="13"/>
      <c r="P130" s="13"/>
      <c r="U130" s="13"/>
    </row>
    <row r="131" spans="3:21" ht="15.75" customHeight="1" x14ac:dyDescent="0.35">
      <c r="C131" s="13"/>
      <c r="P131" s="13"/>
      <c r="U131" s="13"/>
    </row>
    <row r="132" spans="3:21" ht="15.75" customHeight="1" x14ac:dyDescent="0.35">
      <c r="C132" s="13"/>
      <c r="P132" s="13"/>
      <c r="U132" s="13"/>
    </row>
    <row r="133" spans="3:21" ht="15.75" customHeight="1" x14ac:dyDescent="0.35">
      <c r="C133" s="13"/>
      <c r="P133" s="13"/>
      <c r="U133" s="13"/>
    </row>
    <row r="134" spans="3:21" ht="15.75" customHeight="1" x14ac:dyDescent="0.35">
      <c r="C134" s="13"/>
      <c r="P134" s="13"/>
      <c r="U134" s="13"/>
    </row>
    <row r="135" spans="3:21" ht="15.75" customHeight="1" x14ac:dyDescent="0.35">
      <c r="C135" s="13"/>
      <c r="P135" s="13"/>
      <c r="U135" s="13"/>
    </row>
    <row r="136" spans="3:21" ht="15.75" customHeight="1" x14ac:dyDescent="0.35">
      <c r="C136" s="13"/>
      <c r="P136" s="13"/>
      <c r="U136" s="13"/>
    </row>
    <row r="137" spans="3:21" ht="15.75" customHeight="1" x14ac:dyDescent="0.35">
      <c r="C137" s="13"/>
      <c r="P137" s="13"/>
      <c r="U137" s="13"/>
    </row>
    <row r="138" spans="3:21" ht="15.75" customHeight="1" x14ac:dyDescent="0.35">
      <c r="C138" s="13"/>
      <c r="P138" s="13"/>
      <c r="U138" s="13"/>
    </row>
    <row r="139" spans="3:21" ht="15.75" customHeight="1" x14ac:dyDescent="0.35">
      <c r="C139" s="13"/>
      <c r="P139" s="13"/>
      <c r="U139" s="13"/>
    </row>
    <row r="140" spans="3:21" ht="15.75" customHeight="1" x14ac:dyDescent="0.35">
      <c r="C140" s="13"/>
      <c r="P140" s="13"/>
      <c r="U140" s="13"/>
    </row>
    <row r="141" spans="3:21" ht="15.75" customHeight="1" x14ac:dyDescent="0.35">
      <c r="C141" s="13"/>
      <c r="P141" s="13"/>
      <c r="U141" s="13"/>
    </row>
    <row r="142" spans="3:21" ht="15.75" customHeight="1" x14ac:dyDescent="0.35">
      <c r="C142" s="13"/>
      <c r="P142" s="13"/>
      <c r="U142" s="13"/>
    </row>
    <row r="143" spans="3:21" ht="15.75" customHeight="1" x14ac:dyDescent="0.35">
      <c r="C143" s="13"/>
      <c r="P143" s="13"/>
      <c r="U143" s="13"/>
    </row>
    <row r="144" spans="3:21" ht="15.75" customHeight="1" x14ac:dyDescent="0.35">
      <c r="C144" s="13"/>
      <c r="P144" s="13"/>
      <c r="U144" s="13"/>
    </row>
    <row r="145" spans="3:21" ht="15.75" customHeight="1" x14ac:dyDescent="0.35">
      <c r="C145" s="13"/>
      <c r="P145" s="13"/>
      <c r="U145" s="13"/>
    </row>
    <row r="146" spans="3:21" ht="15.75" customHeight="1" x14ac:dyDescent="0.35">
      <c r="C146" s="13"/>
      <c r="P146" s="13"/>
      <c r="U146" s="13"/>
    </row>
    <row r="147" spans="3:21" ht="15.75" customHeight="1" x14ac:dyDescent="0.35">
      <c r="C147" s="13"/>
      <c r="P147" s="13"/>
      <c r="U147" s="13"/>
    </row>
    <row r="148" spans="3:21" ht="15.75" customHeight="1" x14ac:dyDescent="0.35">
      <c r="C148" s="13"/>
      <c r="P148" s="13"/>
      <c r="U148" s="13"/>
    </row>
    <row r="149" spans="3:21" ht="15.75" customHeight="1" x14ac:dyDescent="0.35">
      <c r="C149" s="13"/>
      <c r="P149" s="13"/>
      <c r="U149" s="13"/>
    </row>
    <row r="150" spans="3:21" ht="15.75" customHeight="1" x14ac:dyDescent="0.35">
      <c r="C150" s="13"/>
      <c r="P150" s="13"/>
      <c r="U150" s="13"/>
    </row>
    <row r="151" spans="3:21" ht="15.75" customHeight="1" x14ac:dyDescent="0.35">
      <c r="C151" s="13"/>
      <c r="P151" s="13"/>
      <c r="U151" s="13"/>
    </row>
    <row r="152" spans="3:21" ht="15.75" customHeight="1" x14ac:dyDescent="0.35">
      <c r="C152" s="13"/>
      <c r="P152" s="13"/>
      <c r="U152" s="13"/>
    </row>
    <row r="153" spans="3:21" ht="15.75" customHeight="1" x14ac:dyDescent="0.35">
      <c r="C153" s="13"/>
      <c r="P153" s="13"/>
      <c r="U153" s="13"/>
    </row>
    <row r="154" spans="3:21" ht="15.75" customHeight="1" x14ac:dyDescent="0.35">
      <c r="C154" s="13"/>
      <c r="P154" s="13"/>
      <c r="U154" s="13"/>
    </row>
    <row r="155" spans="3:21" ht="15.75" customHeight="1" x14ac:dyDescent="0.35">
      <c r="C155" s="13"/>
      <c r="P155" s="13"/>
      <c r="U155" s="13"/>
    </row>
    <row r="156" spans="3:21" ht="15.75" customHeight="1" x14ac:dyDescent="0.35">
      <c r="C156" s="13"/>
      <c r="P156" s="13"/>
      <c r="U156" s="13"/>
    </row>
    <row r="157" spans="3:21" ht="15.75" customHeight="1" x14ac:dyDescent="0.35">
      <c r="C157" s="13"/>
      <c r="P157" s="13"/>
      <c r="U157" s="13"/>
    </row>
    <row r="158" spans="3:21" ht="15.75" customHeight="1" x14ac:dyDescent="0.35">
      <c r="C158" s="13"/>
      <c r="P158" s="13"/>
      <c r="U158" s="13"/>
    </row>
    <row r="159" spans="3:21" ht="15.75" customHeight="1" x14ac:dyDescent="0.35">
      <c r="C159" s="13"/>
      <c r="P159" s="13"/>
      <c r="U159" s="13"/>
    </row>
    <row r="160" spans="3:21" ht="15.75" customHeight="1" x14ac:dyDescent="0.35">
      <c r="C160" s="13"/>
      <c r="P160" s="13"/>
      <c r="U160" s="13"/>
    </row>
    <row r="161" spans="3:21" ht="15.75" customHeight="1" x14ac:dyDescent="0.35">
      <c r="C161" s="13"/>
      <c r="P161" s="13"/>
      <c r="U161" s="13"/>
    </row>
    <row r="162" spans="3:21" ht="15.75" customHeight="1" x14ac:dyDescent="0.35">
      <c r="C162" s="13"/>
      <c r="P162" s="13"/>
      <c r="U162" s="13"/>
    </row>
    <row r="163" spans="3:21" ht="15.75" customHeight="1" x14ac:dyDescent="0.35">
      <c r="C163" s="13"/>
      <c r="P163" s="13"/>
      <c r="U163" s="13"/>
    </row>
    <row r="164" spans="3:21" ht="15.75" customHeight="1" x14ac:dyDescent="0.35">
      <c r="C164" s="13"/>
      <c r="P164" s="13"/>
      <c r="U164" s="13"/>
    </row>
    <row r="165" spans="3:21" ht="15.75" customHeight="1" x14ac:dyDescent="0.35">
      <c r="C165" s="13"/>
      <c r="P165" s="13"/>
      <c r="U165" s="13"/>
    </row>
    <row r="166" spans="3:21" ht="15.75" customHeight="1" x14ac:dyDescent="0.35">
      <c r="C166" s="13"/>
      <c r="P166" s="13"/>
      <c r="U166" s="13"/>
    </row>
    <row r="167" spans="3:21" ht="15.75" customHeight="1" x14ac:dyDescent="0.35">
      <c r="C167" s="13"/>
      <c r="P167" s="13"/>
      <c r="U167" s="13"/>
    </row>
    <row r="168" spans="3:21" ht="15.75" customHeight="1" x14ac:dyDescent="0.35">
      <c r="C168" s="13"/>
      <c r="P168" s="13"/>
      <c r="U168" s="13"/>
    </row>
    <row r="169" spans="3:21" ht="15.75" customHeight="1" x14ac:dyDescent="0.35">
      <c r="C169" s="13"/>
      <c r="P169" s="13"/>
      <c r="U169" s="13"/>
    </row>
    <row r="170" spans="3:21" ht="15.75" customHeight="1" x14ac:dyDescent="0.35">
      <c r="C170" s="13"/>
      <c r="P170" s="13"/>
      <c r="U170" s="13"/>
    </row>
    <row r="171" spans="3:21" ht="15.75" customHeight="1" x14ac:dyDescent="0.35">
      <c r="C171" s="13"/>
      <c r="P171" s="13"/>
      <c r="U171" s="13"/>
    </row>
    <row r="172" spans="3:21" ht="15.75" customHeight="1" x14ac:dyDescent="0.35">
      <c r="C172" s="13"/>
      <c r="P172" s="13"/>
      <c r="U172" s="13"/>
    </row>
    <row r="173" spans="3:21" ht="15.75" customHeight="1" x14ac:dyDescent="0.35">
      <c r="C173" s="13"/>
      <c r="P173" s="13"/>
      <c r="U173" s="13"/>
    </row>
    <row r="174" spans="3:21" ht="15.75" customHeight="1" x14ac:dyDescent="0.35">
      <c r="C174" s="13"/>
      <c r="P174" s="13"/>
      <c r="U174" s="13"/>
    </row>
    <row r="175" spans="3:21" ht="15.75" customHeight="1" x14ac:dyDescent="0.35">
      <c r="C175" s="13"/>
      <c r="P175" s="13"/>
      <c r="U175" s="13"/>
    </row>
    <row r="176" spans="3:21" ht="15.75" customHeight="1" x14ac:dyDescent="0.35">
      <c r="C176" s="13"/>
      <c r="P176" s="13"/>
      <c r="U176" s="13"/>
    </row>
    <row r="177" spans="3:21" ht="15.75" customHeight="1" x14ac:dyDescent="0.35">
      <c r="C177" s="13"/>
      <c r="P177" s="13"/>
      <c r="U177" s="13"/>
    </row>
    <row r="178" spans="3:21" ht="15.75" customHeight="1" x14ac:dyDescent="0.35">
      <c r="C178" s="13"/>
      <c r="P178" s="13"/>
      <c r="U178" s="13"/>
    </row>
    <row r="179" spans="3:21" ht="15.75" customHeight="1" x14ac:dyDescent="0.35">
      <c r="C179" s="13"/>
      <c r="P179" s="13"/>
      <c r="U179" s="13"/>
    </row>
    <row r="180" spans="3:21" ht="15.75" customHeight="1" x14ac:dyDescent="0.35">
      <c r="C180" s="13"/>
      <c r="P180" s="13"/>
      <c r="U180" s="13"/>
    </row>
    <row r="181" spans="3:21" ht="15.75" customHeight="1" x14ac:dyDescent="0.35">
      <c r="C181" s="13"/>
      <c r="P181" s="13"/>
      <c r="U181" s="13"/>
    </row>
    <row r="182" spans="3:21" ht="15.75" customHeight="1" x14ac:dyDescent="0.35">
      <c r="C182" s="13"/>
      <c r="P182" s="13"/>
      <c r="U182" s="13"/>
    </row>
    <row r="183" spans="3:21" ht="15.75" customHeight="1" x14ac:dyDescent="0.35">
      <c r="C183" s="13"/>
      <c r="P183" s="13"/>
      <c r="U183" s="13"/>
    </row>
    <row r="184" spans="3:21" ht="15.75" customHeight="1" x14ac:dyDescent="0.35">
      <c r="C184" s="13"/>
      <c r="P184" s="13"/>
      <c r="U184" s="13"/>
    </row>
    <row r="185" spans="3:21" ht="15.75" customHeight="1" x14ac:dyDescent="0.35">
      <c r="C185" s="13"/>
      <c r="P185" s="13"/>
      <c r="U185" s="13"/>
    </row>
    <row r="186" spans="3:21" ht="15.75" customHeight="1" x14ac:dyDescent="0.35">
      <c r="C186" s="13"/>
      <c r="P186" s="13"/>
      <c r="U186" s="13"/>
    </row>
    <row r="187" spans="3:21" ht="15.75" customHeight="1" x14ac:dyDescent="0.35">
      <c r="C187" s="13"/>
      <c r="P187" s="13"/>
      <c r="U187" s="13"/>
    </row>
    <row r="188" spans="3:21" ht="15.75" customHeight="1" x14ac:dyDescent="0.35">
      <c r="C188" s="13"/>
      <c r="P188" s="13"/>
      <c r="U188" s="13"/>
    </row>
    <row r="189" spans="3:21" ht="15.75" customHeight="1" x14ac:dyDescent="0.35">
      <c r="C189" s="13"/>
      <c r="P189" s="13"/>
      <c r="U189" s="13"/>
    </row>
    <row r="190" spans="3:21" ht="15.75" customHeight="1" x14ac:dyDescent="0.35">
      <c r="C190" s="13"/>
      <c r="P190" s="13"/>
      <c r="U190" s="13"/>
    </row>
    <row r="191" spans="3:21" ht="15.75" customHeight="1" x14ac:dyDescent="0.35">
      <c r="C191" s="13"/>
      <c r="P191" s="13"/>
      <c r="U191" s="13"/>
    </row>
    <row r="192" spans="3:21" ht="15.75" customHeight="1" x14ac:dyDescent="0.35">
      <c r="C192" s="13"/>
      <c r="P192" s="13"/>
      <c r="U192" s="13"/>
    </row>
    <row r="193" spans="3:21" ht="15.75" customHeight="1" x14ac:dyDescent="0.35">
      <c r="C193" s="13"/>
      <c r="P193" s="13"/>
      <c r="U193" s="13"/>
    </row>
    <row r="194" spans="3:21" ht="15.75" customHeight="1" x14ac:dyDescent="0.35">
      <c r="C194" s="13"/>
      <c r="P194" s="13"/>
      <c r="U194" s="13"/>
    </row>
    <row r="195" spans="3:21" ht="15.75" customHeight="1" x14ac:dyDescent="0.35">
      <c r="C195" s="13"/>
      <c r="P195" s="13"/>
      <c r="U195" s="13"/>
    </row>
    <row r="196" spans="3:21" ht="15.75" customHeight="1" x14ac:dyDescent="0.35">
      <c r="C196" s="13"/>
      <c r="P196" s="13"/>
      <c r="U196" s="13"/>
    </row>
    <row r="197" spans="3:21" ht="15.75" customHeight="1" x14ac:dyDescent="0.35">
      <c r="C197" s="13"/>
      <c r="P197" s="13"/>
      <c r="U197" s="13"/>
    </row>
    <row r="198" spans="3:21" ht="15.75" customHeight="1" x14ac:dyDescent="0.35">
      <c r="C198" s="13"/>
      <c r="P198" s="13"/>
      <c r="U198" s="13"/>
    </row>
    <row r="199" spans="3:21" ht="15.75" customHeight="1" x14ac:dyDescent="0.35">
      <c r="C199" s="13"/>
      <c r="P199" s="13"/>
      <c r="U199" s="13"/>
    </row>
    <row r="200" spans="3:21" ht="15.75" customHeight="1" x14ac:dyDescent="0.35">
      <c r="C200" s="13"/>
      <c r="P200" s="13"/>
      <c r="U200" s="13"/>
    </row>
    <row r="201" spans="3:21" ht="15.75" customHeight="1" x14ac:dyDescent="0.35">
      <c r="C201" s="13"/>
      <c r="P201" s="13"/>
      <c r="U201" s="13"/>
    </row>
    <row r="202" spans="3:21" ht="15.75" customHeight="1" x14ac:dyDescent="0.35">
      <c r="C202" s="13"/>
      <c r="P202" s="13"/>
      <c r="U202" s="13"/>
    </row>
    <row r="203" spans="3:21" ht="15.75" customHeight="1" x14ac:dyDescent="0.35">
      <c r="C203" s="13"/>
      <c r="P203" s="13"/>
      <c r="U203" s="13"/>
    </row>
    <row r="204" spans="3:21" ht="15.75" customHeight="1" x14ac:dyDescent="0.35">
      <c r="C204" s="13"/>
      <c r="P204" s="13"/>
      <c r="U204" s="13"/>
    </row>
    <row r="205" spans="3:21" ht="15.75" customHeight="1" x14ac:dyDescent="0.35">
      <c r="C205" s="13"/>
      <c r="P205" s="13"/>
      <c r="U205" s="13"/>
    </row>
    <row r="206" spans="3:21" ht="15.75" customHeight="1" x14ac:dyDescent="0.35">
      <c r="C206" s="13"/>
      <c r="P206" s="13"/>
      <c r="U206" s="13"/>
    </row>
    <row r="207" spans="3:21" ht="15.75" customHeight="1" x14ac:dyDescent="0.35">
      <c r="C207" s="13"/>
      <c r="P207" s="13"/>
      <c r="U207" s="13"/>
    </row>
    <row r="208" spans="3:21" ht="15.75" customHeight="1" x14ac:dyDescent="0.35">
      <c r="C208" s="13"/>
      <c r="P208" s="13"/>
      <c r="U208" s="13"/>
    </row>
    <row r="209" spans="3:21" ht="15.75" customHeight="1" x14ac:dyDescent="0.35">
      <c r="C209" s="13"/>
      <c r="P209" s="13"/>
      <c r="U209" s="13"/>
    </row>
    <row r="210" spans="3:21" ht="15.75" customHeight="1" x14ac:dyDescent="0.35">
      <c r="C210" s="13"/>
      <c r="P210" s="13"/>
      <c r="U210" s="13"/>
    </row>
    <row r="211" spans="3:21" ht="15.75" customHeight="1" x14ac:dyDescent="0.35">
      <c r="C211" s="13"/>
      <c r="P211" s="13"/>
      <c r="U211" s="13"/>
    </row>
    <row r="212" spans="3:21" ht="15.75" customHeight="1" x14ac:dyDescent="0.35">
      <c r="C212" s="13"/>
      <c r="P212" s="13"/>
      <c r="U212" s="13"/>
    </row>
    <row r="213" spans="3:21" ht="15.75" customHeight="1" x14ac:dyDescent="0.35">
      <c r="C213" s="13"/>
      <c r="P213" s="13"/>
      <c r="U213" s="13"/>
    </row>
    <row r="214" spans="3:21" ht="15.75" customHeight="1" x14ac:dyDescent="0.35">
      <c r="C214" s="13"/>
      <c r="P214" s="13"/>
      <c r="U214" s="13"/>
    </row>
    <row r="215" spans="3:21" ht="15.75" customHeight="1" x14ac:dyDescent="0.35">
      <c r="C215" s="13"/>
      <c r="P215" s="13"/>
      <c r="U215" s="13"/>
    </row>
    <row r="216" spans="3:21" ht="15.75" customHeight="1" x14ac:dyDescent="0.35">
      <c r="C216" s="13"/>
      <c r="P216" s="13"/>
      <c r="U216" s="13"/>
    </row>
    <row r="217" spans="3:21" ht="15.75" customHeight="1" x14ac:dyDescent="0.35">
      <c r="C217" s="13"/>
      <c r="P217" s="13"/>
      <c r="U217" s="13"/>
    </row>
    <row r="218" spans="3:21" ht="15.75" customHeight="1" x14ac:dyDescent="0.35">
      <c r="C218" s="13"/>
      <c r="P218" s="13"/>
      <c r="U218" s="13"/>
    </row>
    <row r="219" spans="3:21" ht="15.75" customHeight="1" x14ac:dyDescent="0.35">
      <c r="C219" s="13"/>
      <c r="P219" s="13"/>
      <c r="U219" s="13"/>
    </row>
    <row r="220" spans="3:21" ht="15.75" customHeight="1" x14ac:dyDescent="0.35">
      <c r="C220" s="13"/>
      <c r="P220" s="13"/>
      <c r="U220" s="13"/>
    </row>
    <row r="221" spans="3:21" ht="15.75" customHeight="1" x14ac:dyDescent="0.35">
      <c r="C221" s="13"/>
      <c r="P221" s="13"/>
      <c r="U221" s="13"/>
    </row>
    <row r="222" spans="3:21" ht="15.75" customHeight="1" x14ac:dyDescent="0.35">
      <c r="C222" s="13"/>
      <c r="P222" s="13"/>
      <c r="U222" s="13"/>
    </row>
    <row r="223" spans="3:21" ht="15.75" customHeight="1" x14ac:dyDescent="0.35">
      <c r="C223" s="13"/>
      <c r="P223" s="13"/>
      <c r="U223" s="13"/>
    </row>
    <row r="224" spans="3:21" ht="15.75" customHeight="1" x14ac:dyDescent="0.35">
      <c r="C224" s="13"/>
      <c r="P224" s="13"/>
      <c r="U224" s="13"/>
    </row>
    <row r="225" spans="3:21" ht="15.75" customHeight="1" x14ac:dyDescent="0.35">
      <c r="C225" s="13"/>
      <c r="P225" s="13"/>
      <c r="U225" s="13"/>
    </row>
    <row r="226" spans="3:21" ht="15.75" customHeight="1" x14ac:dyDescent="0.35">
      <c r="C226" s="13"/>
      <c r="P226" s="13"/>
      <c r="U226" s="13"/>
    </row>
    <row r="227" spans="3:21" ht="15.75" customHeight="1" x14ac:dyDescent="0.35">
      <c r="C227" s="13"/>
      <c r="P227" s="13"/>
      <c r="U227" s="13"/>
    </row>
    <row r="228" spans="3:21" ht="15.75" customHeight="1" x14ac:dyDescent="0.35">
      <c r="C228" s="13"/>
      <c r="P228" s="13"/>
      <c r="U228" s="13"/>
    </row>
    <row r="229" spans="3:21" ht="15.75" customHeight="1" x14ac:dyDescent="0.35">
      <c r="C229" s="13"/>
      <c r="P229" s="13"/>
      <c r="U229" s="13"/>
    </row>
    <row r="230" spans="3:21" ht="15.75" customHeight="1" x14ac:dyDescent="0.35">
      <c r="C230" s="13"/>
      <c r="P230" s="13"/>
      <c r="U230" s="13"/>
    </row>
    <row r="231" spans="3:21" ht="15.75" customHeight="1" x14ac:dyDescent="0.35">
      <c r="C231" s="13"/>
      <c r="P231" s="13"/>
      <c r="U231" s="13"/>
    </row>
    <row r="232" spans="3:21" ht="15.75" customHeight="1" x14ac:dyDescent="0.35">
      <c r="C232" s="13"/>
      <c r="P232" s="13"/>
      <c r="U232" s="13"/>
    </row>
    <row r="233" spans="3:21" ht="15.75" customHeight="1" x14ac:dyDescent="0.35">
      <c r="C233" s="13"/>
      <c r="P233" s="13"/>
      <c r="U233" s="13"/>
    </row>
    <row r="234" spans="3:21" ht="15.75" customHeight="1" x14ac:dyDescent="0.35">
      <c r="C234" s="13"/>
      <c r="P234" s="13"/>
      <c r="U234" s="13"/>
    </row>
    <row r="235" spans="3:21" ht="15.75" customHeight="1" x14ac:dyDescent="0.35">
      <c r="C235" s="13"/>
      <c r="P235" s="13"/>
      <c r="U235" s="13"/>
    </row>
    <row r="236" spans="3:21" ht="15.75" customHeight="1" x14ac:dyDescent="0.35">
      <c r="C236" s="13"/>
      <c r="P236" s="13"/>
      <c r="U236" s="13"/>
    </row>
    <row r="237" spans="3:21" ht="15.75" customHeight="1" x14ac:dyDescent="0.35">
      <c r="C237" s="13"/>
      <c r="P237" s="13"/>
      <c r="U237" s="13"/>
    </row>
    <row r="238" spans="3:21" ht="15.75" customHeight="1" x14ac:dyDescent="0.35">
      <c r="C238" s="13"/>
      <c r="P238" s="13"/>
      <c r="U238" s="13"/>
    </row>
    <row r="239" spans="3:21" ht="15.75" customHeight="1" x14ac:dyDescent="0.35">
      <c r="C239" s="13"/>
      <c r="P239" s="13"/>
      <c r="U239" s="13"/>
    </row>
    <row r="240" spans="3:21" ht="15.75" customHeight="1" x14ac:dyDescent="0.35">
      <c r="C240" s="13"/>
      <c r="P240" s="13"/>
      <c r="U240" s="13"/>
    </row>
    <row r="241" spans="3:21" ht="15.75" customHeight="1" x14ac:dyDescent="0.35">
      <c r="C241" s="13"/>
      <c r="P241" s="13"/>
      <c r="U241" s="13"/>
    </row>
    <row r="242" spans="3:21" ht="15.75" customHeight="1" x14ac:dyDescent="0.35">
      <c r="C242" s="13"/>
      <c r="P242" s="13"/>
      <c r="U242" s="13"/>
    </row>
    <row r="243" spans="3:21" ht="15.75" customHeight="1" x14ac:dyDescent="0.35">
      <c r="C243" s="13"/>
      <c r="P243" s="13"/>
      <c r="U243" s="13"/>
    </row>
    <row r="244" spans="3:21" ht="15.75" customHeight="1" x14ac:dyDescent="0.35">
      <c r="C244" s="13"/>
      <c r="P244" s="13"/>
      <c r="U244" s="13"/>
    </row>
    <row r="245" spans="3:21" ht="15.75" customHeight="1" x14ac:dyDescent="0.35">
      <c r="C245" s="13"/>
      <c r="P245" s="13"/>
      <c r="U245" s="13"/>
    </row>
    <row r="246" spans="3:21" ht="15.75" customHeight="1" x14ac:dyDescent="0.35">
      <c r="C246" s="13"/>
      <c r="P246" s="13"/>
      <c r="U246" s="13"/>
    </row>
    <row r="247" spans="3:21" ht="15.75" customHeight="1" x14ac:dyDescent="0.35">
      <c r="C247" s="13"/>
      <c r="P247" s="13"/>
      <c r="U247" s="13"/>
    </row>
    <row r="248" spans="3:21" ht="15.75" customHeight="1" x14ac:dyDescent="0.35">
      <c r="C248" s="13"/>
      <c r="P248" s="13"/>
      <c r="U248" s="13"/>
    </row>
    <row r="249" spans="3:21" ht="15.75" customHeight="1" x14ac:dyDescent="0.35">
      <c r="C249" s="13"/>
      <c r="P249" s="13"/>
      <c r="U249" s="13"/>
    </row>
    <row r="250" spans="3:21" ht="15.75" customHeight="1" x14ac:dyDescent="0.35">
      <c r="C250" s="13"/>
      <c r="P250" s="13"/>
      <c r="U250" s="13"/>
    </row>
    <row r="251" spans="3:21" ht="15.75" customHeight="1" x14ac:dyDescent="0.35">
      <c r="C251" s="13"/>
      <c r="P251" s="13"/>
      <c r="U251" s="13"/>
    </row>
    <row r="252" spans="3:21" ht="15.75" customHeight="1" x14ac:dyDescent="0.35">
      <c r="C252" s="13"/>
      <c r="P252" s="13"/>
      <c r="U252" s="13"/>
    </row>
    <row r="253" spans="3:21" ht="15.75" customHeight="1" x14ac:dyDescent="0.35">
      <c r="C253" s="13"/>
      <c r="P253" s="13"/>
      <c r="U253" s="13"/>
    </row>
    <row r="254" spans="3:21" ht="15.75" customHeight="1" x14ac:dyDescent="0.35">
      <c r="C254" s="13"/>
      <c r="P254" s="13"/>
      <c r="U254" s="13"/>
    </row>
    <row r="255" spans="3:21" ht="15.75" customHeight="1" x14ac:dyDescent="0.35">
      <c r="C255" s="13"/>
      <c r="P255" s="13"/>
      <c r="U255" s="13"/>
    </row>
    <row r="256" spans="3:21" ht="15.75" customHeight="1" x14ac:dyDescent="0.35">
      <c r="C256" s="13"/>
      <c r="P256" s="13"/>
      <c r="U256" s="13"/>
    </row>
    <row r="257" spans="3:21" ht="15.75" customHeight="1" x14ac:dyDescent="0.35">
      <c r="C257" s="13"/>
      <c r="P257" s="13"/>
      <c r="U257" s="13"/>
    </row>
    <row r="258" spans="3:21" ht="15.75" customHeight="1" x14ac:dyDescent="0.35">
      <c r="C258" s="13"/>
      <c r="P258" s="13"/>
      <c r="U258" s="13"/>
    </row>
    <row r="259" spans="3:21" ht="15.75" customHeight="1" x14ac:dyDescent="0.35">
      <c r="C259" s="13"/>
      <c r="P259" s="13"/>
      <c r="U259" s="13"/>
    </row>
    <row r="260" spans="3:21" ht="15.75" customHeight="1" x14ac:dyDescent="0.35">
      <c r="C260" s="13"/>
      <c r="P260" s="13"/>
      <c r="U260" s="13"/>
    </row>
    <row r="261" spans="3:21" ht="15.75" customHeight="1" x14ac:dyDescent="0.35">
      <c r="C261" s="13"/>
      <c r="P261" s="13"/>
      <c r="U261" s="13"/>
    </row>
    <row r="262" spans="3:21" ht="15.75" customHeight="1" x14ac:dyDescent="0.35">
      <c r="C262" s="13"/>
      <c r="P262" s="13"/>
      <c r="U262" s="13"/>
    </row>
    <row r="263" spans="3:21" ht="15.75" customHeight="1" x14ac:dyDescent="0.35">
      <c r="C263" s="13"/>
      <c r="P263" s="13"/>
      <c r="U263" s="13"/>
    </row>
    <row r="264" spans="3:21" ht="15.75" customHeight="1" x14ac:dyDescent="0.35">
      <c r="C264" s="13"/>
      <c r="P264" s="13"/>
      <c r="U264" s="13"/>
    </row>
    <row r="265" spans="3:21" ht="15.75" customHeight="1" x14ac:dyDescent="0.35">
      <c r="C265" s="13"/>
      <c r="P265" s="13"/>
      <c r="U265" s="13"/>
    </row>
    <row r="266" spans="3:21" ht="15.75" customHeight="1" x14ac:dyDescent="0.35">
      <c r="C266" s="13"/>
      <c r="P266" s="13"/>
      <c r="U266" s="13"/>
    </row>
    <row r="267" spans="3:21" ht="15.75" customHeight="1" x14ac:dyDescent="0.35">
      <c r="C267" s="13"/>
      <c r="P267" s="13"/>
      <c r="U267" s="13"/>
    </row>
    <row r="268" spans="3:21" ht="15.75" customHeight="1" x14ac:dyDescent="0.35">
      <c r="C268" s="13"/>
      <c r="P268" s="13"/>
      <c r="U268" s="13"/>
    </row>
    <row r="269" spans="3:21" ht="15.75" customHeight="1" x14ac:dyDescent="0.35">
      <c r="C269" s="13"/>
      <c r="P269" s="13"/>
      <c r="U269" s="13"/>
    </row>
    <row r="270" spans="3:21" ht="15.75" customHeight="1" x14ac:dyDescent="0.35">
      <c r="C270" s="13"/>
      <c r="P270" s="13"/>
      <c r="U270" s="13"/>
    </row>
    <row r="271" spans="3:21" ht="15.75" customHeight="1" x14ac:dyDescent="0.35">
      <c r="C271" s="13"/>
      <c r="P271" s="13"/>
      <c r="U271" s="13"/>
    </row>
    <row r="272" spans="3:21" ht="15.75" customHeight="1" x14ac:dyDescent="0.35">
      <c r="C272" s="13"/>
      <c r="P272" s="13"/>
      <c r="U272" s="13"/>
    </row>
    <row r="273" spans="3:21" ht="15.75" customHeight="1" x14ac:dyDescent="0.35">
      <c r="C273" s="13"/>
      <c r="P273" s="13"/>
      <c r="U273" s="13"/>
    </row>
    <row r="274" spans="3:21" ht="15.75" customHeight="1" x14ac:dyDescent="0.35">
      <c r="C274" s="13"/>
      <c r="P274" s="13"/>
      <c r="U274" s="13"/>
    </row>
    <row r="275" spans="3:21" ht="15.75" customHeight="1" x14ac:dyDescent="0.35">
      <c r="C275" s="13"/>
      <c r="P275" s="13"/>
      <c r="U275" s="13"/>
    </row>
    <row r="276" spans="3:21" ht="15.75" customHeight="1" x14ac:dyDescent="0.35">
      <c r="C276" s="13"/>
      <c r="P276" s="13"/>
      <c r="U276" s="13"/>
    </row>
    <row r="277" spans="3:21" ht="15.75" customHeight="1" x14ac:dyDescent="0.35">
      <c r="C277" s="13"/>
      <c r="P277" s="13"/>
      <c r="U277" s="13"/>
    </row>
    <row r="278" spans="3:21" ht="15.75" customHeight="1" x14ac:dyDescent="0.35">
      <c r="C278" s="13"/>
      <c r="P278" s="13"/>
      <c r="U278" s="13"/>
    </row>
    <row r="279" spans="3:21" ht="15.75" customHeight="1" x14ac:dyDescent="0.35">
      <c r="C279" s="13"/>
      <c r="P279" s="13"/>
      <c r="U279" s="13"/>
    </row>
    <row r="280" spans="3:21" ht="15.75" customHeight="1" x14ac:dyDescent="0.35">
      <c r="C280" s="13"/>
      <c r="P280" s="13"/>
      <c r="U280" s="13"/>
    </row>
    <row r="281" spans="3:21" ht="15.75" customHeight="1" x14ac:dyDescent="0.35">
      <c r="C281" s="13"/>
      <c r="P281" s="13"/>
      <c r="U281" s="13"/>
    </row>
    <row r="282" spans="3:21" ht="15.75" customHeight="1" x14ac:dyDescent="0.35">
      <c r="C282" s="13"/>
      <c r="P282" s="13"/>
      <c r="U282" s="13"/>
    </row>
    <row r="283" spans="3:21" ht="15.75" customHeight="1" x14ac:dyDescent="0.35">
      <c r="C283" s="13"/>
      <c r="P283" s="13"/>
      <c r="U283" s="13"/>
    </row>
    <row r="284" spans="3:21" ht="15.75" customHeight="1" x14ac:dyDescent="0.35">
      <c r="C284" s="13"/>
      <c r="P284" s="13"/>
      <c r="U284" s="13"/>
    </row>
    <row r="285" spans="3:21" ht="15.75" customHeight="1" x14ac:dyDescent="0.35">
      <c r="C285" s="13"/>
      <c r="P285" s="13"/>
      <c r="U285" s="13"/>
    </row>
    <row r="286" spans="3:21" ht="15.75" customHeight="1" x14ac:dyDescent="0.35">
      <c r="C286" s="13"/>
      <c r="P286" s="13"/>
      <c r="U286" s="13"/>
    </row>
    <row r="287" spans="3:21" ht="15.75" customHeight="1" x14ac:dyDescent="0.35">
      <c r="C287" s="13"/>
      <c r="P287" s="13"/>
      <c r="U287" s="13"/>
    </row>
    <row r="288" spans="3:21" ht="15.75" customHeight="1" x14ac:dyDescent="0.35">
      <c r="C288" s="13"/>
      <c r="P288" s="13"/>
      <c r="U288" s="13"/>
    </row>
    <row r="289" spans="3:21" ht="15.75" customHeight="1" x14ac:dyDescent="0.35">
      <c r="C289" s="13"/>
      <c r="P289" s="13"/>
      <c r="U289" s="13"/>
    </row>
    <row r="290" spans="3:21" ht="15.75" customHeight="1" x14ac:dyDescent="0.35">
      <c r="C290" s="13"/>
      <c r="P290" s="13"/>
      <c r="U290" s="13"/>
    </row>
    <row r="291" spans="3:21" ht="15.75" customHeight="1" x14ac:dyDescent="0.35">
      <c r="C291" s="13"/>
      <c r="P291" s="13"/>
      <c r="U291" s="13"/>
    </row>
    <row r="292" spans="3:21" ht="15.75" customHeight="1" x14ac:dyDescent="0.35">
      <c r="C292" s="13"/>
      <c r="P292" s="13"/>
      <c r="U292" s="13"/>
    </row>
    <row r="293" spans="3:21" ht="15.75" customHeight="1" x14ac:dyDescent="0.35">
      <c r="C293" s="13"/>
      <c r="P293" s="13"/>
      <c r="U293" s="13"/>
    </row>
    <row r="294" spans="3:21" ht="15.75" customHeight="1" x14ac:dyDescent="0.35">
      <c r="C294" s="13"/>
      <c r="P294" s="13"/>
      <c r="U294" s="13"/>
    </row>
    <row r="295" spans="3:21" ht="15.75" customHeight="1" x14ac:dyDescent="0.35">
      <c r="C295" s="13"/>
      <c r="P295" s="13"/>
      <c r="U295" s="13"/>
    </row>
    <row r="296" spans="3:21" ht="15.75" customHeight="1" x14ac:dyDescent="0.35">
      <c r="C296" s="13"/>
      <c r="P296" s="13"/>
      <c r="U296" s="13"/>
    </row>
    <row r="297" spans="3:21" ht="15.75" customHeight="1" x14ac:dyDescent="0.35">
      <c r="C297" s="13"/>
      <c r="P297" s="13"/>
      <c r="U297" s="13"/>
    </row>
    <row r="298" spans="3:21" ht="15.75" customHeight="1" x14ac:dyDescent="0.35">
      <c r="C298" s="13"/>
      <c r="P298" s="13"/>
      <c r="U298" s="13"/>
    </row>
    <row r="299" spans="3:21" ht="15.75" customHeight="1" x14ac:dyDescent="0.35">
      <c r="C299" s="13"/>
      <c r="P299" s="13"/>
      <c r="U299" s="13"/>
    </row>
    <row r="300" spans="3:21" ht="15.75" customHeight="1" x14ac:dyDescent="0.35">
      <c r="C300" s="13"/>
      <c r="P300" s="13"/>
      <c r="U300" s="13"/>
    </row>
    <row r="301" spans="3:21" ht="15.75" customHeight="1" x14ac:dyDescent="0.35">
      <c r="C301" s="13"/>
      <c r="P301" s="13"/>
      <c r="U301" s="13"/>
    </row>
    <row r="302" spans="3:21" ht="15.75" customHeight="1" x14ac:dyDescent="0.35">
      <c r="C302" s="13"/>
      <c r="P302" s="13"/>
      <c r="U302" s="13"/>
    </row>
    <row r="303" spans="3:21" ht="15.75" customHeight="1" x14ac:dyDescent="0.35">
      <c r="C303" s="13"/>
      <c r="P303" s="13"/>
      <c r="U303" s="13"/>
    </row>
    <row r="304" spans="3:21" ht="15.75" customHeight="1" x14ac:dyDescent="0.35">
      <c r="C304" s="13"/>
      <c r="P304" s="13"/>
      <c r="U304" s="13"/>
    </row>
    <row r="305" spans="3:21" ht="15.75" customHeight="1" x14ac:dyDescent="0.35">
      <c r="C305" s="13"/>
      <c r="P305" s="13"/>
      <c r="U305" s="13"/>
    </row>
    <row r="306" spans="3:21" ht="15.75" customHeight="1" x14ac:dyDescent="0.35">
      <c r="C306" s="13"/>
      <c r="P306" s="13"/>
      <c r="U306" s="13"/>
    </row>
    <row r="307" spans="3:21" ht="15.75" customHeight="1" x14ac:dyDescent="0.35">
      <c r="C307" s="13"/>
      <c r="P307" s="13"/>
      <c r="U307" s="13"/>
    </row>
    <row r="308" spans="3:21" ht="15.75" customHeight="1" x14ac:dyDescent="0.35">
      <c r="C308" s="13"/>
      <c r="P308" s="13"/>
      <c r="U308" s="13"/>
    </row>
    <row r="309" spans="3:21" ht="15.75" customHeight="1" x14ac:dyDescent="0.35">
      <c r="C309" s="13"/>
      <c r="P309" s="13"/>
      <c r="U309" s="13"/>
    </row>
    <row r="310" spans="3:21" ht="15.75" customHeight="1" x14ac:dyDescent="0.35">
      <c r="C310" s="13"/>
      <c r="P310" s="13"/>
      <c r="U310" s="13"/>
    </row>
    <row r="311" spans="3:21" ht="15.75" customHeight="1" x14ac:dyDescent="0.35">
      <c r="C311" s="13"/>
      <c r="P311" s="13"/>
      <c r="U311" s="13"/>
    </row>
    <row r="312" spans="3:21" ht="15.75" customHeight="1" x14ac:dyDescent="0.35">
      <c r="C312" s="13"/>
      <c r="P312" s="13"/>
      <c r="U312" s="13"/>
    </row>
    <row r="313" spans="3:21" ht="15.75" customHeight="1" x14ac:dyDescent="0.35">
      <c r="C313" s="13"/>
      <c r="P313" s="13"/>
      <c r="U313" s="13"/>
    </row>
    <row r="314" spans="3:21" ht="15.75" customHeight="1" x14ac:dyDescent="0.35">
      <c r="C314" s="13"/>
      <c r="P314" s="13"/>
      <c r="U314" s="13"/>
    </row>
    <row r="315" spans="3:21" ht="15.75" customHeight="1" x14ac:dyDescent="0.35">
      <c r="C315" s="13"/>
      <c r="P315" s="13"/>
      <c r="U315" s="13"/>
    </row>
    <row r="316" spans="3:21" ht="15.75" customHeight="1" x14ac:dyDescent="0.35">
      <c r="C316" s="13"/>
      <c r="P316" s="13"/>
      <c r="U316" s="13"/>
    </row>
    <row r="317" spans="3:21" ht="15.75" customHeight="1" x14ac:dyDescent="0.35">
      <c r="C317" s="13"/>
      <c r="P317" s="13"/>
      <c r="U317" s="13"/>
    </row>
    <row r="318" spans="3:21" ht="15.75" customHeight="1" x14ac:dyDescent="0.35">
      <c r="C318" s="13"/>
      <c r="P318" s="13"/>
      <c r="U318" s="13"/>
    </row>
    <row r="319" spans="3:21" ht="15.75" customHeight="1" x14ac:dyDescent="0.35">
      <c r="C319" s="13"/>
      <c r="P319" s="13"/>
      <c r="U319" s="13"/>
    </row>
    <row r="320" spans="3:21" ht="15.75" customHeight="1" x14ac:dyDescent="0.35">
      <c r="C320" s="13"/>
      <c r="P320" s="13"/>
      <c r="U320" s="13"/>
    </row>
    <row r="321" spans="3:21" ht="15.75" customHeight="1" x14ac:dyDescent="0.35">
      <c r="C321" s="13"/>
      <c r="P321" s="13"/>
      <c r="U321" s="13"/>
    </row>
    <row r="322" spans="3:21" ht="15.75" customHeight="1" x14ac:dyDescent="0.35">
      <c r="C322" s="13"/>
      <c r="P322" s="13"/>
      <c r="U322" s="13"/>
    </row>
    <row r="323" spans="3:21" ht="15.75" customHeight="1" x14ac:dyDescent="0.35">
      <c r="C323" s="13"/>
      <c r="P323" s="13"/>
      <c r="U323" s="13"/>
    </row>
    <row r="324" spans="3:21" ht="15.75" customHeight="1" x14ac:dyDescent="0.35">
      <c r="C324" s="13"/>
      <c r="P324" s="13"/>
      <c r="U324" s="13"/>
    </row>
    <row r="325" spans="3:21" ht="15.75" customHeight="1" x14ac:dyDescent="0.35">
      <c r="C325" s="13"/>
      <c r="P325" s="13"/>
      <c r="U325" s="13"/>
    </row>
    <row r="326" spans="3:21" ht="15.75" customHeight="1" x14ac:dyDescent="0.35">
      <c r="C326" s="13"/>
      <c r="P326" s="13"/>
      <c r="U326" s="13"/>
    </row>
    <row r="327" spans="3:21" ht="15.75" customHeight="1" x14ac:dyDescent="0.35">
      <c r="C327" s="13"/>
      <c r="P327" s="13"/>
      <c r="U327" s="13"/>
    </row>
    <row r="328" spans="3:21" ht="15.75" customHeight="1" x14ac:dyDescent="0.35">
      <c r="C328" s="13"/>
      <c r="P328" s="13"/>
      <c r="U328" s="13"/>
    </row>
    <row r="329" spans="3:21" ht="15.75" customHeight="1" x14ac:dyDescent="0.35">
      <c r="C329" s="13"/>
      <c r="P329" s="13"/>
      <c r="U329" s="13"/>
    </row>
    <row r="330" spans="3:21" ht="15.75" customHeight="1" x14ac:dyDescent="0.35">
      <c r="C330" s="13"/>
      <c r="P330" s="13"/>
      <c r="U330" s="13"/>
    </row>
    <row r="331" spans="3:21" ht="15.75" customHeight="1" x14ac:dyDescent="0.35">
      <c r="C331" s="13"/>
      <c r="P331" s="13"/>
      <c r="U331" s="13"/>
    </row>
    <row r="332" spans="3:21" ht="15.75" customHeight="1" x14ac:dyDescent="0.35">
      <c r="C332" s="13"/>
      <c r="P332" s="13"/>
      <c r="U332" s="13"/>
    </row>
    <row r="333" spans="3:21" ht="15.75" customHeight="1" x14ac:dyDescent="0.35">
      <c r="C333" s="13"/>
      <c r="P333" s="13"/>
      <c r="U333" s="13"/>
    </row>
    <row r="334" spans="3:21" ht="15.75" customHeight="1" x14ac:dyDescent="0.35">
      <c r="C334" s="13"/>
      <c r="P334" s="13"/>
      <c r="U334" s="13"/>
    </row>
    <row r="335" spans="3:21" ht="15.75" customHeight="1" x14ac:dyDescent="0.35">
      <c r="C335" s="13"/>
      <c r="P335" s="13"/>
      <c r="U335" s="13"/>
    </row>
    <row r="336" spans="3:21" ht="15.75" customHeight="1" x14ac:dyDescent="0.35">
      <c r="C336" s="13"/>
      <c r="P336" s="13"/>
      <c r="U336" s="13"/>
    </row>
    <row r="337" spans="3:21" ht="15.75" customHeight="1" x14ac:dyDescent="0.35">
      <c r="C337" s="13"/>
      <c r="P337" s="13"/>
      <c r="U337" s="13"/>
    </row>
    <row r="338" spans="3:21" ht="15.75" customHeight="1" x14ac:dyDescent="0.35">
      <c r="C338" s="13"/>
      <c r="P338" s="13"/>
      <c r="U338" s="13"/>
    </row>
    <row r="339" spans="3:21" ht="15.75" customHeight="1" x14ac:dyDescent="0.35">
      <c r="C339" s="13"/>
      <c r="P339" s="13"/>
      <c r="U339" s="13"/>
    </row>
    <row r="340" spans="3:21" ht="15.75" customHeight="1" x14ac:dyDescent="0.35">
      <c r="C340" s="13"/>
      <c r="P340" s="13"/>
      <c r="U340" s="13"/>
    </row>
    <row r="341" spans="3:21" ht="15.75" customHeight="1" x14ac:dyDescent="0.35">
      <c r="C341" s="13"/>
      <c r="P341" s="13"/>
      <c r="U341" s="13"/>
    </row>
    <row r="342" spans="3:21" ht="15.75" customHeight="1" x14ac:dyDescent="0.35">
      <c r="C342" s="13"/>
      <c r="P342" s="13"/>
      <c r="U342" s="13"/>
    </row>
    <row r="343" spans="3:21" ht="15.75" customHeight="1" x14ac:dyDescent="0.35">
      <c r="C343" s="13"/>
      <c r="P343" s="13"/>
      <c r="U343" s="13"/>
    </row>
    <row r="344" spans="3:21" ht="15.75" customHeight="1" x14ac:dyDescent="0.35">
      <c r="C344" s="13"/>
      <c r="P344" s="13"/>
      <c r="U344" s="13"/>
    </row>
    <row r="345" spans="3:21" ht="15.75" customHeight="1" x14ac:dyDescent="0.35">
      <c r="C345" s="13"/>
      <c r="P345" s="13"/>
      <c r="U345" s="13"/>
    </row>
    <row r="346" spans="3:21" ht="15.75" customHeight="1" x14ac:dyDescent="0.35">
      <c r="C346" s="13"/>
      <c r="P346" s="13"/>
      <c r="U346" s="13"/>
    </row>
    <row r="347" spans="3:21" ht="15.75" customHeight="1" x14ac:dyDescent="0.35">
      <c r="C347" s="13"/>
      <c r="P347" s="13"/>
      <c r="U347" s="13"/>
    </row>
    <row r="348" spans="3:21" ht="15.75" customHeight="1" x14ac:dyDescent="0.35">
      <c r="C348" s="13"/>
      <c r="P348" s="13"/>
      <c r="U348" s="13"/>
    </row>
    <row r="349" spans="3:21" ht="15.75" customHeight="1" x14ac:dyDescent="0.35">
      <c r="C349" s="13"/>
      <c r="P349" s="13"/>
      <c r="U349" s="13"/>
    </row>
    <row r="350" spans="3:21" ht="15.75" customHeight="1" x14ac:dyDescent="0.35">
      <c r="C350" s="13"/>
      <c r="P350" s="13"/>
      <c r="U350" s="13"/>
    </row>
    <row r="351" spans="3:21" ht="15.75" customHeight="1" x14ac:dyDescent="0.35">
      <c r="C351" s="13"/>
      <c r="P351" s="13"/>
      <c r="U351" s="13"/>
    </row>
    <row r="352" spans="3:21" ht="15.75" customHeight="1" x14ac:dyDescent="0.35">
      <c r="C352" s="13"/>
      <c r="P352" s="13"/>
      <c r="U352" s="13"/>
    </row>
    <row r="353" spans="3:21" ht="15.75" customHeight="1" x14ac:dyDescent="0.35">
      <c r="C353" s="13"/>
      <c r="P353" s="13"/>
      <c r="U353" s="13"/>
    </row>
    <row r="354" spans="3:21" ht="15.75" customHeight="1" x14ac:dyDescent="0.35">
      <c r="C354" s="13"/>
      <c r="P354" s="13"/>
      <c r="U354" s="13"/>
    </row>
    <row r="355" spans="3:21" ht="15.75" customHeight="1" x14ac:dyDescent="0.35">
      <c r="C355" s="13"/>
      <c r="P355" s="13"/>
      <c r="U355" s="13"/>
    </row>
    <row r="356" spans="3:21" ht="15.75" customHeight="1" x14ac:dyDescent="0.35">
      <c r="C356" s="13"/>
      <c r="P356" s="13"/>
      <c r="U356" s="13"/>
    </row>
    <row r="357" spans="3:21" ht="15.75" customHeight="1" x14ac:dyDescent="0.35">
      <c r="C357" s="13"/>
      <c r="P357" s="13"/>
      <c r="U357" s="13"/>
    </row>
    <row r="358" spans="3:21" ht="15.75" customHeight="1" x14ac:dyDescent="0.35">
      <c r="C358" s="13"/>
      <c r="P358" s="13"/>
      <c r="U358" s="13"/>
    </row>
    <row r="359" spans="3:21" ht="15.75" customHeight="1" x14ac:dyDescent="0.35">
      <c r="C359" s="13"/>
      <c r="P359" s="13"/>
      <c r="U359" s="13"/>
    </row>
    <row r="360" spans="3:21" ht="15.75" customHeight="1" x14ac:dyDescent="0.35">
      <c r="C360" s="13"/>
      <c r="P360" s="13"/>
      <c r="U360" s="13"/>
    </row>
    <row r="361" spans="3:21" ht="15.75" customHeight="1" x14ac:dyDescent="0.35">
      <c r="C361" s="13"/>
      <c r="P361" s="13"/>
      <c r="U361" s="13"/>
    </row>
    <row r="362" spans="3:21" ht="15.75" customHeight="1" x14ac:dyDescent="0.35">
      <c r="C362" s="13"/>
      <c r="P362" s="13"/>
      <c r="U362" s="13"/>
    </row>
    <row r="363" spans="3:21" ht="15.75" customHeight="1" x14ac:dyDescent="0.35">
      <c r="C363" s="13"/>
      <c r="P363" s="13"/>
      <c r="U363" s="13"/>
    </row>
    <row r="364" spans="3:21" ht="15.75" customHeight="1" x14ac:dyDescent="0.35">
      <c r="C364" s="13"/>
      <c r="P364" s="13"/>
      <c r="U364" s="13"/>
    </row>
    <row r="365" spans="3:21" ht="15.75" customHeight="1" x14ac:dyDescent="0.35">
      <c r="C365" s="13"/>
      <c r="P365" s="13"/>
      <c r="U365" s="13"/>
    </row>
    <row r="366" spans="3:21" ht="15.75" customHeight="1" x14ac:dyDescent="0.35">
      <c r="C366" s="13"/>
      <c r="P366" s="13"/>
      <c r="U366" s="13"/>
    </row>
    <row r="367" spans="3:21" ht="15.75" customHeight="1" x14ac:dyDescent="0.35">
      <c r="C367" s="13"/>
      <c r="P367" s="13"/>
      <c r="U367" s="13"/>
    </row>
    <row r="368" spans="3:21" ht="15.75" customHeight="1" x14ac:dyDescent="0.35">
      <c r="C368" s="13"/>
      <c r="P368" s="13"/>
      <c r="U368" s="13"/>
    </row>
    <row r="369" spans="3:21" ht="15.75" customHeight="1" x14ac:dyDescent="0.35">
      <c r="C369" s="13"/>
      <c r="P369" s="13"/>
      <c r="U369" s="13"/>
    </row>
    <row r="370" spans="3:21" ht="15.75" customHeight="1" x14ac:dyDescent="0.35">
      <c r="C370" s="13"/>
      <c r="P370" s="13"/>
      <c r="U370" s="13"/>
    </row>
    <row r="371" spans="3:21" ht="15.75" customHeight="1" x14ac:dyDescent="0.35">
      <c r="C371" s="13"/>
      <c r="P371" s="13"/>
      <c r="U371" s="13"/>
    </row>
    <row r="372" spans="3:21" ht="15.75" customHeight="1" x14ac:dyDescent="0.35">
      <c r="C372" s="13"/>
      <c r="P372" s="13"/>
      <c r="U372" s="13"/>
    </row>
    <row r="373" spans="3:21" ht="15.75" customHeight="1" x14ac:dyDescent="0.35">
      <c r="C373" s="13"/>
      <c r="P373" s="13"/>
      <c r="U373" s="13"/>
    </row>
    <row r="374" spans="3:21" ht="15.75" customHeight="1" x14ac:dyDescent="0.35">
      <c r="C374" s="13"/>
      <c r="P374" s="13"/>
      <c r="U374" s="13"/>
    </row>
    <row r="375" spans="3:21" ht="15.75" customHeight="1" x14ac:dyDescent="0.35">
      <c r="C375" s="13"/>
      <c r="P375" s="13"/>
      <c r="U375" s="13"/>
    </row>
    <row r="376" spans="3:21" ht="15.75" customHeight="1" x14ac:dyDescent="0.35">
      <c r="C376" s="13"/>
      <c r="P376" s="13"/>
      <c r="U376" s="13"/>
    </row>
    <row r="377" spans="3:21" ht="15.75" customHeight="1" x14ac:dyDescent="0.35">
      <c r="C377" s="13"/>
      <c r="P377" s="13"/>
      <c r="U377" s="13"/>
    </row>
    <row r="378" spans="3:21" ht="15.75" customHeight="1" x14ac:dyDescent="0.35">
      <c r="C378" s="13"/>
      <c r="P378" s="13"/>
      <c r="U378" s="13"/>
    </row>
    <row r="379" spans="3:21" ht="15.75" customHeight="1" x14ac:dyDescent="0.35">
      <c r="C379" s="13"/>
      <c r="P379" s="13"/>
      <c r="U379" s="13"/>
    </row>
    <row r="380" spans="3:21" ht="15.75" customHeight="1" x14ac:dyDescent="0.35">
      <c r="C380" s="13"/>
      <c r="P380" s="13"/>
      <c r="U380" s="13"/>
    </row>
    <row r="381" spans="3:21" ht="15.75" customHeight="1" x14ac:dyDescent="0.35">
      <c r="C381" s="13"/>
      <c r="P381" s="13"/>
      <c r="U381" s="13"/>
    </row>
    <row r="382" spans="3:21" ht="15.75" customHeight="1" x14ac:dyDescent="0.35">
      <c r="C382" s="13"/>
      <c r="P382" s="13"/>
      <c r="U382" s="13"/>
    </row>
    <row r="383" spans="3:21" ht="15.75" customHeight="1" x14ac:dyDescent="0.35">
      <c r="C383" s="13"/>
      <c r="P383" s="13"/>
      <c r="U383" s="13"/>
    </row>
    <row r="384" spans="3:21" ht="15.75" customHeight="1" x14ac:dyDescent="0.35">
      <c r="C384" s="13"/>
      <c r="P384" s="13"/>
      <c r="U384" s="13"/>
    </row>
    <row r="385" spans="3:21" ht="15.75" customHeight="1" x14ac:dyDescent="0.35">
      <c r="C385" s="13"/>
      <c r="P385" s="13"/>
      <c r="U385" s="13"/>
    </row>
    <row r="386" spans="3:21" ht="15.75" customHeight="1" x14ac:dyDescent="0.35">
      <c r="C386" s="13"/>
      <c r="P386" s="13"/>
      <c r="U386" s="13"/>
    </row>
    <row r="387" spans="3:21" ht="15.75" customHeight="1" x14ac:dyDescent="0.35">
      <c r="C387" s="13"/>
      <c r="P387" s="13"/>
      <c r="U387" s="13"/>
    </row>
    <row r="388" spans="3:21" ht="15.75" customHeight="1" x14ac:dyDescent="0.35">
      <c r="C388" s="13"/>
      <c r="P388" s="13"/>
      <c r="U388" s="13"/>
    </row>
    <row r="389" spans="3:21" ht="15.75" customHeight="1" x14ac:dyDescent="0.35">
      <c r="C389" s="13"/>
      <c r="P389" s="13"/>
      <c r="U389" s="13"/>
    </row>
    <row r="390" spans="3:21" ht="15.75" customHeight="1" x14ac:dyDescent="0.35">
      <c r="C390" s="13"/>
      <c r="P390" s="13"/>
      <c r="U390" s="13"/>
    </row>
    <row r="391" spans="3:21" ht="15.75" customHeight="1" x14ac:dyDescent="0.35">
      <c r="C391" s="13"/>
      <c r="P391" s="13"/>
      <c r="U391" s="13"/>
    </row>
    <row r="392" spans="3:21" ht="15.75" customHeight="1" x14ac:dyDescent="0.35">
      <c r="C392" s="13"/>
      <c r="P392" s="13"/>
      <c r="U392" s="13"/>
    </row>
    <row r="393" spans="3:21" ht="15.75" customHeight="1" x14ac:dyDescent="0.35">
      <c r="C393" s="13"/>
      <c r="P393" s="13"/>
      <c r="U393" s="13"/>
    </row>
    <row r="394" spans="3:21" ht="15.75" customHeight="1" x14ac:dyDescent="0.35">
      <c r="C394" s="13"/>
      <c r="P394" s="13"/>
      <c r="U394" s="13"/>
    </row>
    <row r="395" spans="3:21" ht="15.75" customHeight="1" x14ac:dyDescent="0.35">
      <c r="C395" s="13"/>
      <c r="P395" s="13"/>
      <c r="U395" s="13"/>
    </row>
    <row r="396" spans="3:21" ht="15.75" customHeight="1" x14ac:dyDescent="0.35">
      <c r="C396" s="13"/>
      <c r="P396" s="13"/>
      <c r="U396" s="13"/>
    </row>
    <row r="397" spans="3:21" ht="15.75" customHeight="1" x14ac:dyDescent="0.35">
      <c r="C397" s="13"/>
      <c r="P397" s="13"/>
      <c r="U397" s="13"/>
    </row>
    <row r="398" spans="3:21" ht="15.75" customHeight="1" x14ac:dyDescent="0.35">
      <c r="C398" s="13"/>
      <c r="P398" s="13"/>
      <c r="U398" s="13"/>
    </row>
    <row r="399" spans="3:21" ht="15.75" customHeight="1" x14ac:dyDescent="0.35">
      <c r="C399" s="13"/>
      <c r="P399" s="13"/>
      <c r="U399" s="13"/>
    </row>
    <row r="400" spans="3:21" ht="15.75" customHeight="1" x14ac:dyDescent="0.35">
      <c r="C400" s="13"/>
      <c r="P400" s="13"/>
      <c r="U400" s="13"/>
    </row>
    <row r="401" spans="3:21" ht="15.75" customHeight="1" x14ac:dyDescent="0.35">
      <c r="C401" s="13"/>
      <c r="P401" s="13"/>
      <c r="U401" s="13"/>
    </row>
    <row r="402" spans="3:21" ht="15.75" customHeight="1" x14ac:dyDescent="0.35">
      <c r="C402" s="13"/>
      <c r="P402" s="13"/>
      <c r="U402" s="13"/>
    </row>
    <row r="403" spans="3:21" ht="15.75" customHeight="1" x14ac:dyDescent="0.35">
      <c r="C403" s="13"/>
      <c r="P403" s="13"/>
      <c r="U403" s="13"/>
    </row>
    <row r="404" spans="3:21" ht="15.75" customHeight="1" x14ac:dyDescent="0.35">
      <c r="C404" s="13"/>
      <c r="P404" s="13"/>
      <c r="U404" s="13"/>
    </row>
    <row r="405" spans="3:21" ht="15.75" customHeight="1" x14ac:dyDescent="0.35">
      <c r="C405" s="13"/>
      <c r="P405" s="13"/>
      <c r="U405" s="13"/>
    </row>
    <row r="406" spans="3:21" ht="15.75" customHeight="1" x14ac:dyDescent="0.35">
      <c r="C406" s="13"/>
      <c r="P406" s="13"/>
      <c r="U406" s="13"/>
    </row>
    <row r="407" spans="3:21" ht="15.75" customHeight="1" x14ac:dyDescent="0.35">
      <c r="C407" s="13"/>
      <c r="P407" s="13"/>
      <c r="U407" s="13"/>
    </row>
    <row r="408" spans="3:21" ht="15.75" customHeight="1" x14ac:dyDescent="0.35">
      <c r="C408" s="13"/>
      <c r="P408" s="13"/>
      <c r="U408" s="13"/>
    </row>
    <row r="409" spans="3:21" ht="15.75" customHeight="1" x14ac:dyDescent="0.35">
      <c r="C409" s="13"/>
      <c r="P409" s="13"/>
      <c r="U409" s="13"/>
    </row>
    <row r="410" spans="3:21" ht="15.75" customHeight="1" x14ac:dyDescent="0.35">
      <c r="C410" s="13"/>
      <c r="P410" s="13"/>
      <c r="U410" s="13"/>
    </row>
    <row r="411" spans="3:21" ht="15.75" customHeight="1" x14ac:dyDescent="0.35">
      <c r="C411" s="13"/>
      <c r="P411" s="13"/>
      <c r="U411" s="13"/>
    </row>
    <row r="412" spans="3:21" ht="15.75" customHeight="1" x14ac:dyDescent="0.35">
      <c r="C412" s="13"/>
      <c r="P412" s="13"/>
      <c r="U412" s="13"/>
    </row>
    <row r="413" spans="3:21" ht="15.75" customHeight="1" x14ac:dyDescent="0.35">
      <c r="C413" s="13"/>
      <c r="P413" s="13"/>
      <c r="U413" s="13"/>
    </row>
    <row r="414" spans="3:21" ht="15.75" customHeight="1" x14ac:dyDescent="0.35">
      <c r="C414" s="13"/>
      <c r="P414" s="13"/>
      <c r="U414" s="13"/>
    </row>
    <row r="415" spans="3:21" ht="15.75" customHeight="1" x14ac:dyDescent="0.35">
      <c r="C415" s="13"/>
      <c r="P415" s="13"/>
      <c r="U415" s="13"/>
    </row>
    <row r="416" spans="3:21" ht="15.75" customHeight="1" x14ac:dyDescent="0.35">
      <c r="C416" s="13"/>
      <c r="P416" s="13"/>
      <c r="U416" s="13"/>
    </row>
    <row r="417" spans="3:21" ht="15.75" customHeight="1" x14ac:dyDescent="0.35">
      <c r="C417" s="13"/>
      <c r="P417" s="13"/>
      <c r="U417" s="13"/>
    </row>
    <row r="418" spans="3:21" ht="15.75" customHeight="1" x14ac:dyDescent="0.35">
      <c r="C418" s="13"/>
      <c r="P418" s="13"/>
      <c r="U418" s="13"/>
    </row>
    <row r="419" spans="3:21" ht="15.75" customHeight="1" x14ac:dyDescent="0.35">
      <c r="C419" s="13"/>
      <c r="P419" s="13"/>
      <c r="U419" s="13"/>
    </row>
    <row r="420" spans="3:21" ht="15.75" customHeight="1" x14ac:dyDescent="0.35">
      <c r="C420" s="13"/>
      <c r="P420" s="13"/>
      <c r="U420" s="13"/>
    </row>
    <row r="421" spans="3:21" ht="15.75" customHeight="1" x14ac:dyDescent="0.35">
      <c r="C421" s="13"/>
      <c r="P421" s="13"/>
      <c r="U421" s="13"/>
    </row>
    <row r="422" spans="3:21" ht="15.75" customHeight="1" x14ac:dyDescent="0.35">
      <c r="C422" s="13"/>
      <c r="P422" s="13"/>
      <c r="U422" s="13"/>
    </row>
    <row r="423" spans="3:21" ht="15.75" customHeight="1" x14ac:dyDescent="0.35">
      <c r="C423" s="13"/>
      <c r="P423" s="13"/>
      <c r="U423" s="13"/>
    </row>
    <row r="424" spans="3:21" ht="15.75" customHeight="1" x14ac:dyDescent="0.35">
      <c r="C424" s="13"/>
      <c r="P424" s="13"/>
      <c r="U424" s="13"/>
    </row>
    <row r="425" spans="3:21" ht="15.75" customHeight="1" x14ac:dyDescent="0.35">
      <c r="C425" s="13"/>
      <c r="P425" s="13"/>
      <c r="U425" s="13"/>
    </row>
    <row r="426" spans="3:21" ht="15.75" customHeight="1" x14ac:dyDescent="0.35">
      <c r="C426" s="13"/>
      <c r="P426" s="13"/>
      <c r="U426" s="13"/>
    </row>
    <row r="427" spans="3:21" ht="15.75" customHeight="1" x14ac:dyDescent="0.35">
      <c r="C427" s="13"/>
      <c r="P427" s="13"/>
      <c r="U427" s="13"/>
    </row>
    <row r="428" spans="3:21" ht="15.75" customHeight="1" x14ac:dyDescent="0.35">
      <c r="C428" s="13"/>
      <c r="P428" s="13"/>
      <c r="U428" s="13"/>
    </row>
    <row r="429" spans="3:21" ht="15.75" customHeight="1" x14ac:dyDescent="0.35">
      <c r="C429" s="13"/>
      <c r="P429" s="13"/>
      <c r="U429" s="13"/>
    </row>
    <row r="430" spans="3:21" ht="15.75" customHeight="1" x14ac:dyDescent="0.35">
      <c r="C430" s="13"/>
      <c r="P430" s="13"/>
      <c r="U430" s="13"/>
    </row>
    <row r="431" spans="3:21" ht="15.75" customHeight="1" x14ac:dyDescent="0.35">
      <c r="C431" s="13"/>
      <c r="P431" s="13"/>
      <c r="U431" s="13"/>
    </row>
    <row r="432" spans="3:21" ht="15.75" customHeight="1" x14ac:dyDescent="0.35">
      <c r="C432" s="13"/>
      <c r="P432" s="13"/>
      <c r="U432" s="13"/>
    </row>
    <row r="433" spans="3:21" ht="15.75" customHeight="1" x14ac:dyDescent="0.35">
      <c r="C433" s="13"/>
      <c r="P433" s="13"/>
      <c r="U433" s="13"/>
    </row>
    <row r="434" spans="3:21" ht="15.75" customHeight="1" x14ac:dyDescent="0.35">
      <c r="C434" s="13"/>
      <c r="P434" s="13"/>
      <c r="U434" s="13"/>
    </row>
    <row r="435" spans="3:21" ht="15.75" customHeight="1" x14ac:dyDescent="0.35">
      <c r="C435" s="13"/>
      <c r="P435" s="13"/>
      <c r="U435" s="13"/>
    </row>
    <row r="436" spans="3:21" ht="15.75" customHeight="1" x14ac:dyDescent="0.35">
      <c r="C436" s="13"/>
      <c r="P436" s="13"/>
      <c r="U436" s="13"/>
    </row>
    <row r="437" spans="3:21" ht="15.75" customHeight="1" x14ac:dyDescent="0.35">
      <c r="C437" s="13"/>
      <c r="P437" s="13"/>
      <c r="U437" s="13"/>
    </row>
    <row r="438" spans="3:21" ht="15.75" customHeight="1" x14ac:dyDescent="0.35">
      <c r="C438" s="13"/>
      <c r="P438" s="13"/>
      <c r="U438" s="13"/>
    </row>
    <row r="439" spans="3:21" ht="15.75" customHeight="1" x14ac:dyDescent="0.35">
      <c r="C439" s="13"/>
      <c r="P439" s="13"/>
      <c r="U439" s="13"/>
    </row>
    <row r="440" spans="3:21" ht="15.75" customHeight="1" x14ac:dyDescent="0.35">
      <c r="C440" s="13"/>
      <c r="P440" s="13"/>
      <c r="U440" s="13"/>
    </row>
    <row r="441" spans="3:21" ht="15.75" customHeight="1" x14ac:dyDescent="0.35">
      <c r="C441" s="13"/>
      <c r="P441" s="13"/>
      <c r="U441" s="13"/>
    </row>
    <row r="442" spans="3:21" ht="15.75" customHeight="1" x14ac:dyDescent="0.35">
      <c r="C442" s="13"/>
      <c r="P442" s="13"/>
      <c r="U442" s="13"/>
    </row>
    <row r="443" spans="3:21" ht="15.75" customHeight="1" x14ac:dyDescent="0.35">
      <c r="C443" s="13"/>
      <c r="P443" s="13"/>
      <c r="U443" s="13"/>
    </row>
    <row r="444" spans="3:21" ht="15.75" customHeight="1" x14ac:dyDescent="0.35">
      <c r="C444" s="13"/>
      <c r="P444" s="13"/>
      <c r="U444" s="13"/>
    </row>
    <row r="445" spans="3:21" ht="15.75" customHeight="1" x14ac:dyDescent="0.35">
      <c r="C445" s="13"/>
      <c r="P445" s="13"/>
      <c r="U445" s="13"/>
    </row>
    <row r="446" spans="3:21" ht="15.75" customHeight="1" x14ac:dyDescent="0.35">
      <c r="C446" s="13"/>
      <c r="P446" s="13"/>
      <c r="U446" s="13"/>
    </row>
    <row r="447" spans="3:21" ht="15.75" customHeight="1" x14ac:dyDescent="0.35">
      <c r="C447" s="13"/>
      <c r="P447" s="13"/>
      <c r="U447" s="13"/>
    </row>
    <row r="448" spans="3:21" ht="15.75" customHeight="1" x14ac:dyDescent="0.35">
      <c r="C448" s="13"/>
      <c r="P448" s="13"/>
      <c r="U448" s="13"/>
    </row>
    <row r="449" spans="3:21" ht="15.75" customHeight="1" x14ac:dyDescent="0.35">
      <c r="C449" s="13"/>
      <c r="P449" s="13"/>
      <c r="U449" s="13"/>
    </row>
    <row r="450" spans="3:21" ht="15.75" customHeight="1" x14ac:dyDescent="0.35">
      <c r="C450" s="13"/>
      <c r="P450" s="13"/>
      <c r="U450" s="13"/>
    </row>
    <row r="451" spans="3:21" ht="15.75" customHeight="1" x14ac:dyDescent="0.35">
      <c r="C451" s="13"/>
      <c r="P451" s="13"/>
      <c r="U451" s="13"/>
    </row>
    <row r="452" spans="3:21" ht="15.75" customHeight="1" x14ac:dyDescent="0.35">
      <c r="C452" s="13"/>
      <c r="P452" s="13"/>
      <c r="U452" s="13"/>
    </row>
    <row r="453" spans="3:21" ht="15.75" customHeight="1" x14ac:dyDescent="0.35">
      <c r="C453" s="13"/>
      <c r="P453" s="13"/>
      <c r="U453" s="13"/>
    </row>
    <row r="454" spans="3:21" ht="15.75" customHeight="1" x14ac:dyDescent="0.35">
      <c r="C454" s="13"/>
      <c r="P454" s="13"/>
      <c r="U454" s="13"/>
    </row>
    <row r="455" spans="3:21" ht="15.75" customHeight="1" x14ac:dyDescent="0.35">
      <c r="C455" s="13"/>
      <c r="P455" s="13"/>
      <c r="U455" s="13"/>
    </row>
    <row r="456" spans="3:21" ht="15.75" customHeight="1" x14ac:dyDescent="0.35">
      <c r="C456" s="13"/>
      <c r="P456" s="13"/>
      <c r="U456" s="13"/>
    </row>
    <row r="457" spans="3:21" ht="15.75" customHeight="1" x14ac:dyDescent="0.35">
      <c r="C457" s="13"/>
      <c r="P457" s="13"/>
      <c r="U457" s="13"/>
    </row>
    <row r="458" spans="3:21" ht="15.75" customHeight="1" x14ac:dyDescent="0.35">
      <c r="C458" s="13"/>
      <c r="P458" s="13"/>
      <c r="U458" s="13"/>
    </row>
    <row r="459" spans="3:21" ht="15.75" customHeight="1" x14ac:dyDescent="0.35">
      <c r="C459" s="13"/>
      <c r="P459" s="13"/>
      <c r="U459" s="13"/>
    </row>
    <row r="460" spans="3:21" ht="15.75" customHeight="1" x14ac:dyDescent="0.35">
      <c r="C460" s="13"/>
      <c r="P460" s="13"/>
      <c r="U460" s="13"/>
    </row>
    <row r="461" spans="3:21" ht="15.75" customHeight="1" x14ac:dyDescent="0.35">
      <c r="C461" s="13"/>
      <c r="P461" s="13"/>
      <c r="U461" s="13"/>
    </row>
    <row r="462" spans="3:21" ht="15.75" customHeight="1" x14ac:dyDescent="0.35">
      <c r="C462" s="13"/>
      <c r="P462" s="13"/>
      <c r="U462" s="13"/>
    </row>
    <row r="463" spans="3:21" ht="15.75" customHeight="1" x14ac:dyDescent="0.35">
      <c r="C463" s="13"/>
      <c r="P463" s="13"/>
      <c r="U463" s="13"/>
    </row>
    <row r="464" spans="3:21" ht="15.75" customHeight="1" x14ac:dyDescent="0.35">
      <c r="C464" s="13"/>
      <c r="P464" s="13"/>
      <c r="U464" s="13"/>
    </row>
    <row r="465" spans="3:21" ht="15.75" customHeight="1" x14ac:dyDescent="0.35">
      <c r="C465" s="13"/>
      <c r="P465" s="13"/>
      <c r="U465" s="13"/>
    </row>
    <row r="466" spans="3:21" ht="15.75" customHeight="1" x14ac:dyDescent="0.35">
      <c r="C466" s="13"/>
      <c r="P466" s="13"/>
      <c r="U466" s="13"/>
    </row>
    <row r="467" spans="3:21" ht="15.75" customHeight="1" x14ac:dyDescent="0.35">
      <c r="C467" s="13"/>
      <c r="P467" s="13"/>
      <c r="U467" s="13"/>
    </row>
    <row r="468" spans="3:21" ht="15.75" customHeight="1" x14ac:dyDescent="0.35">
      <c r="C468" s="13"/>
      <c r="P468" s="13"/>
      <c r="U468" s="13"/>
    </row>
    <row r="469" spans="3:21" ht="15.75" customHeight="1" x14ac:dyDescent="0.35">
      <c r="C469" s="13"/>
      <c r="P469" s="13"/>
      <c r="U469" s="13"/>
    </row>
    <row r="470" spans="3:21" ht="15.75" customHeight="1" x14ac:dyDescent="0.35">
      <c r="C470" s="13"/>
      <c r="P470" s="13"/>
      <c r="U470" s="13"/>
    </row>
    <row r="471" spans="3:21" ht="15.75" customHeight="1" x14ac:dyDescent="0.35">
      <c r="C471" s="13"/>
      <c r="P471" s="13"/>
      <c r="U471" s="13"/>
    </row>
    <row r="472" spans="3:21" ht="15.75" customHeight="1" x14ac:dyDescent="0.35">
      <c r="C472" s="13"/>
      <c r="P472" s="13"/>
      <c r="U472" s="13"/>
    </row>
    <row r="473" spans="3:21" ht="15.75" customHeight="1" x14ac:dyDescent="0.35">
      <c r="C473" s="13"/>
      <c r="P473" s="13"/>
      <c r="U473" s="13"/>
    </row>
    <row r="474" spans="3:21" ht="15.75" customHeight="1" x14ac:dyDescent="0.35">
      <c r="C474" s="13"/>
      <c r="P474" s="13"/>
      <c r="U474" s="13"/>
    </row>
    <row r="475" spans="3:21" ht="15.75" customHeight="1" x14ac:dyDescent="0.35">
      <c r="C475" s="13"/>
      <c r="P475" s="13"/>
      <c r="U475" s="13"/>
    </row>
    <row r="476" spans="3:21" ht="15.75" customHeight="1" x14ac:dyDescent="0.35">
      <c r="C476" s="13"/>
      <c r="P476" s="13"/>
      <c r="U476" s="13"/>
    </row>
    <row r="477" spans="3:21" ht="15.75" customHeight="1" x14ac:dyDescent="0.35">
      <c r="C477" s="13"/>
      <c r="P477" s="13"/>
      <c r="U477" s="13"/>
    </row>
    <row r="478" spans="3:21" ht="15.75" customHeight="1" x14ac:dyDescent="0.35">
      <c r="C478" s="13"/>
      <c r="P478" s="13"/>
      <c r="U478" s="13"/>
    </row>
    <row r="479" spans="3:21" ht="15.75" customHeight="1" x14ac:dyDescent="0.35">
      <c r="C479" s="13"/>
      <c r="P479" s="13"/>
      <c r="U479" s="13"/>
    </row>
    <row r="480" spans="3:21" ht="15.75" customHeight="1" x14ac:dyDescent="0.35">
      <c r="C480" s="13"/>
      <c r="P480" s="13"/>
      <c r="U480" s="13"/>
    </row>
    <row r="481" spans="3:21" ht="15.75" customHeight="1" x14ac:dyDescent="0.35">
      <c r="C481" s="13"/>
      <c r="P481" s="13"/>
      <c r="U481" s="13"/>
    </row>
    <row r="482" spans="3:21" ht="15.75" customHeight="1" x14ac:dyDescent="0.35">
      <c r="C482" s="13"/>
      <c r="P482" s="13"/>
      <c r="U482" s="13"/>
    </row>
    <row r="483" spans="3:21" ht="15.75" customHeight="1" x14ac:dyDescent="0.35">
      <c r="C483" s="13"/>
      <c r="P483" s="13"/>
      <c r="U483" s="13"/>
    </row>
    <row r="484" spans="3:21" ht="15.75" customHeight="1" x14ac:dyDescent="0.35">
      <c r="C484" s="13"/>
      <c r="P484" s="13"/>
      <c r="U484" s="13"/>
    </row>
    <row r="485" spans="3:21" ht="15.75" customHeight="1" x14ac:dyDescent="0.35">
      <c r="C485" s="13"/>
      <c r="P485" s="13"/>
      <c r="U485" s="13"/>
    </row>
    <row r="486" spans="3:21" ht="15.75" customHeight="1" x14ac:dyDescent="0.35">
      <c r="C486" s="13"/>
      <c r="P486" s="13"/>
      <c r="U486" s="13"/>
    </row>
    <row r="487" spans="3:21" ht="15.75" customHeight="1" x14ac:dyDescent="0.35">
      <c r="C487" s="13"/>
      <c r="P487" s="13"/>
      <c r="U487" s="13"/>
    </row>
    <row r="488" spans="3:21" ht="15.75" customHeight="1" x14ac:dyDescent="0.35">
      <c r="C488" s="13"/>
      <c r="P488" s="13"/>
      <c r="U488" s="13"/>
    </row>
    <row r="489" spans="3:21" ht="15.75" customHeight="1" x14ac:dyDescent="0.35">
      <c r="C489" s="13"/>
      <c r="P489" s="13"/>
      <c r="U489" s="13"/>
    </row>
    <row r="490" spans="3:21" ht="15.75" customHeight="1" x14ac:dyDescent="0.35">
      <c r="C490" s="13"/>
      <c r="P490" s="13"/>
      <c r="U490" s="13"/>
    </row>
    <row r="491" spans="3:21" ht="15.75" customHeight="1" x14ac:dyDescent="0.35">
      <c r="C491" s="13"/>
      <c r="P491" s="13"/>
      <c r="U491" s="13"/>
    </row>
    <row r="492" spans="3:21" ht="15.75" customHeight="1" x14ac:dyDescent="0.35">
      <c r="C492" s="13"/>
      <c r="P492" s="13"/>
      <c r="U492" s="13"/>
    </row>
    <row r="493" spans="3:21" ht="15.75" customHeight="1" x14ac:dyDescent="0.35">
      <c r="C493" s="13"/>
      <c r="P493" s="13"/>
      <c r="U493" s="13"/>
    </row>
    <row r="494" spans="3:21" ht="15.75" customHeight="1" x14ac:dyDescent="0.35">
      <c r="C494" s="13"/>
      <c r="P494" s="13"/>
      <c r="U494" s="13"/>
    </row>
    <row r="495" spans="3:21" ht="15.75" customHeight="1" x14ac:dyDescent="0.35">
      <c r="C495" s="13"/>
      <c r="P495" s="13"/>
      <c r="U495" s="13"/>
    </row>
    <row r="496" spans="3:21" ht="15.75" customHeight="1" x14ac:dyDescent="0.35">
      <c r="C496" s="13"/>
      <c r="P496" s="13"/>
      <c r="U496" s="13"/>
    </row>
    <row r="497" spans="3:21" ht="15.75" customHeight="1" x14ac:dyDescent="0.35">
      <c r="C497" s="13"/>
      <c r="P497" s="13"/>
      <c r="U497" s="13"/>
    </row>
    <row r="498" spans="3:21" ht="15.75" customHeight="1" x14ac:dyDescent="0.35">
      <c r="C498" s="13"/>
      <c r="P498" s="13"/>
      <c r="U498" s="13"/>
    </row>
    <row r="499" spans="3:21" ht="15.75" customHeight="1" x14ac:dyDescent="0.35">
      <c r="C499" s="13"/>
      <c r="P499" s="13"/>
      <c r="U499" s="13"/>
    </row>
    <row r="500" spans="3:21" ht="15.75" customHeight="1" x14ac:dyDescent="0.35">
      <c r="C500" s="13"/>
      <c r="P500" s="13"/>
      <c r="U500" s="13"/>
    </row>
    <row r="501" spans="3:21" ht="15.75" customHeight="1" x14ac:dyDescent="0.35">
      <c r="C501" s="13"/>
      <c r="P501" s="13"/>
      <c r="U501" s="13"/>
    </row>
    <row r="502" spans="3:21" ht="15.75" customHeight="1" x14ac:dyDescent="0.35">
      <c r="C502" s="13"/>
      <c r="P502" s="13"/>
      <c r="U502" s="13"/>
    </row>
    <row r="503" spans="3:21" ht="15.75" customHeight="1" x14ac:dyDescent="0.35">
      <c r="C503" s="13"/>
      <c r="P503" s="13"/>
      <c r="U503" s="13"/>
    </row>
    <row r="504" spans="3:21" ht="15.75" customHeight="1" x14ac:dyDescent="0.35">
      <c r="C504" s="13"/>
      <c r="P504" s="13"/>
      <c r="U504" s="13"/>
    </row>
    <row r="505" spans="3:21" ht="15.75" customHeight="1" x14ac:dyDescent="0.35">
      <c r="C505" s="13"/>
      <c r="P505" s="13"/>
      <c r="U505" s="13"/>
    </row>
    <row r="506" spans="3:21" ht="15.75" customHeight="1" x14ac:dyDescent="0.35">
      <c r="C506" s="13"/>
      <c r="P506" s="13"/>
      <c r="U506" s="13"/>
    </row>
    <row r="507" spans="3:21" ht="15.75" customHeight="1" x14ac:dyDescent="0.35">
      <c r="C507" s="13"/>
      <c r="P507" s="13"/>
      <c r="U507" s="13"/>
    </row>
    <row r="508" spans="3:21" ht="15.75" customHeight="1" x14ac:dyDescent="0.35">
      <c r="C508" s="13"/>
      <c r="P508" s="13"/>
      <c r="U508" s="13"/>
    </row>
    <row r="509" spans="3:21" ht="15.75" customHeight="1" x14ac:dyDescent="0.35">
      <c r="C509" s="13"/>
      <c r="P509" s="13"/>
      <c r="U509" s="13"/>
    </row>
    <row r="510" spans="3:21" ht="15.75" customHeight="1" x14ac:dyDescent="0.35">
      <c r="C510" s="13"/>
      <c r="P510" s="13"/>
      <c r="U510" s="13"/>
    </row>
    <row r="511" spans="3:21" ht="15.75" customHeight="1" x14ac:dyDescent="0.35">
      <c r="C511" s="13"/>
      <c r="P511" s="13"/>
      <c r="U511" s="13"/>
    </row>
    <row r="512" spans="3:21" ht="15.75" customHeight="1" x14ac:dyDescent="0.35">
      <c r="C512" s="13"/>
      <c r="P512" s="13"/>
      <c r="U512" s="13"/>
    </row>
    <row r="513" spans="3:21" ht="15.75" customHeight="1" x14ac:dyDescent="0.35">
      <c r="C513" s="13"/>
      <c r="P513" s="13"/>
      <c r="U513" s="13"/>
    </row>
    <row r="514" spans="3:21" ht="15.75" customHeight="1" x14ac:dyDescent="0.35">
      <c r="C514" s="13"/>
      <c r="P514" s="13"/>
      <c r="U514" s="13"/>
    </row>
    <row r="515" spans="3:21" ht="15.75" customHeight="1" x14ac:dyDescent="0.35">
      <c r="C515" s="13"/>
      <c r="P515" s="13"/>
      <c r="U515" s="13"/>
    </row>
    <row r="516" spans="3:21" ht="15.75" customHeight="1" x14ac:dyDescent="0.35">
      <c r="C516" s="13"/>
      <c r="P516" s="13"/>
      <c r="U516" s="13"/>
    </row>
    <row r="517" spans="3:21" ht="15.75" customHeight="1" x14ac:dyDescent="0.35">
      <c r="C517" s="13"/>
      <c r="P517" s="13"/>
      <c r="U517" s="13"/>
    </row>
    <row r="518" spans="3:21" ht="15.75" customHeight="1" x14ac:dyDescent="0.35">
      <c r="C518" s="13"/>
      <c r="P518" s="13"/>
      <c r="U518" s="13"/>
    </row>
    <row r="519" spans="3:21" ht="15.75" customHeight="1" x14ac:dyDescent="0.35">
      <c r="C519" s="13"/>
      <c r="P519" s="13"/>
      <c r="U519" s="13"/>
    </row>
    <row r="520" spans="3:21" ht="15.75" customHeight="1" x14ac:dyDescent="0.35">
      <c r="C520" s="13"/>
      <c r="P520" s="13"/>
      <c r="U520" s="13"/>
    </row>
    <row r="521" spans="3:21" ht="15.75" customHeight="1" x14ac:dyDescent="0.35">
      <c r="C521" s="13"/>
      <c r="P521" s="13"/>
      <c r="U521" s="13"/>
    </row>
    <row r="522" spans="3:21" ht="15.75" customHeight="1" x14ac:dyDescent="0.35">
      <c r="C522" s="13"/>
      <c r="P522" s="13"/>
      <c r="U522" s="13"/>
    </row>
    <row r="523" spans="3:21" ht="15.75" customHeight="1" x14ac:dyDescent="0.35">
      <c r="C523" s="13"/>
      <c r="P523" s="13"/>
      <c r="U523" s="13"/>
    </row>
    <row r="524" spans="3:21" ht="15.75" customHeight="1" x14ac:dyDescent="0.35">
      <c r="C524" s="13"/>
      <c r="P524" s="13"/>
      <c r="U524" s="13"/>
    </row>
    <row r="525" spans="3:21" ht="15.75" customHeight="1" x14ac:dyDescent="0.35">
      <c r="C525" s="13"/>
      <c r="P525" s="13"/>
      <c r="U525" s="13"/>
    </row>
    <row r="526" spans="3:21" ht="15.75" customHeight="1" x14ac:dyDescent="0.35">
      <c r="C526" s="13"/>
      <c r="P526" s="13"/>
      <c r="U526" s="13"/>
    </row>
    <row r="527" spans="3:21" ht="15.75" customHeight="1" x14ac:dyDescent="0.35">
      <c r="C527" s="13"/>
      <c r="P527" s="13"/>
      <c r="U527" s="13"/>
    </row>
    <row r="528" spans="3:21" ht="15.75" customHeight="1" x14ac:dyDescent="0.35">
      <c r="C528" s="13"/>
      <c r="P528" s="13"/>
      <c r="U528" s="13"/>
    </row>
    <row r="529" spans="3:21" ht="15.75" customHeight="1" x14ac:dyDescent="0.35">
      <c r="C529" s="13"/>
      <c r="P529" s="13"/>
      <c r="U529" s="13"/>
    </row>
    <row r="530" spans="3:21" ht="15.75" customHeight="1" x14ac:dyDescent="0.35">
      <c r="C530" s="13"/>
      <c r="P530" s="13"/>
      <c r="U530" s="13"/>
    </row>
    <row r="531" spans="3:21" ht="15.75" customHeight="1" x14ac:dyDescent="0.35">
      <c r="C531" s="13"/>
      <c r="P531" s="13"/>
      <c r="U531" s="13"/>
    </row>
    <row r="532" spans="3:21" ht="15.75" customHeight="1" x14ac:dyDescent="0.35">
      <c r="C532" s="13"/>
      <c r="P532" s="13"/>
      <c r="U532" s="13"/>
    </row>
    <row r="533" spans="3:21" ht="15.75" customHeight="1" x14ac:dyDescent="0.35">
      <c r="C533" s="13"/>
      <c r="P533" s="13"/>
      <c r="U533" s="13"/>
    </row>
    <row r="534" spans="3:21" ht="15.75" customHeight="1" x14ac:dyDescent="0.35">
      <c r="C534" s="13"/>
      <c r="P534" s="13"/>
      <c r="U534" s="13"/>
    </row>
    <row r="535" spans="3:21" ht="15.75" customHeight="1" x14ac:dyDescent="0.35">
      <c r="C535" s="13"/>
      <c r="P535" s="13"/>
      <c r="U535" s="13"/>
    </row>
    <row r="536" spans="3:21" ht="15.75" customHeight="1" x14ac:dyDescent="0.35">
      <c r="C536" s="13"/>
      <c r="P536" s="13"/>
      <c r="U536" s="13"/>
    </row>
    <row r="537" spans="3:21" ht="15.75" customHeight="1" x14ac:dyDescent="0.35">
      <c r="C537" s="13"/>
      <c r="P537" s="13"/>
      <c r="U537" s="13"/>
    </row>
    <row r="538" spans="3:21" ht="15.75" customHeight="1" x14ac:dyDescent="0.35">
      <c r="C538" s="13"/>
      <c r="P538" s="13"/>
      <c r="U538" s="13"/>
    </row>
    <row r="539" spans="3:21" ht="15.75" customHeight="1" x14ac:dyDescent="0.35">
      <c r="C539" s="13"/>
      <c r="P539" s="13"/>
      <c r="U539" s="13"/>
    </row>
    <row r="540" spans="3:21" ht="15.75" customHeight="1" x14ac:dyDescent="0.35">
      <c r="C540" s="13"/>
      <c r="P540" s="13"/>
      <c r="U540" s="13"/>
    </row>
    <row r="541" spans="3:21" ht="15.75" customHeight="1" x14ac:dyDescent="0.35">
      <c r="C541" s="13"/>
      <c r="P541" s="13"/>
      <c r="U541" s="13"/>
    </row>
    <row r="542" spans="3:21" ht="15.75" customHeight="1" x14ac:dyDescent="0.35">
      <c r="C542" s="13"/>
      <c r="P542" s="13"/>
      <c r="U542" s="13"/>
    </row>
    <row r="543" spans="3:21" ht="15.75" customHeight="1" x14ac:dyDescent="0.35">
      <c r="C543" s="13"/>
      <c r="P543" s="13"/>
      <c r="U543" s="13"/>
    </row>
    <row r="544" spans="3:21" ht="15.75" customHeight="1" x14ac:dyDescent="0.35">
      <c r="C544" s="13"/>
      <c r="P544" s="13"/>
      <c r="U544" s="13"/>
    </row>
    <row r="545" spans="3:21" ht="15.75" customHeight="1" x14ac:dyDescent="0.35">
      <c r="C545" s="13"/>
      <c r="P545" s="13"/>
      <c r="U545" s="13"/>
    </row>
    <row r="546" spans="3:21" ht="15.75" customHeight="1" x14ac:dyDescent="0.35">
      <c r="C546" s="13"/>
      <c r="P546" s="13"/>
      <c r="U546" s="13"/>
    </row>
    <row r="547" spans="3:21" ht="15.75" customHeight="1" x14ac:dyDescent="0.35">
      <c r="C547" s="13"/>
      <c r="P547" s="13"/>
      <c r="U547" s="13"/>
    </row>
    <row r="548" spans="3:21" ht="15.75" customHeight="1" x14ac:dyDescent="0.35">
      <c r="C548" s="13"/>
      <c r="P548" s="13"/>
      <c r="U548" s="13"/>
    </row>
    <row r="549" spans="3:21" ht="15.75" customHeight="1" x14ac:dyDescent="0.35">
      <c r="C549" s="13"/>
      <c r="P549" s="13"/>
      <c r="U549" s="13"/>
    </row>
    <row r="550" spans="3:21" ht="15.75" customHeight="1" x14ac:dyDescent="0.35">
      <c r="C550" s="13"/>
      <c r="P550" s="13"/>
      <c r="U550" s="13"/>
    </row>
    <row r="551" spans="3:21" ht="15.75" customHeight="1" x14ac:dyDescent="0.35">
      <c r="C551" s="13"/>
      <c r="P551" s="13"/>
      <c r="U551" s="13"/>
    </row>
    <row r="552" spans="3:21" ht="15.75" customHeight="1" x14ac:dyDescent="0.35">
      <c r="C552" s="13"/>
      <c r="P552" s="13"/>
      <c r="U552" s="13"/>
    </row>
    <row r="553" spans="3:21" ht="15.75" customHeight="1" x14ac:dyDescent="0.35">
      <c r="C553" s="13"/>
      <c r="P553" s="13"/>
      <c r="U553" s="13"/>
    </row>
    <row r="554" spans="3:21" ht="15.75" customHeight="1" x14ac:dyDescent="0.35">
      <c r="C554" s="13"/>
      <c r="P554" s="13"/>
      <c r="U554" s="13"/>
    </row>
    <row r="555" spans="3:21" ht="15.75" customHeight="1" x14ac:dyDescent="0.35">
      <c r="C555" s="13"/>
      <c r="P555" s="13"/>
      <c r="U555" s="13"/>
    </row>
    <row r="556" spans="3:21" ht="15.75" customHeight="1" x14ac:dyDescent="0.35">
      <c r="C556" s="13"/>
      <c r="P556" s="13"/>
      <c r="U556" s="13"/>
    </row>
    <row r="557" spans="3:21" ht="15.75" customHeight="1" x14ac:dyDescent="0.35">
      <c r="C557" s="13"/>
      <c r="P557" s="13"/>
      <c r="U557" s="13"/>
    </row>
    <row r="558" spans="3:21" ht="15.75" customHeight="1" x14ac:dyDescent="0.35">
      <c r="C558" s="13"/>
      <c r="P558" s="13"/>
      <c r="U558" s="13"/>
    </row>
    <row r="559" spans="3:21" ht="15.75" customHeight="1" x14ac:dyDescent="0.35">
      <c r="C559" s="13"/>
      <c r="P559" s="13"/>
      <c r="U559" s="13"/>
    </row>
    <row r="560" spans="3:21" ht="15.75" customHeight="1" x14ac:dyDescent="0.35">
      <c r="C560" s="13"/>
      <c r="P560" s="13"/>
      <c r="U560" s="13"/>
    </row>
    <row r="561" spans="3:21" ht="15.75" customHeight="1" x14ac:dyDescent="0.35">
      <c r="C561" s="13"/>
      <c r="P561" s="13"/>
      <c r="U561" s="13"/>
    </row>
    <row r="562" spans="3:21" ht="15.75" customHeight="1" x14ac:dyDescent="0.35">
      <c r="C562" s="13"/>
      <c r="P562" s="13"/>
      <c r="U562" s="13"/>
    </row>
    <row r="563" spans="3:21" ht="15.75" customHeight="1" x14ac:dyDescent="0.35">
      <c r="C563" s="13"/>
      <c r="P563" s="13"/>
      <c r="U563" s="13"/>
    </row>
    <row r="564" spans="3:21" ht="15.75" customHeight="1" x14ac:dyDescent="0.35">
      <c r="C564" s="13"/>
      <c r="P564" s="13"/>
      <c r="U564" s="13"/>
    </row>
    <row r="565" spans="3:21" ht="15.75" customHeight="1" x14ac:dyDescent="0.35">
      <c r="C565" s="13"/>
      <c r="P565" s="13"/>
      <c r="U565" s="13"/>
    </row>
    <row r="566" spans="3:21" ht="15.75" customHeight="1" x14ac:dyDescent="0.35">
      <c r="C566" s="13"/>
      <c r="P566" s="13"/>
      <c r="U566" s="13"/>
    </row>
    <row r="567" spans="3:21" ht="15.75" customHeight="1" x14ac:dyDescent="0.35">
      <c r="C567" s="13"/>
      <c r="P567" s="13"/>
      <c r="U567" s="13"/>
    </row>
    <row r="568" spans="3:21" ht="15.75" customHeight="1" x14ac:dyDescent="0.35">
      <c r="C568" s="13"/>
      <c r="P568" s="13"/>
      <c r="U568" s="13"/>
    </row>
    <row r="569" spans="3:21" ht="15.75" customHeight="1" x14ac:dyDescent="0.35">
      <c r="C569" s="13"/>
      <c r="P569" s="13"/>
      <c r="U569" s="13"/>
    </row>
    <row r="570" spans="3:21" ht="15.75" customHeight="1" x14ac:dyDescent="0.35">
      <c r="C570" s="13"/>
      <c r="P570" s="13"/>
      <c r="U570" s="13"/>
    </row>
    <row r="571" spans="3:21" ht="15.75" customHeight="1" x14ac:dyDescent="0.35">
      <c r="C571" s="13"/>
      <c r="P571" s="13"/>
      <c r="U571" s="13"/>
    </row>
    <row r="572" spans="3:21" ht="15.75" customHeight="1" x14ac:dyDescent="0.35">
      <c r="C572" s="13"/>
      <c r="P572" s="13"/>
      <c r="U572" s="13"/>
    </row>
    <row r="573" spans="3:21" ht="15.75" customHeight="1" x14ac:dyDescent="0.35">
      <c r="C573" s="13"/>
      <c r="P573" s="13"/>
      <c r="U573" s="13"/>
    </row>
    <row r="574" spans="3:21" ht="15.75" customHeight="1" x14ac:dyDescent="0.35">
      <c r="C574" s="13"/>
      <c r="P574" s="13"/>
      <c r="U574" s="13"/>
    </row>
    <row r="575" spans="3:21" ht="15.75" customHeight="1" x14ac:dyDescent="0.35">
      <c r="C575" s="13"/>
      <c r="P575" s="13"/>
      <c r="U575" s="13"/>
    </row>
    <row r="576" spans="3:21" ht="15.75" customHeight="1" x14ac:dyDescent="0.35">
      <c r="C576" s="13"/>
      <c r="P576" s="13"/>
      <c r="U576" s="13"/>
    </row>
    <row r="577" spans="3:21" ht="15.75" customHeight="1" x14ac:dyDescent="0.35">
      <c r="C577" s="13"/>
      <c r="P577" s="13"/>
      <c r="U577" s="13"/>
    </row>
    <row r="578" spans="3:21" ht="15.75" customHeight="1" x14ac:dyDescent="0.35">
      <c r="C578" s="13"/>
      <c r="P578" s="13"/>
      <c r="U578" s="13"/>
    </row>
    <row r="579" spans="3:21" ht="15.75" customHeight="1" x14ac:dyDescent="0.35">
      <c r="C579" s="13"/>
      <c r="P579" s="13"/>
      <c r="U579" s="13"/>
    </row>
    <row r="580" spans="3:21" ht="15.75" customHeight="1" x14ac:dyDescent="0.35">
      <c r="C580" s="13"/>
      <c r="P580" s="13"/>
      <c r="U580" s="13"/>
    </row>
    <row r="581" spans="3:21" ht="15.75" customHeight="1" x14ac:dyDescent="0.35">
      <c r="C581" s="13"/>
      <c r="P581" s="13"/>
      <c r="U581" s="13"/>
    </row>
    <row r="582" spans="3:21" ht="15.75" customHeight="1" x14ac:dyDescent="0.35">
      <c r="C582" s="13"/>
      <c r="P582" s="13"/>
      <c r="U582" s="13"/>
    </row>
    <row r="583" spans="3:21" ht="15.75" customHeight="1" x14ac:dyDescent="0.35">
      <c r="C583" s="13"/>
      <c r="P583" s="13"/>
      <c r="U583" s="13"/>
    </row>
    <row r="584" spans="3:21" ht="15.75" customHeight="1" x14ac:dyDescent="0.35">
      <c r="C584" s="13"/>
      <c r="P584" s="13"/>
      <c r="U584" s="13"/>
    </row>
    <row r="585" spans="3:21" ht="15.75" customHeight="1" x14ac:dyDescent="0.35">
      <c r="C585" s="13"/>
      <c r="P585" s="13"/>
      <c r="U585" s="13"/>
    </row>
    <row r="586" spans="3:21" ht="15.75" customHeight="1" x14ac:dyDescent="0.35">
      <c r="C586" s="13"/>
      <c r="P586" s="13"/>
      <c r="U586" s="13"/>
    </row>
    <row r="587" spans="3:21" ht="15.75" customHeight="1" x14ac:dyDescent="0.35">
      <c r="C587" s="13"/>
      <c r="P587" s="13"/>
      <c r="U587" s="13"/>
    </row>
    <row r="588" spans="3:21" ht="15.75" customHeight="1" x14ac:dyDescent="0.35">
      <c r="C588" s="13"/>
      <c r="P588" s="13"/>
      <c r="U588" s="13"/>
    </row>
    <row r="589" spans="3:21" ht="15.75" customHeight="1" x14ac:dyDescent="0.35">
      <c r="C589" s="13"/>
      <c r="P589" s="13"/>
      <c r="U589" s="13"/>
    </row>
    <row r="590" spans="3:21" ht="15.75" customHeight="1" x14ac:dyDescent="0.35">
      <c r="C590" s="13"/>
      <c r="P590" s="13"/>
      <c r="U590" s="13"/>
    </row>
    <row r="591" spans="3:21" ht="15.75" customHeight="1" x14ac:dyDescent="0.35">
      <c r="C591" s="13"/>
      <c r="P591" s="13"/>
      <c r="U591" s="13"/>
    </row>
    <row r="592" spans="3:21" ht="15.75" customHeight="1" x14ac:dyDescent="0.35">
      <c r="C592" s="13"/>
      <c r="P592" s="13"/>
      <c r="U592" s="13"/>
    </row>
    <row r="593" spans="3:21" ht="15.75" customHeight="1" x14ac:dyDescent="0.35">
      <c r="C593" s="13"/>
      <c r="P593" s="13"/>
      <c r="U593" s="13"/>
    </row>
    <row r="594" spans="3:21" ht="15.75" customHeight="1" x14ac:dyDescent="0.35">
      <c r="C594" s="13"/>
      <c r="P594" s="13"/>
      <c r="U594" s="13"/>
    </row>
    <row r="595" spans="3:21" ht="15.75" customHeight="1" x14ac:dyDescent="0.35">
      <c r="C595" s="13"/>
      <c r="P595" s="13"/>
      <c r="U595" s="13"/>
    </row>
    <row r="596" spans="3:21" ht="15.75" customHeight="1" x14ac:dyDescent="0.35">
      <c r="C596" s="13"/>
      <c r="P596" s="13"/>
      <c r="U596" s="13"/>
    </row>
    <row r="597" spans="3:21" ht="15.75" customHeight="1" x14ac:dyDescent="0.35">
      <c r="C597" s="13"/>
      <c r="P597" s="13"/>
      <c r="U597" s="13"/>
    </row>
    <row r="598" spans="3:21" ht="15.75" customHeight="1" x14ac:dyDescent="0.35">
      <c r="C598" s="13"/>
      <c r="P598" s="13"/>
      <c r="U598" s="13"/>
    </row>
    <row r="599" spans="3:21" ht="15.75" customHeight="1" x14ac:dyDescent="0.35">
      <c r="C599" s="13"/>
      <c r="P599" s="13"/>
      <c r="U599" s="13"/>
    </row>
    <row r="600" spans="3:21" ht="15.75" customHeight="1" x14ac:dyDescent="0.35">
      <c r="C600" s="13"/>
      <c r="P600" s="13"/>
      <c r="U600" s="13"/>
    </row>
    <row r="601" spans="3:21" ht="15.75" customHeight="1" x14ac:dyDescent="0.35">
      <c r="C601" s="13"/>
      <c r="P601" s="13"/>
      <c r="U601" s="13"/>
    </row>
    <row r="602" spans="3:21" ht="15.75" customHeight="1" x14ac:dyDescent="0.35">
      <c r="C602" s="13"/>
      <c r="P602" s="13"/>
      <c r="U602" s="13"/>
    </row>
    <row r="603" spans="3:21" ht="15.75" customHeight="1" x14ac:dyDescent="0.35">
      <c r="C603" s="13"/>
      <c r="P603" s="13"/>
      <c r="U603" s="13"/>
    </row>
    <row r="604" spans="3:21" ht="15.75" customHeight="1" x14ac:dyDescent="0.35">
      <c r="C604" s="13"/>
      <c r="P604" s="13"/>
      <c r="U604" s="13"/>
    </row>
    <row r="605" spans="3:21" ht="15.75" customHeight="1" x14ac:dyDescent="0.35">
      <c r="C605" s="13"/>
      <c r="P605" s="13"/>
      <c r="U605" s="13"/>
    </row>
    <row r="606" spans="3:21" ht="15.75" customHeight="1" x14ac:dyDescent="0.35">
      <c r="C606" s="13"/>
      <c r="P606" s="13"/>
      <c r="U606" s="13"/>
    </row>
    <row r="607" spans="3:21" ht="15.75" customHeight="1" x14ac:dyDescent="0.35">
      <c r="C607" s="13"/>
      <c r="P607" s="13"/>
      <c r="U607" s="13"/>
    </row>
    <row r="608" spans="3:21" ht="15.75" customHeight="1" x14ac:dyDescent="0.35">
      <c r="C608" s="13"/>
      <c r="P608" s="13"/>
      <c r="U608" s="13"/>
    </row>
    <row r="609" spans="3:21" ht="15.75" customHeight="1" x14ac:dyDescent="0.35">
      <c r="C609" s="13"/>
      <c r="P609" s="13"/>
      <c r="U609" s="13"/>
    </row>
    <row r="610" spans="3:21" ht="15.75" customHeight="1" x14ac:dyDescent="0.35">
      <c r="C610" s="13"/>
      <c r="P610" s="13"/>
      <c r="U610" s="13"/>
    </row>
    <row r="611" spans="3:21" ht="15.75" customHeight="1" x14ac:dyDescent="0.35">
      <c r="C611" s="13"/>
      <c r="P611" s="13"/>
      <c r="U611" s="13"/>
    </row>
    <row r="612" spans="3:21" ht="15.75" customHeight="1" x14ac:dyDescent="0.35">
      <c r="C612" s="13"/>
      <c r="P612" s="13"/>
      <c r="U612" s="13"/>
    </row>
    <row r="613" spans="3:21" ht="15.75" customHeight="1" x14ac:dyDescent="0.35">
      <c r="C613" s="13"/>
      <c r="P613" s="13"/>
      <c r="U613" s="13"/>
    </row>
    <row r="614" spans="3:21" ht="15.75" customHeight="1" x14ac:dyDescent="0.35">
      <c r="C614" s="13"/>
      <c r="P614" s="13"/>
      <c r="U614" s="13"/>
    </row>
    <row r="615" spans="3:21" ht="15.75" customHeight="1" x14ac:dyDescent="0.35">
      <c r="C615" s="13"/>
      <c r="P615" s="13"/>
      <c r="U615" s="13"/>
    </row>
    <row r="616" spans="3:21" ht="15.75" customHeight="1" x14ac:dyDescent="0.35">
      <c r="C616" s="13"/>
      <c r="P616" s="13"/>
      <c r="U616" s="13"/>
    </row>
    <row r="617" spans="3:21" ht="15.75" customHeight="1" x14ac:dyDescent="0.35">
      <c r="C617" s="13"/>
      <c r="P617" s="13"/>
      <c r="U617" s="13"/>
    </row>
    <row r="618" spans="3:21" ht="15.75" customHeight="1" x14ac:dyDescent="0.35">
      <c r="C618" s="13"/>
      <c r="P618" s="13"/>
      <c r="U618" s="13"/>
    </row>
    <row r="619" spans="3:21" ht="15.75" customHeight="1" x14ac:dyDescent="0.35">
      <c r="C619" s="13"/>
      <c r="P619" s="13"/>
      <c r="U619" s="13"/>
    </row>
    <row r="620" spans="3:21" ht="15.75" customHeight="1" x14ac:dyDescent="0.35">
      <c r="C620" s="13"/>
      <c r="P620" s="13"/>
      <c r="U620" s="13"/>
    </row>
    <row r="621" spans="3:21" ht="15.75" customHeight="1" x14ac:dyDescent="0.35">
      <c r="C621" s="13"/>
      <c r="P621" s="13"/>
      <c r="U621" s="13"/>
    </row>
    <row r="622" spans="3:21" ht="15.75" customHeight="1" x14ac:dyDescent="0.35">
      <c r="C622" s="13"/>
      <c r="P622" s="13"/>
      <c r="U622" s="13"/>
    </row>
    <row r="623" spans="3:21" ht="15.75" customHeight="1" x14ac:dyDescent="0.35">
      <c r="C623" s="13"/>
      <c r="P623" s="13"/>
      <c r="U623" s="13"/>
    </row>
    <row r="624" spans="3:21" ht="15.75" customHeight="1" x14ac:dyDescent="0.35">
      <c r="C624" s="13"/>
      <c r="P624" s="13"/>
      <c r="U624" s="13"/>
    </row>
    <row r="625" spans="3:21" ht="15.75" customHeight="1" x14ac:dyDescent="0.35">
      <c r="C625" s="13"/>
      <c r="P625" s="13"/>
      <c r="U625" s="13"/>
    </row>
    <row r="626" spans="3:21" ht="15.75" customHeight="1" x14ac:dyDescent="0.35">
      <c r="C626" s="13"/>
      <c r="P626" s="13"/>
      <c r="U626" s="13"/>
    </row>
    <row r="627" spans="3:21" ht="15.75" customHeight="1" x14ac:dyDescent="0.35">
      <c r="C627" s="13"/>
      <c r="P627" s="13"/>
      <c r="U627" s="13"/>
    </row>
    <row r="628" spans="3:21" ht="15.75" customHeight="1" x14ac:dyDescent="0.35">
      <c r="C628" s="13"/>
      <c r="P628" s="13"/>
      <c r="U628" s="13"/>
    </row>
    <row r="629" spans="3:21" ht="15.75" customHeight="1" x14ac:dyDescent="0.35">
      <c r="C629" s="13"/>
      <c r="P629" s="13"/>
      <c r="U629" s="13"/>
    </row>
    <row r="630" spans="3:21" ht="15.75" customHeight="1" x14ac:dyDescent="0.35">
      <c r="C630" s="13"/>
      <c r="P630" s="13"/>
      <c r="U630" s="13"/>
    </row>
    <row r="631" spans="3:21" ht="15.75" customHeight="1" x14ac:dyDescent="0.35">
      <c r="C631" s="13"/>
      <c r="P631" s="13"/>
      <c r="U631" s="13"/>
    </row>
    <row r="632" spans="3:21" ht="15.75" customHeight="1" x14ac:dyDescent="0.35">
      <c r="C632" s="13"/>
      <c r="P632" s="13"/>
      <c r="U632" s="13"/>
    </row>
    <row r="633" spans="3:21" ht="15.75" customHeight="1" x14ac:dyDescent="0.35">
      <c r="C633" s="13"/>
      <c r="P633" s="13"/>
      <c r="U633" s="13"/>
    </row>
    <row r="634" spans="3:21" ht="15.75" customHeight="1" x14ac:dyDescent="0.35">
      <c r="C634" s="13"/>
      <c r="P634" s="13"/>
      <c r="U634" s="13"/>
    </row>
    <row r="635" spans="3:21" ht="15.75" customHeight="1" x14ac:dyDescent="0.35">
      <c r="C635" s="13"/>
      <c r="P635" s="13"/>
      <c r="U635" s="13"/>
    </row>
    <row r="636" spans="3:21" ht="15.75" customHeight="1" x14ac:dyDescent="0.35">
      <c r="C636" s="13"/>
      <c r="P636" s="13"/>
      <c r="U636" s="13"/>
    </row>
    <row r="637" spans="3:21" ht="15.75" customHeight="1" x14ac:dyDescent="0.35">
      <c r="C637" s="13"/>
      <c r="P637" s="13"/>
      <c r="U637" s="13"/>
    </row>
    <row r="638" spans="3:21" ht="15.75" customHeight="1" x14ac:dyDescent="0.35">
      <c r="C638" s="13"/>
      <c r="P638" s="13"/>
      <c r="U638" s="13"/>
    </row>
    <row r="639" spans="3:21" ht="15.75" customHeight="1" x14ac:dyDescent="0.35">
      <c r="C639" s="13"/>
      <c r="P639" s="13"/>
      <c r="U639" s="13"/>
    </row>
    <row r="640" spans="3:21" ht="15.75" customHeight="1" x14ac:dyDescent="0.35">
      <c r="C640" s="13"/>
      <c r="P640" s="13"/>
      <c r="U640" s="13"/>
    </row>
    <row r="641" spans="3:21" ht="15.75" customHeight="1" x14ac:dyDescent="0.35">
      <c r="C641" s="13"/>
      <c r="P641" s="13"/>
      <c r="U641" s="13"/>
    </row>
    <row r="642" spans="3:21" ht="15.75" customHeight="1" x14ac:dyDescent="0.35">
      <c r="C642" s="13"/>
      <c r="P642" s="13"/>
      <c r="U642" s="13"/>
    </row>
    <row r="643" spans="3:21" ht="15.75" customHeight="1" x14ac:dyDescent="0.35">
      <c r="C643" s="13"/>
      <c r="P643" s="13"/>
      <c r="U643" s="13"/>
    </row>
    <row r="644" spans="3:21" ht="15.75" customHeight="1" x14ac:dyDescent="0.35">
      <c r="C644" s="13"/>
      <c r="P644" s="13"/>
      <c r="U644" s="13"/>
    </row>
    <row r="645" spans="3:21" ht="15.75" customHeight="1" x14ac:dyDescent="0.35">
      <c r="C645" s="13"/>
      <c r="P645" s="13"/>
      <c r="U645" s="13"/>
    </row>
    <row r="646" spans="3:21" ht="15.75" customHeight="1" x14ac:dyDescent="0.35">
      <c r="C646" s="13"/>
      <c r="P646" s="13"/>
      <c r="U646" s="13"/>
    </row>
    <row r="647" spans="3:21" ht="15.75" customHeight="1" x14ac:dyDescent="0.35">
      <c r="C647" s="13"/>
      <c r="P647" s="13"/>
      <c r="U647" s="13"/>
    </row>
    <row r="648" spans="3:21" ht="15.75" customHeight="1" x14ac:dyDescent="0.35">
      <c r="C648" s="13"/>
      <c r="P648" s="13"/>
      <c r="U648" s="13"/>
    </row>
    <row r="649" spans="3:21" ht="15.75" customHeight="1" x14ac:dyDescent="0.35">
      <c r="C649" s="13"/>
      <c r="P649" s="13"/>
      <c r="U649" s="13"/>
    </row>
    <row r="650" spans="3:21" ht="15.75" customHeight="1" x14ac:dyDescent="0.35">
      <c r="C650" s="13"/>
      <c r="P650" s="13"/>
      <c r="U650" s="13"/>
    </row>
    <row r="651" spans="3:21" ht="15.75" customHeight="1" x14ac:dyDescent="0.35">
      <c r="C651" s="13"/>
      <c r="P651" s="13"/>
      <c r="U651" s="13"/>
    </row>
    <row r="652" spans="3:21" ht="15.75" customHeight="1" x14ac:dyDescent="0.35">
      <c r="C652" s="13"/>
      <c r="P652" s="13"/>
      <c r="U652" s="13"/>
    </row>
    <row r="653" spans="3:21" ht="15.75" customHeight="1" x14ac:dyDescent="0.35">
      <c r="C653" s="13"/>
      <c r="P653" s="13"/>
      <c r="U653" s="13"/>
    </row>
    <row r="654" spans="3:21" ht="15.75" customHeight="1" x14ac:dyDescent="0.35">
      <c r="C654" s="13"/>
      <c r="P654" s="13"/>
      <c r="U654" s="13"/>
    </row>
    <row r="655" spans="3:21" ht="15.75" customHeight="1" x14ac:dyDescent="0.35">
      <c r="C655" s="13"/>
      <c r="P655" s="13"/>
      <c r="U655" s="13"/>
    </row>
    <row r="656" spans="3:21" ht="15.75" customHeight="1" x14ac:dyDescent="0.35">
      <c r="C656" s="13"/>
      <c r="P656" s="13"/>
      <c r="U656" s="13"/>
    </row>
    <row r="657" spans="3:21" ht="15.75" customHeight="1" x14ac:dyDescent="0.35">
      <c r="C657" s="13"/>
      <c r="P657" s="13"/>
      <c r="U657" s="13"/>
    </row>
    <row r="658" spans="3:21" ht="15.75" customHeight="1" x14ac:dyDescent="0.35">
      <c r="C658" s="13"/>
      <c r="P658" s="13"/>
      <c r="U658" s="13"/>
    </row>
    <row r="659" spans="3:21" ht="15.75" customHeight="1" x14ac:dyDescent="0.35">
      <c r="C659" s="13"/>
      <c r="P659" s="13"/>
      <c r="U659" s="13"/>
    </row>
    <row r="660" spans="3:21" ht="15.75" customHeight="1" x14ac:dyDescent="0.35">
      <c r="C660" s="13"/>
      <c r="P660" s="13"/>
      <c r="U660" s="13"/>
    </row>
    <row r="661" spans="3:21" ht="15.75" customHeight="1" x14ac:dyDescent="0.35">
      <c r="C661" s="13"/>
      <c r="P661" s="13"/>
      <c r="U661" s="13"/>
    </row>
    <row r="662" spans="3:21" ht="15.75" customHeight="1" x14ac:dyDescent="0.35">
      <c r="C662" s="13"/>
      <c r="P662" s="13"/>
      <c r="U662" s="13"/>
    </row>
    <row r="663" spans="3:21" ht="15.75" customHeight="1" x14ac:dyDescent="0.35">
      <c r="C663" s="13"/>
      <c r="P663" s="13"/>
      <c r="U663" s="13"/>
    </row>
    <row r="664" spans="3:21" ht="15.75" customHeight="1" x14ac:dyDescent="0.35">
      <c r="C664" s="13"/>
      <c r="P664" s="13"/>
      <c r="U664" s="13"/>
    </row>
    <row r="665" spans="3:21" ht="15.75" customHeight="1" x14ac:dyDescent="0.35">
      <c r="C665" s="13"/>
      <c r="P665" s="13"/>
      <c r="U665" s="13"/>
    </row>
    <row r="666" spans="3:21" ht="15.75" customHeight="1" x14ac:dyDescent="0.35">
      <c r="C666" s="13"/>
      <c r="P666" s="13"/>
      <c r="U666" s="13"/>
    </row>
    <row r="667" spans="3:21" ht="15.75" customHeight="1" x14ac:dyDescent="0.35">
      <c r="C667" s="13"/>
      <c r="P667" s="13"/>
      <c r="U667" s="13"/>
    </row>
    <row r="668" spans="3:21" ht="15.75" customHeight="1" x14ac:dyDescent="0.35">
      <c r="C668" s="13"/>
      <c r="P668" s="13"/>
      <c r="U668" s="13"/>
    </row>
    <row r="669" spans="3:21" ht="15.75" customHeight="1" x14ac:dyDescent="0.35">
      <c r="C669" s="13"/>
      <c r="P669" s="13"/>
      <c r="U669" s="13"/>
    </row>
    <row r="670" spans="3:21" ht="15.75" customHeight="1" x14ac:dyDescent="0.35">
      <c r="C670" s="13"/>
      <c r="P670" s="13"/>
      <c r="U670" s="13"/>
    </row>
    <row r="671" spans="3:21" ht="15.75" customHeight="1" x14ac:dyDescent="0.35">
      <c r="C671" s="13"/>
      <c r="P671" s="13"/>
      <c r="U671" s="13"/>
    </row>
    <row r="672" spans="3:21" ht="15.75" customHeight="1" x14ac:dyDescent="0.35">
      <c r="C672" s="13"/>
      <c r="P672" s="13"/>
      <c r="U672" s="13"/>
    </row>
    <row r="673" spans="3:21" ht="15.75" customHeight="1" x14ac:dyDescent="0.35">
      <c r="C673" s="13"/>
      <c r="P673" s="13"/>
      <c r="U673" s="13"/>
    </row>
    <row r="674" spans="3:21" ht="15.75" customHeight="1" x14ac:dyDescent="0.35">
      <c r="C674" s="13"/>
      <c r="P674" s="13"/>
      <c r="U674" s="13"/>
    </row>
    <row r="675" spans="3:21" ht="15.75" customHeight="1" x14ac:dyDescent="0.35">
      <c r="C675" s="13"/>
      <c r="P675" s="13"/>
      <c r="U675" s="13"/>
    </row>
    <row r="676" spans="3:21" ht="15.75" customHeight="1" x14ac:dyDescent="0.35">
      <c r="C676" s="13"/>
      <c r="P676" s="13"/>
      <c r="U676" s="13"/>
    </row>
    <row r="677" spans="3:21" ht="15.75" customHeight="1" x14ac:dyDescent="0.35">
      <c r="C677" s="13"/>
      <c r="P677" s="13"/>
      <c r="U677" s="13"/>
    </row>
    <row r="678" spans="3:21" ht="15.75" customHeight="1" x14ac:dyDescent="0.35">
      <c r="C678" s="13"/>
      <c r="P678" s="13"/>
      <c r="U678" s="13"/>
    </row>
    <row r="679" spans="3:21" ht="15.75" customHeight="1" x14ac:dyDescent="0.35">
      <c r="C679" s="13"/>
      <c r="P679" s="13"/>
      <c r="U679" s="13"/>
    </row>
    <row r="680" spans="3:21" ht="15.75" customHeight="1" x14ac:dyDescent="0.35">
      <c r="C680" s="13"/>
      <c r="P680" s="13"/>
      <c r="U680" s="13"/>
    </row>
    <row r="681" spans="3:21" ht="15.75" customHeight="1" x14ac:dyDescent="0.35">
      <c r="C681" s="13"/>
      <c r="P681" s="13"/>
      <c r="U681" s="13"/>
    </row>
    <row r="682" spans="3:21" ht="15.75" customHeight="1" x14ac:dyDescent="0.35">
      <c r="C682" s="13"/>
      <c r="P682" s="13"/>
      <c r="U682" s="13"/>
    </row>
    <row r="683" spans="3:21" ht="15.75" customHeight="1" x14ac:dyDescent="0.35">
      <c r="C683" s="13"/>
      <c r="P683" s="13"/>
      <c r="U683" s="13"/>
    </row>
    <row r="684" spans="3:21" ht="15.75" customHeight="1" x14ac:dyDescent="0.35">
      <c r="C684" s="13"/>
      <c r="P684" s="13"/>
      <c r="U684" s="13"/>
    </row>
    <row r="685" spans="3:21" ht="15.75" customHeight="1" x14ac:dyDescent="0.35">
      <c r="C685" s="13"/>
      <c r="P685" s="13"/>
      <c r="U685" s="13"/>
    </row>
    <row r="686" spans="3:21" ht="15.75" customHeight="1" x14ac:dyDescent="0.35">
      <c r="C686" s="13"/>
      <c r="P686" s="13"/>
      <c r="U686" s="13"/>
    </row>
    <row r="687" spans="3:21" ht="15.75" customHeight="1" x14ac:dyDescent="0.35">
      <c r="C687" s="13"/>
      <c r="P687" s="13"/>
      <c r="U687" s="13"/>
    </row>
    <row r="688" spans="3:21" ht="15.75" customHeight="1" x14ac:dyDescent="0.35">
      <c r="C688" s="13"/>
      <c r="P688" s="13"/>
      <c r="U688" s="13"/>
    </row>
    <row r="689" spans="3:21" ht="15.75" customHeight="1" x14ac:dyDescent="0.35">
      <c r="C689" s="13"/>
      <c r="P689" s="13"/>
      <c r="U689" s="13"/>
    </row>
    <row r="690" spans="3:21" ht="15.75" customHeight="1" x14ac:dyDescent="0.35">
      <c r="C690" s="13"/>
      <c r="P690" s="13"/>
      <c r="U690" s="13"/>
    </row>
    <row r="691" spans="3:21" ht="15.75" customHeight="1" x14ac:dyDescent="0.35">
      <c r="C691" s="13"/>
      <c r="P691" s="13"/>
      <c r="U691" s="13"/>
    </row>
    <row r="692" spans="3:21" ht="15.75" customHeight="1" x14ac:dyDescent="0.35">
      <c r="C692" s="13"/>
      <c r="P692" s="13"/>
      <c r="U692" s="13"/>
    </row>
    <row r="693" spans="3:21" ht="15.75" customHeight="1" x14ac:dyDescent="0.35">
      <c r="C693" s="13"/>
      <c r="P693" s="13"/>
      <c r="U693" s="13"/>
    </row>
    <row r="694" spans="3:21" ht="15.75" customHeight="1" x14ac:dyDescent="0.35">
      <c r="C694" s="13"/>
      <c r="P694" s="13"/>
      <c r="U694" s="13"/>
    </row>
    <row r="695" spans="3:21" ht="15.75" customHeight="1" x14ac:dyDescent="0.35">
      <c r="C695" s="13"/>
      <c r="P695" s="13"/>
      <c r="U695" s="13"/>
    </row>
    <row r="696" spans="3:21" ht="15.75" customHeight="1" x14ac:dyDescent="0.35">
      <c r="C696" s="13"/>
      <c r="P696" s="13"/>
      <c r="U696" s="13"/>
    </row>
    <row r="697" spans="3:21" ht="15.75" customHeight="1" x14ac:dyDescent="0.35">
      <c r="C697" s="13"/>
      <c r="P697" s="13"/>
      <c r="U697" s="13"/>
    </row>
    <row r="698" spans="3:21" ht="15.75" customHeight="1" x14ac:dyDescent="0.35">
      <c r="C698" s="13"/>
      <c r="P698" s="13"/>
      <c r="U698" s="13"/>
    </row>
    <row r="699" spans="3:21" ht="15.75" customHeight="1" x14ac:dyDescent="0.35">
      <c r="C699" s="13"/>
      <c r="P699" s="13"/>
      <c r="U699" s="13"/>
    </row>
    <row r="700" spans="3:21" ht="15.75" customHeight="1" x14ac:dyDescent="0.35">
      <c r="C700" s="13"/>
      <c r="P700" s="13"/>
      <c r="U700" s="13"/>
    </row>
    <row r="701" spans="3:21" ht="15.75" customHeight="1" x14ac:dyDescent="0.35">
      <c r="C701" s="13"/>
      <c r="P701" s="13"/>
      <c r="U701" s="13"/>
    </row>
    <row r="702" spans="3:21" ht="15.75" customHeight="1" x14ac:dyDescent="0.35">
      <c r="C702" s="13"/>
      <c r="P702" s="13"/>
      <c r="U702" s="13"/>
    </row>
    <row r="703" spans="3:21" ht="15.75" customHeight="1" x14ac:dyDescent="0.35">
      <c r="C703" s="13"/>
      <c r="P703" s="13"/>
      <c r="U703" s="13"/>
    </row>
    <row r="704" spans="3:21" ht="15.75" customHeight="1" x14ac:dyDescent="0.35">
      <c r="C704" s="13"/>
      <c r="P704" s="13"/>
      <c r="U704" s="13"/>
    </row>
    <row r="705" spans="3:21" ht="15.75" customHeight="1" x14ac:dyDescent="0.35">
      <c r="C705" s="13"/>
      <c r="P705" s="13"/>
      <c r="U705" s="13"/>
    </row>
    <row r="706" spans="3:21" ht="15.75" customHeight="1" x14ac:dyDescent="0.35">
      <c r="C706" s="13"/>
      <c r="P706" s="13"/>
      <c r="U706" s="13"/>
    </row>
    <row r="707" spans="3:21" ht="15.75" customHeight="1" x14ac:dyDescent="0.35">
      <c r="C707" s="13"/>
      <c r="P707" s="13"/>
      <c r="U707" s="13"/>
    </row>
    <row r="708" spans="3:21" ht="15.75" customHeight="1" x14ac:dyDescent="0.35">
      <c r="C708" s="13"/>
      <c r="P708" s="13"/>
      <c r="U708" s="13"/>
    </row>
    <row r="709" spans="3:21" ht="15.75" customHeight="1" x14ac:dyDescent="0.35">
      <c r="C709" s="13"/>
      <c r="P709" s="13"/>
      <c r="U709" s="13"/>
    </row>
    <row r="710" spans="3:21" ht="15.75" customHeight="1" x14ac:dyDescent="0.35">
      <c r="C710" s="13"/>
      <c r="P710" s="13"/>
      <c r="U710" s="13"/>
    </row>
    <row r="711" spans="3:21" ht="15.75" customHeight="1" x14ac:dyDescent="0.35">
      <c r="C711" s="13"/>
      <c r="P711" s="13"/>
      <c r="U711" s="13"/>
    </row>
    <row r="712" spans="3:21" ht="15.75" customHeight="1" x14ac:dyDescent="0.35">
      <c r="C712" s="13"/>
      <c r="P712" s="13"/>
      <c r="U712" s="13"/>
    </row>
    <row r="713" spans="3:21" ht="15.75" customHeight="1" x14ac:dyDescent="0.35">
      <c r="C713" s="13"/>
      <c r="P713" s="13"/>
      <c r="U713" s="13"/>
    </row>
    <row r="714" spans="3:21" ht="15.75" customHeight="1" x14ac:dyDescent="0.35">
      <c r="C714" s="13"/>
      <c r="P714" s="13"/>
      <c r="U714" s="13"/>
    </row>
    <row r="715" spans="3:21" ht="15.75" customHeight="1" x14ac:dyDescent="0.35">
      <c r="C715" s="13"/>
      <c r="P715" s="13"/>
      <c r="U715" s="13"/>
    </row>
    <row r="716" spans="3:21" ht="15.75" customHeight="1" x14ac:dyDescent="0.35">
      <c r="C716" s="13"/>
      <c r="P716" s="13"/>
      <c r="U716" s="13"/>
    </row>
    <row r="717" spans="3:21" ht="15.75" customHeight="1" x14ac:dyDescent="0.35">
      <c r="C717" s="13"/>
      <c r="P717" s="13"/>
      <c r="U717" s="13"/>
    </row>
    <row r="718" spans="3:21" ht="15.75" customHeight="1" x14ac:dyDescent="0.35">
      <c r="C718" s="13"/>
      <c r="P718" s="13"/>
      <c r="U718" s="13"/>
    </row>
    <row r="719" spans="3:21" ht="15.75" customHeight="1" x14ac:dyDescent="0.35">
      <c r="C719" s="13"/>
      <c r="P719" s="13"/>
      <c r="U719" s="13"/>
    </row>
    <row r="720" spans="3:21" ht="15.75" customHeight="1" x14ac:dyDescent="0.35">
      <c r="C720" s="13"/>
      <c r="P720" s="13"/>
      <c r="U720" s="13"/>
    </row>
    <row r="721" spans="3:21" ht="15.75" customHeight="1" x14ac:dyDescent="0.35">
      <c r="C721" s="13"/>
      <c r="P721" s="13"/>
      <c r="U721" s="13"/>
    </row>
    <row r="722" spans="3:21" ht="15.75" customHeight="1" x14ac:dyDescent="0.35">
      <c r="C722" s="13"/>
      <c r="P722" s="13"/>
      <c r="U722" s="13"/>
    </row>
    <row r="723" spans="3:21" ht="15.75" customHeight="1" x14ac:dyDescent="0.35">
      <c r="C723" s="13"/>
      <c r="P723" s="13"/>
      <c r="U723" s="13"/>
    </row>
    <row r="724" spans="3:21" ht="15.75" customHeight="1" x14ac:dyDescent="0.35">
      <c r="C724" s="13"/>
      <c r="P724" s="13"/>
      <c r="U724" s="13"/>
    </row>
    <row r="725" spans="3:21" ht="15.75" customHeight="1" x14ac:dyDescent="0.35">
      <c r="C725" s="13"/>
      <c r="P725" s="13"/>
      <c r="U725" s="13"/>
    </row>
    <row r="726" spans="3:21" ht="15.75" customHeight="1" x14ac:dyDescent="0.35">
      <c r="C726" s="13"/>
      <c r="P726" s="13"/>
      <c r="U726" s="13"/>
    </row>
    <row r="727" spans="3:21" ht="15.75" customHeight="1" x14ac:dyDescent="0.35">
      <c r="C727" s="13"/>
      <c r="P727" s="13"/>
      <c r="U727" s="13"/>
    </row>
    <row r="728" spans="3:21" ht="15.75" customHeight="1" x14ac:dyDescent="0.35">
      <c r="C728" s="13"/>
      <c r="P728" s="13"/>
      <c r="U728" s="13"/>
    </row>
    <row r="729" spans="3:21" ht="15.75" customHeight="1" x14ac:dyDescent="0.35">
      <c r="C729" s="13"/>
      <c r="P729" s="13"/>
      <c r="U729" s="13"/>
    </row>
    <row r="730" spans="3:21" ht="15.75" customHeight="1" x14ac:dyDescent="0.35">
      <c r="C730" s="13"/>
      <c r="P730" s="13"/>
      <c r="U730" s="13"/>
    </row>
    <row r="731" spans="3:21" ht="15.75" customHeight="1" x14ac:dyDescent="0.35">
      <c r="C731" s="13"/>
      <c r="P731" s="13"/>
      <c r="U731" s="13"/>
    </row>
    <row r="732" spans="3:21" ht="15.75" customHeight="1" x14ac:dyDescent="0.35">
      <c r="C732" s="13"/>
      <c r="P732" s="13"/>
      <c r="U732" s="13"/>
    </row>
    <row r="733" spans="3:21" ht="15.75" customHeight="1" x14ac:dyDescent="0.35">
      <c r="C733" s="13"/>
      <c r="P733" s="13"/>
      <c r="U733" s="13"/>
    </row>
    <row r="734" spans="3:21" ht="15.75" customHeight="1" x14ac:dyDescent="0.35">
      <c r="C734" s="13"/>
      <c r="P734" s="13"/>
      <c r="U734" s="13"/>
    </row>
    <row r="735" spans="3:21" ht="15.75" customHeight="1" x14ac:dyDescent="0.35">
      <c r="C735" s="13"/>
      <c r="P735" s="13"/>
      <c r="U735" s="13"/>
    </row>
    <row r="736" spans="3:21" ht="15.75" customHeight="1" x14ac:dyDescent="0.35">
      <c r="C736" s="13"/>
      <c r="P736" s="13"/>
      <c r="U736" s="13"/>
    </row>
    <row r="737" spans="3:21" ht="15.75" customHeight="1" x14ac:dyDescent="0.35">
      <c r="C737" s="13"/>
      <c r="P737" s="13"/>
      <c r="U737" s="13"/>
    </row>
    <row r="738" spans="3:21" ht="15.75" customHeight="1" x14ac:dyDescent="0.35">
      <c r="C738" s="13"/>
      <c r="P738" s="13"/>
      <c r="U738" s="13"/>
    </row>
    <row r="739" spans="3:21" ht="15.75" customHeight="1" x14ac:dyDescent="0.35">
      <c r="C739" s="13"/>
      <c r="P739" s="13"/>
      <c r="U739" s="13"/>
    </row>
    <row r="740" spans="3:21" ht="15.75" customHeight="1" x14ac:dyDescent="0.35">
      <c r="C740" s="13"/>
      <c r="P740" s="13"/>
      <c r="U740" s="13"/>
    </row>
    <row r="741" spans="3:21" ht="15.75" customHeight="1" x14ac:dyDescent="0.35">
      <c r="C741" s="13"/>
      <c r="P741" s="13"/>
      <c r="U741" s="13"/>
    </row>
    <row r="742" spans="3:21" ht="15.75" customHeight="1" x14ac:dyDescent="0.35">
      <c r="C742" s="13"/>
      <c r="P742" s="13"/>
      <c r="U742" s="13"/>
    </row>
    <row r="743" spans="3:21" ht="15.75" customHeight="1" x14ac:dyDescent="0.35">
      <c r="C743" s="13"/>
      <c r="P743" s="13"/>
      <c r="U743" s="13"/>
    </row>
    <row r="744" spans="3:21" ht="15.75" customHeight="1" x14ac:dyDescent="0.35">
      <c r="C744" s="13"/>
      <c r="P744" s="13"/>
      <c r="U744" s="13"/>
    </row>
    <row r="745" spans="3:21" ht="15.75" customHeight="1" x14ac:dyDescent="0.35">
      <c r="C745" s="13"/>
      <c r="P745" s="13"/>
      <c r="U745" s="13"/>
    </row>
    <row r="746" spans="3:21" ht="15.75" customHeight="1" x14ac:dyDescent="0.35">
      <c r="C746" s="13"/>
      <c r="P746" s="13"/>
      <c r="U746" s="13"/>
    </row>
    <row r="747" spans="3:21" ht="15.75" customHeight="1" x14ac:dyDescent="0.35">
      <c r="C747" s="13"/>
      <c r="P747" s="13"/>
      <c r="U747" s="13"/>
    </row>
    <row r="748" spans="3:21" ht="15.75" customHeight="1" x14ac:dyDescent="0.35">
      <c r="C748" s="13"/>
      <c r="P748" s="13"/>
      <c r="U748" s="13"/>
    </row>
    <row r="749" spans="3:21" ht="15.75" customHeight="1" x14ac:dyDescent="0.35">
      <c r="C749" s="13"/>
      <c r="P749" s="13"/>
      <c r="U749" s="13"/>
    </row>
    <row r="750" spans="3:21" ht="15.75" customHeight="1" x14ac:dyDescent="0.35">
      <c r="C750" s="13"/>
      <c r="P750" s="13"/>
      <c r="U750" s="13"/>
    </row>
    <row r="751" spans="3:21" ht="15.75" customHeight="1" x14ac:dyDescent="0.35">
      <c r="C751" s="13"/>
      <c r="P751" s="13"/>
      <c r="U751" s="13"/>
    </row>
    <row r="752" spans="3:21" ht="15.75" customHeight="1" x14ac:dyDescent="0.35">
      <c r="C752" s="13"/>
      <c r="P752" s="13"/>
      <c r="U752" s="13"/>
    </row>
    <row r="753" spans="3:21" ht="15.75" customHeight="1" x14ac:dyDescent="0.35">
      <c r="C753" s="13"/>
      <c r="P753" s="13"/>
      <c r="U753" s="13"/>
    </row>
    <row r="754" spans="3:21" ht="15.75" customHeight="1" x14ac:dyDescent="0.35">
      <c r="C754" s="13"/>
      <c r="P754" s="13"/>
      <c r="U754" s="13"/>
    </row>
    <row r="755" spans="3:21" ht="15.75" customHeight="1" x14ac:dyDescent="0.35">
      <c r="C755" s="13"/>
      <c r="P755" s="13"/>
      <c r="U755" s="13"/>
    </row>
    <row r="756" spans="3:21" ht="15.75" customHeight="1" x14ac:dyDescent="0.35">
      <c r="C756" s="13"/>
      <c r="P756" s="13"/>
      <c r="U756" s="13"/>
    </row>
    <row r="757" spans="3:21" ht="15.75" customHeight="1" x14ac:dyDescent="0.35">
      <c r="C757" s="13"/>
      <c r="P757" s="13"/>
      <c r="U757" s="13"/>
    </row>
    <row r="758" spans="3:21" ht="15.75" customHeight="1" x14ac:dyDescent="0.35">
      <c r="C758" s="13"/>
      <c r="P758" s="13"/>
      <c r="U758" s="13"/>
    </row>
    <row r="759" spans="3:21" ht="15.75" customHeight="1" x14ac:dyDescent="0.35">
      <c r="C759" s="13"/>
      <c r="P759" s="13"/>
      <c r="U759" s="13"/>
    </row>
    <row r="760" spans="3:21" ht="15.75" customHeight="1" x14ac:dyDescent="0.35">
      <c r="C760" s="13"/>
      <c r="P760" s="13"/>
      <c r="U760" s="13"/>
    </row>
    <row r="761" spans="3:21" ht="15.75" customHeight="1" x14ac:dyDescent="0.35">
      <c r="C761" s="13"/>
      <c r="P761" s="13"/>
      <c r="U761" s="13"/>
    </row>
    <row r="762" spans="3:21" ht="15.75" customHeight="1" x14ac:dyDescent="0.35">
      <c r="C762" s="13"/>
      <c r="P762" s="13"/>
      <c r="U762" s="13"/>
    </row>
    <row r="763" spans="3:21" ht="15.75" customHeight="1" x14ac:dyDescent="0.35">
      <c r="C763" s="13"/>
      <c r="P763" s="13"/>
      <c r="U763" s="13"/>
    </row>
    <row r="764" spans="3:21" ht="15.75" customHeight="1" x14ac:dyDescent="0.35">
      <c r="C764" s="13"/>
      <c r="P764" s="13"/>
      <c r="U764" s="13"/>
    </row>
    <row r="765" spans="3:21" ht="15.75" customHeight="1" x14ac:dyDescent="0.35">
      <c r="C765" s="13"/>
      <c r="P765" s="13"/>
      <c r="U765" s="13"/>
    </row>
    <row r="766" spans="3:21" ht="15.75" customHeight="1" x14ac:dyDescent="0.35">
      <c r="C766" s="13"/>
      <c r="P766" s="13"/>
      <c r="U766" s="13"/>
    </row>
    <row r="767" spans="3:21" ht="15.75" customHeight="1" x14ac:dyDescent="0.35">
      <c r="C767" s="13"/>
      <c r="P767" s="13"/>
      <c r="U767" s="13"/>
    </row>
    <row r="768" spans="3:21" ht="15.75" customHeight="1" x14ac:dyDescent="0.35">
      <c r="C768" s="13"/>
      <c r="P768" s="13"/>
      <c r="U768" s="13"/>
    </row>
    <row r="769" spans="3:21" ht="15.75" customHeight="1" x14ac:dyDescent="0.35">
      <c r="C769" s="13"/>
      <c r="P769" s="13"/>
      <c r="U769" s="13"/>
    </row>
    <row r="770" spans="3:21" ht="15.75" customHeight="1" x14ac:dyDescent="0.35">
      <c r="C770" s="13"/>
      <c r="P770" s="13"/>
      <c r="U770" s="13"/>
    </row>
    <row r="771" spans="3:21" ht="15.75" customHeight="1" x14ac:dyDescent="0.35">
      <c r="C771" s="13"/>
      <c r="P771" s="13"/>
      <c r="U771" s="13"/>
    </row>
    <row r="772" spans="3:21" ht="15.75" customHeight="1" x14ac:dyDescent="0.35">
      <c r="C772" s="13"/>
      <c r="P772" s="13"/>
      <c r="U772" s="13"/>
    </row>
    <row r="773" spans="3:21" ht="15.75" customHeight="1" x14ac:dyDescent="0.35">
      <c r="C773" s="13"/>
      <c r="P773" s="13"/>
      <c r="U773" s="13"/>
    </row>
    <row r="774" spans="3:21" ht="15.75" customHeight="1" x14ac:dyDescent="0.35">
      <c r="C774" s="13"/>
      <c r="P774" s="13"/>
      <c r="U774" s="13"/>
    </row>
    <row r="775" spans="3:21" ht="15.75" customHeight="1" x14ac:dyDescent="0.35">
      <c r="C775" s="13"/>
      <c r="P775" s="13"/>
      <c r="U775" s="13"/>
    </row>
    <row r="776" spans="3:21" ht="15.75" customHeight="1" x14ac:dyDescent="0.35">
      <c r="C776" s="13"/>
      <c r="P776" s="13"/>
      <c r="U776" s="13"/>
    </row>
    <row r="777" spans="3:21" ht="15.75" customHeight="1" x14ac:dyDescent="0.35">
      <c r="C777" s="13"/>
      <c r="P777" s="13"/>
      <c r="U777" s="13"/>
    </row>
    <row r="778" spans="3:21" ht="15.75" customHeight="1" x14ac:dyDescent="0.35">
      <c r="C778" s="13"/>
      <c r="P778" s="13"/>
      <c r="U778" s="13"/>
    </row>
    <row r="779" spans="3:21" ht="15.75" customHeight="1" x14ac:dyDescent="0.35">
      <c r="C779" s="13"/>
      <c r="P779" s="13"/>
      <c r="U779" s="13"/>
    </row>
    <row r="780" spans="3:21" ht="15.75" customHeight="1" x14ac:dyDescent="0.35">
      <c r="C780" s="13"/>
      <c r="P780" s="13"/>
      <c r="U780" s="13"/>
    </row>
    <row r="781" spans="3:21" ht="15.75" customHeight="1" x14ac:dyDescent="0.35">
      <c r="C781" s="13"/>
      <c r="P781" s="13"/>
      <c r="U781" s="13"/>
    </row>
    <row r="782" spans="3:21" ht="15.75" customHeight="1" x14ac:dyDescent="0.35">
      <c r="C782" s="13"/>
      <c r="P782" s="13"/>
      <c r="U782" s="13"/>
    </row>
    <row r="783" spans="3:21" ht="15.75" customHeight="1" x14ac:dyDescent="0.35">
      <c r="C783" s="13"/>
      <c r="P783" s="13"/>
      <c r="U783" s="13"/>
    </row>
    <row r="784" spans="3:21" ht="15.75" customHeight="1" x14ac:dyDescent="0.35">
      <c r="C784" s="13"/>
      <c r="P784" s="13"/>
      <c r="U784" s="13"/>
    </row>
    <row r="785" spans="3:21" ht="15.75" customHeight="1" x14ac:dyDescent="0.35">
      <c r="C785" s="13"/>
      <c r="P785" s="13"/>
      <c r="U785" s="13"/>
    </row>
    <row r="786" spans="3:21" ht="15.75" customHeight="1" x14ac:dyDescent="0.35">
      <c r="C786" s="13"/>
      <c r="P786" s="13"/>
      <c r="U786" s="13"/>
    </row>
    <row r="787" spans="3:21" ht="15.75" customHeight="1" x14ac:dyDescent="0.35">
      <c r="C787" s="13"/>
      <c r="P787" s="13"/>
      <c r="U787" s="13"/>
    </row>
    <row r="788" spans="3:21" ht="15.75" customHeight="1" x14ac:dyDescent="0.35">
      <c r="C788" s="13"/>
      <c r="P788" s="13"/>
      <c r="U788" s="13"/>
    </row>
    <row r="789" spans="3:21" ht="15.75" customHeight="1" x14ac:dyDescent="0.35">
      <c r="C789" s="13"/>
      <c r="P789" s="13"/>
      <c r="U789" s="13"/>
    </row>
    <row r="790" spans="3:21" ht="15.75" customHeight="1" x14ac:dyDescent="0.35">
      <c r="C790" s="13"/>
      <c r="P790" s="13"/>
      <c r="U790" s="13"/>
    </row>
    <row r="791" spans="3:21" ht="15.75" customHeight="1" x14ac:dyDescent="0.35">
      <c r="C791" s="13"/>
      <c r="P791" s="13"/>
      <c r="U791" s="13"/>
    </row>
    <row r="792" spans="3:21" ht="15.75" customHeight="1" x14ac:dyDescent="0.35">
      <c r="C792" s="13"/>
      <c r="P792" s="13"/>
      <c r="U792" s="13"/>
    </row>
    <row r="793" spans="3:21" ht="15.75" customHeight="1" x14ac:dyDescent="0.35">
      <c r="C793" s="13"/>
      <c r="P793" s="13"/>
      <c r="U793" s="13"/>
    </row>
    <row r="794" spans="3:21" ht="15.75" customHeight="1" x14ac:dyDescent="0.35">
      <c r="C794" s="13"/>
      <c r="P794" s="13"/>
      <c r="U794" s="13"/>
    </row>
    <row r="795" spans="3:21" ht="15.75" customHeight="1" x14ac:dyDescent="0.35">
      <c r="C795" s="13"/>
      <c r="P795" s="13"/>
      <c r="U795" s="13"/>
    </row>
    <row r="796" spans="3:21" ht="15.75" customHeight="1" x14ac:dyDescent="0.35">
      <c r="C796" s="13"/>
      <c r="P796" s="13"/>
      <c r="U796" s="13"/>
    </row>
    <row r="797" spans="3:21" ht="15.75" customHeight="1" x14ac:dyDescent="0.35">
      <c r="C797" s="13"/>
      <c r="P797" s="13"/>
      <c r="U797" s="13"/>
    </row>
    <row r="798" spans="3:21" ht="15.75" customHeight="1" x14ac:dyDescent="0.35">
      <c r="C798" s="13"/>
      <c r="P798" s="13"/>
      <c r="U798" s="13"/>
    </row>
    <row r="799" spans="3:21" ht="15.75" customHeight="1" x14ac:dyDescent="0.35">
      <c r="C799" s="13"/>
      <c r="P799" s="13"/>
      <c r="U799" s="13"/>
    </row>
    <row r="800" spans="3:21" ht="15.75" customHeight="1" x14ac:dyDescent="0.35">
      <c r="C800" s="13"/>
      <c r="P800" s="13"/>
      <c r="U800" s="13"/>
    </row>
    <row r="801" spans="3:21" ht="15.75" customHeight="1" x14ac:dyDescent="0.35">
      <c r="C801" s="13"/>
      <c r="P801" s="13"/>
      <c r="U801" s="13"/>
    </row>
    <row r="802" spans="3:21" ht="15.75" customHeight="1" x14ac:dyDescent="0.35">
      <c r="C802" s="13"/>
      <c r="P802" s="13"/>
      <c r="U802" s="13"/>
    </row>
    <row r="803" spans="3:21" ht="15.75" customHeight="1" x14ac:dyDescent="0.35">
      <c r="C803" s="13"/>
      <c r="P803" s="13"/>
      <c r="U803" s="13"/>
    </row>
    <row r="804" spans="3:21" ht="15.75" customHeight="1" x14ac:dyDescent="0.35">
      <c r="C804" s="13"/>
      <c r="P804" s="13"/>
      <c r="U804" s="13"/>
    </row>
    <row r="805" spans="3:21" ht="15.75" customHeight="1" x14ac:dyDescent="0.35">
      <c r="C805" s="13"/>
      <c r="P805" s="13"/>
      <c r="U805" s="13"/>
    </row>
    <row r="806" spans="3:21" ht="15.75" customHeight="1" x14ac:dyDescent="0.35">
      <c r="C806" s="13"/>
      <c r="P806" s="13"/>
      <c r="U806" s="13"/>
    </row>
    <row r="807" spans="3:21" ht="15.75" customHeight="1" x14ac:dyDescent="0.35">
      <c r="C807" s="13"/>
      <c r="P807" s="13"/>
      <c r="U807" s="13"/>
    </row>
    <row r="808" spans="3:21" ht="15.75" customHeight="1" x14ac:dyDescent="0.35">
      <c r="C808" s="13"/>
      <c r="P808" s="13"/>
      <c r="U808" s="13"/>
    </row>
    <row r="809" spans="3:21" ht="15.75" customHeight="1" x14ac:dyDescent="0.35">
      <c r="C809" s="13"/>
      <c r="P809" s="13"/>
      <c r="U809" s="13"/>
    </row>
    <row r="810" spans="3:21" ht="15.75" customHeight="1" x14ac:dyDescent="0.35">
      <c r="C810" s="13"/>
      <c r="P810" s="13"/>
      <c r="U810" s="13"/>
    </row>
    <row r="811" spans="3:21" ht="15.75" customHeight="1" x14ac:dyDescent="0.35">
      <c r="C811" s="13"/>
      <c r="P811" s="13"/>
      <c r="U811" s="13"/>
    </row>
    <row r="812" spans="3:21" ht="15.75" customHeight="1" x14ac:dyDescent="0.35">
      <c r="C812" s="13"/>
      <c r="P812" s="13"/>
      <c r="U812" s="13"/>
    </row>
    <row r="813" spans="3:21" ht="15.75" customHeight="1" x14ac:dyDescent="0.35">
      <c r="C813" s="13"/>
      <c r="P813" s="13"/>
      <c r="U813" s="13"/>
    </row>
    <row r="814" spans="3:21" ht="15.75" customHeight="1" x14ac:dyDescent="0.35">
      <c r="C814" s="13"/>
      <c r="P814" s="13"/>
      <c r="U814" s="13"/>
    </row>
    <row r="815" spans="3:21" ht="15.75" customHeight="1" x14ac:dyDescent="0.35">
      <c r="C815" s="13"/>
      <c r="P815" s="13"/>
      <c r="U815" s="13"/>
    </row>
    <row r="816" spans="3:21" ht="15.75" customHeight="1" x14ac:dyDescent="0.35">
      <c r="C816" s="13"/>
      <c r="P816" s="13"/>
      <c r="U816" s="13"/>
    </row>
    <row r="817" spans="3:21" ht="15.75" customHeight="1" x14ac:dyDescent="0.35">
      <c r="C817" s="13"/>
      <c r="P817" s="13"/>
      <c r="U817" s="13"/>
    </row>
    <row r="818" spans="3:21" ht="15.75" customHeight="1" x14ac:dyDescent="0.35">
      <c r="C818" s="13"/>
      <c r="P818" s="13"/>
      <c r="U818" s="13"/>
    </row>
    <row r="819" spans="3:21" ht="15.75" customHeight="1" x14ac:dyDescent="0.35">
      <c r="C819" s="13"/>
      <c r="P819" s="13"/>
      <c r="U819" s="13"/>
    </row>
    <row r="820" spans="3:21" ht="15.75" customHeight="1" x14ac:dyDescent="0.35">
      <c r="C820" s="13"/>
      <c r="P820" s="13"/>
      <c r="U820" s="13"/>
    </row>
    <row r="821" spans="3:21" ht="15.75" customHeight="1" x14ac:dyDescent="0.35">
      <c r="C821" s="13"/>
      <c r="P821" s="13"/>
      <c r="U821" s="13"/>
    </row>
    <row r="822" spans="3:21" ht="15.75" customHeight="1" x14ac:dyDescent="0.35">
      <c r="C822" s="13"/>
      <c r="P822" s="13"/>
      <c r="U822" s="13"/>
    </row>
    <row r="823" spans="3:21" ht="15.75" customHeight="1" x14ac:dyDescent="0.35">
      <c r="C823" s="13"/>
      <c r="P823" s="13"/>
      <c r="U823" s="13"/>
    </row>
    <row r="824" spans="3:21" ht="15.75" customHeight="1" x14ac:dyDescent="0.35">
      <c r="C824" s="13"/>
      <c r="P824" s="13"/>
      <c r="U824" s="13"/>
    </row>
    <row r="825" spans="3:21" ht="15.75" customHeight="1" x14ac:dyDescent="0.35">
      <c r="C825" s="13"/>
      <c r="P825" s="13"/>
      <c r="U825" s="13"/>
    </row>
    <row r="826" spans="3:21" ht="15.75" customHeight="1" x14ac:dyDescent="0.35">
      <c r="C826" s="13"/>
      <c r="P826" s="13"/>
      <c r="U826" s="13"/>
    </row>
    <row r="827" spans="3:21" ht="15.75" customHeight="1" x14ac:dyDescent="0.35">
      <c r="C827" s="13"/>
      <c r="P827" s="13"/>
      <c r="U827" s="13"/>
    </row>
    <row r="828" spans="3:21" ht="15.75" customHeight="1" x14ac:dyDescent="0.35">
      <c r="C828" s="13"/>
      <c r="P828" s="13"/>
      <c r="U828" s="13"/>
    </row>
    <row r="829" spans="3:21" ht="15.75" customHeight="1" x14ac:dyDescent="0.35">
      <c r="C829" s="13"/>
      <c r="P829" s="13"/>
      <c r="U829" s="13"/>
    </row>
    <row r="830" spans="3:21" ht="15.75" customHeight="1" x14ac:dyDescent="0.35">
      <c r="C830" s="13"/>
      <c r="P830" s="13"/>
      <c r="U830" s="13"/>
    </row>
    <row r="831" spans="3:21" ht="15.75" customHeight="1" x14ac:dyDescent="0.35">
      <c r="C831" s="13"/>
      <c r="P831" s="13"/>
      <c r="U831" s="13"/>
    </row>
    <row r="832" spans="3:21" ht="15.75" customHeight="1" x14ac:dyDescent="0.35">
      <c r="C832" s="13"/>
      <c r="P832" s="13"/>
      <c r="U832" s="13"/>
    </row>
    <row r="833" spans="3:21" ht="15.75" customHeight="1" x14ac:dyDescent="0.35">
      <c r="C833" s="13"/>
      <c r="P833" s="13"/>
      <c r="U833" s="13"/>
    </row>
    <row r="834" spans="3:21" ht="15.75" customHeight="1" x14ac:dyDescent="0.35">
      <c r="C834" s="13"/>
      <c r="P834" s="13"/>
      <c r="U834" s="13"/>
    </row>
    <row r="835" spans="3:21" ht="15.75" customHeight="1" x14ac:dyDescent="0.35">
      <c r="C835" s="13"/>
      <c r="P835" s="13"/>
      <c r="U835" s="13"/>
    </row>
    <row r="836" spans="3:21" ht="15.75" customHeight="1" x14ac:dyDescent="0.35">
      <c r="C836" s="13"/>
      <c r="P836" s="13"/>
      <c r="U836" s="13"/>
    </row>
    <row r="837" spans="3:21" ht="15.75" customHeight="1" x14ac:dyDescent="0.35">
      <c r="C837" s="13"/>
      <c r="P837" s="13"/>
      <c r="U837" s="13"/>
    </row>
    <row r="838" spans="3:21" ht="15.75" customHeight="1" x14ac:dyDescent="0.35">
      <c r="C838" s="13"/>
      <c r="P838" s="13"/>
      <c r="U838" s="13"/>
    </row>
    <row r="839" spans="3:21" ht="15.75" customHeight="1" x14ac:dyDescent="0.35">
      <c r="C839" s="13"/>
      <c r="P839" s="13"/>
      <c r="U839" s="13"/>
    </row>
    <row r="840" spans="3:21" ht="15.75" customHeight="1" x14ac:dyDescent="0.35">
      <c r="C840" s="13"/>
      <c r="P840" s="13"/>
      <c r="U840" s="13"/>
    </row>
    <row r="841" spans="3:21" ht="15.75" customHeight="1" x14ac:dyDescent="0.35">
      <c r="C841" s="13"/>
      <c r="P841" s="13"/>
      <c r="U841" s="13"/>
    </row>
    <row r="842" spans="3:21" ht="15.75" customHeight="1" x14ac:dyDescent="0.35">
      <c r="C842" s="13"/>
      <c r="P842" s="13"/>
      <c r="U842" s="13"/>
    </row>
    <row r="843" spans="3:21" ht="15.75" customHeight="1" x14ac:dyDescent="0.35">
      <c r="C843" s="13"/>
      <c r="P843" s="13"/>
      <c r="U843" s="13"/>
    </row>
    <row r="844" spans="3:21" ht="15.75" customHeight="1" x14ac:dyDescent="0.35">
      <c r="C844" s="13"/>
      <c r="P844" s="13"/>
      <c r="U844" s="13"/>
    </row>
    <row r="845" spans="3:21" ht="15.75" customHeight="1" x14ac:dyDescent="0.35">
      <c r="C845" s="13"/>
      <c r="P845" s="13"/>
      <c r="U845" s="13"/>
    </row>
    <row r="846" spans="3:21" ht="15.75" customHeight="1" x14ac:dyDescent="0.35">
      <c r="C846" s="13"/>
      <c r="P846" s="13"/>
      <c r="U846" s="13"/>
    </row>
    <row r="847" spans="3:21" ht="15.75" customHeight="1" x14ac:dyDescent="0.35">
      <c r="C847" s="13"/>
      <c r="P847" s="13"/>
      <c r="U847" s="13"/>
    </row>
    <row r="848" spans="3:21" ht="15.75" customHeight="1" x14ac:dyDescent="0.35">
      <c r="C848" s="13"/>
      <c r="P848" s="13"/>
      <c r="U848" s="13"/>
    </row>
    <row r="849" spans="3:21" ht="15.75" customHeight="1" x14ac:dyDescent="0.35">
      <c r="C849" s="13"/>
      <c r="P849" s="13"/>
      <c r="U849" s="13"/>
    </row>
    <row r="850" spans="3:21" ht="15.75" customHeight="1" x14ac:dyDescent="0.35">
      <c r="C850" s="13"/>
      <c r="P850" s="13"/>
      <c r="U850" s="13"/>
    </row>
    <row r="851" spans="3:21" ht="15.75" customHeight="1" x14ac:dyDescent="0.35">
      <c r="C851" s="13"/>
      <c r="P851" s="13"/>
      <c r="U851" s="13"/>
    </row>
    <row r="852" spans="3:21" ht="15.75" customHeight="1" x14ac:dyDescent="0.35">
      <c r="C852" s="13"/>
      <c r="P852" s="13"/>
      <c r="U852" s="13"/>
    </row>
    <row r="853" spans="3:21" ht="15.75" customHeight="1" x14ac:dyDescent="0.35">
      <c r="C853" s="13"/>
      <c r="P853" s="13"/>
      <c r="U853" s="13"/>
    </row>
    <row r="854" spans="3:21" ht="15.75" customHeight="1" x14ac:dyDescent="0.35">
      <c r="C854" s="13"/>
      <c r="P854" s="13"/>
      <c r="U854" s="13"/>
    </row>
    <row r="855" spans="3:21" ht="15.75" customHeight="1" x14ac:dyDescent="0.35">
      <c r="C855" s="13"/>
      <c r="P855" s="13"/>
      <c r="U855" s="13"/>
    </row>
    <row r="856" spans="3:21" ht="15.75" customHeight="1" x14ac:dyDescent="0.35">
      <c r="C856" s="13"/>
      <c r="P856" s="13"/>
      <c r="U856" s="13"/>
    </row>
    <row r="857" spans="3:21" ht="15.75" customHeight="1" x14ac:dyDescent="0.35">
      <c r="C857" s="13"/>
      <c r="P857" s="13"/>
      <c r="U857" s="13"/>
    </row>
    <row r="858" spans="3:21" ht="15.75" customHeight="1" x14ac:dyDescent="0.35">
      <c r="C858" s="13"/>
      <c r="P858" s="13"/>
      <c r="U858" s="13"/>
    </row>
    <row r="859" spans="3:21" ht="15.75" customHeight="1" x14ac:dyDescent="0.35">
      <c r="C859" s="13"/>
      <c r="P859" s="13"/>
      <c r="U859" s="13"/>
    </row>
    <row r="860" spans="3:21" ht="15.75" customHeight="1" x14ac:dyDescent="0.35">
      <c r="C860" s="13"/>
      <c r="P860" s="13"/>
      <c r="U860" s="13"/>
    </row>
    <row r="861" spans="3:21" ht="15.75" customHeight="1" x14ac:dyDescent="0.35">
      <c r="C861" s="13"/>
      <c r="P861" s="13"/>
      <c r="U861" s="13"/>
    </row>
    <row r="862" spans="3:21" ht="15.75" customHeight="1" x14ac:dyDescent="0.35">
      <c r="C862" s="13"/>
      <c r="P862" s="13"/>
      <c r="U862" s="13"/>
    </row>
    <row r="863" spans="3:21" ht="15.75" customHeight="1" x14ac:dyDescent="0.35">
      <c r="C863" s="13"/>
      <c r="P863" s="13"/>
      <c r="U863" s="13"/>
    </row>
    <row r="864" spans="3:21" ht="15.75" customHeight="1" x14ac:dyDescent="0.35">
      <c r="C864" s="13"/>
      <c r="P864" s="13"/>
      <c r="U864" s="13"/>
    </row>
    <row r="865" spans="3:21" ht="15.75" customHeight="1" x14ac:dyDescent="0.35">
      <c r="C865" s="13"/>
      <c r="P865" s="13"/>
      <c r="U865" s="13"/>
    </row>
    <row r="866" spans="3:21" ht="15.75" customHeight="1" x14ac:dyDescent="0.35">
      <c r="C866" s="13"/>
      <c r="P866" s="13"/>
      <c r="U866" s="13"/>
    </row>
    <row r="867" spans="3:21" ht="15.75" customHeight="1" x14ac:dyDescent="0.35">
      <c r="C867" s="13"/>
      <c r="P867" s="13"/>
      <c r="U867" s="13"/>
    </row>
    <row r="868" spans="3:21" ht="15.75" customHeight="1" x14ac:dyDescent="0.35">
      <c r="C868" s="13"/>
      <c r="P868" s="13"/>
      <c r="U868" s="13"/>
    </row>
    <row r="869" spans="3:21" ht="15.75" customHeight="1" x14ac:dyDescent="0.35">
      <c r="C869" s="13"/>
      <c r="P869" s="13"/>
      <c r="U869" s="13"/>
    </row>
    <row r="870" spans="3:21" ht="15.75" customHeight="1" x14ac:dyDescent="0.35">
      <c r="C870" s="13"/>
      <c r="P870" s="13"/>
      <c r="U870" s="13"/>
    </row>
    <row r="871" spans="3:21" ht="15.75" customHeight="1" x14ac:dyDescent="0.35">
      <c r="C871" s="13"/>
      <c r="P871" s="13"/>
      <c r="U871" s="13"/>
    </row>
    <row r="872" spans="3:21" ht="15.75" customHeight="1" x14ac:dyDescent="0.35">
      <c r="C872" s="13"/>
      <c r="P872" s="13"/>
      <c r="U872" s="13"/>
    </row>
    <row r="873" spans="3:21" ht="15.75" customHeight="1" x14ac:dyDescent="0.35">
      <c r="C873" s="13"/>
      <c r="P873" s="13"/>
      <c r="U873" s="13"/>
    </row>
    <row r="874" spans="3:21" ht="15.75" customHeight="1" x14ac:dyDescent="0.35">
      <c r="C874" s="13"/>
      <c r="P874" s="13"/>
      <c r="U874" s="13"/>
    </row>
    <row r="875" spans="3:21" ht="15.75" customHeight="1" x14ac:dyDescent="0.35">
      <c r="C875" s="13"/>
      <c r="P875" s="13"/>
      <c r="U875" s="13"/>
    </row>
    <row r="876" spans="3:21" ht="15.75" customHeight="1" x14ac:dyDescent="0.35">
      <c r="C876" s="13"/>
      <c r="P876" s="13"/>
      <c r="U876" s="13"/>
    </row>
    <row r="877" spans="3:21" ht="15.75" customHeight="1" x14ac:dyDescent="0.35">
      <c r="C877" s="13"/>
      <c r="P877" s="13"/>
      <c r="U877" s="13"/>
    </row>
    <row r="878" spans="3:21" ht="15.75" customHeight="1" x14ac:dyDescent="0.35">
      <c r="C878" s="13"/>
      <c r="P878" s="13"/>
      <c r="U878" s="13"/>
    </row>
    <row r="879" spans="3:21" ht="15.75" customHeight="1" x14ac:dyDescent="0.35">
      <c r="C879" s="13"/>
      <c r="P879" s="13"/>
      <c r="U879" s="13"/>
    </row>
    <row r="880" spans="3:21" ht="15.75" customHeight="1" x14ac:dyDescent="0.35">
      <c r="C880" s="13"/>
      <c r="P880" s="13"/>
      <c r="U880" s="13"/>
    </row>
    <row r="881" spans="3:21" ht="15.75" customHeight="1" x14ac:dyDescent="0.35">
      <c r="C881" s="13"/>
      <c r="P881" s="13"/>
      <c r="U881" s="13"/>
    </row>
    <row r="882" spans="3:21" ht="15.75" customHeight="1" x14ac:dyDescent="0.35">
      <c r="C882" s="13"/>
      <c r="P882" s="13"/>
      <c r="U882" s="13"/>
    </row>
    <row r="883" spans="3:21" ht="15.75" customHeight="1" x14ac:dyDescent="0.35">
      <c r="C883" s="13"/>
      <c r="P883" s="13"/>
      <c r="U883" s="13"/>
    </row>
    <row r="884" spans="3:21" ht="15.75" customHeight="1" x14ac:dyDescent="0.35">
      <c r="C884" s="13"/>
      <c r="P884" s="13"/>
      <c r="U884" s="13"/>
    </row>
    <row r="885" spans="3:21" ht="15.75" customHeight="1" x14ac:dyDescent="0.35">
      <c r="C885" s="13"/>
      <c r="P885" s="13"/>
      <c r="U885" s="13"/>
    </row>
    <row r="886" spans="3:21" ht="15.75" customHeight="1" x14ac:dyDescent="0.35">
      <c r="C886" s="13"/>
      <c r="P886" s="13"/>
      <c r="U886" s="13"/>
    </row>
    <row r="887" spans="3:21" ht="15.75" customHeight="1" x14ac:dyDescent="0.35">
      <c r="C887" s="13"/>
      <c r="P887" s="13"/>
      <c r="U887" s="13"/>
    </row>
    <row r="888" spans="3:21" ht="15.75" customHeight="1" x14ac:dyDescent="0.35">
      <c r="C888" s="13"/>
      <c r="P888" s="13"/>
      <c r="U888" s="13"/>
    </row>
    <row r="889" spans="3:21" ht="15.75" customHeight="1" x14ac:dyDescent="0.35">
      <c r="C889" s="13"/>
      <c r="P889" s="13"/>
      <c r="U889" s="13"/>
    </row>
    <row r="890" spans="3:21" ht="15.75" customHeight="1" x14ac:dyDescent="0.35">
      <c r="C890" s="13"/>
      <c r="P890" s="13"/>
      <c r="U890" s="13"/>
    </row>
    <row r="891" spans="3:21" ht="15.75" customHeight="1" x14ac:dyDescent="0.35">
      <c r="C891" s="13"/>
      <c r="P891" s="13"/>
      <c r="U891" s="13"/>
    </row>
    <row r="892" spans="3:21" ht="15.75" customHeight="1" x14ac:dyDescent="0.35">
      <c r="C892" s="13"/>
      <c r="P892" s="13"/>
      <c r="U892" s="13"/>
    </row>
    <row r="893" spans="3:21" ht="15.75" customHeight="1" x14ac:dyDescent="0.35">
      <c r="C893" s="13"/>
      <c r="P893" s="13"/>
      <c r="U893" s="13"/>
    </row>
    <row r="894" spans="3:21" ht="15.75" customHeight="1" x14ac:dyDescent="0.35">
      <c r="C894" s="13"/>
      <c r="P894" s="13"/>
      <c r="U894" s="13"/>
    </row>
    <row r="895" spans="3:21" ht="15.75" customHeight="1" x14ac:dyDescent="0.35">
      <c r="C895" s="13"/>
      <c r="P895" s="13"/>
      <c r="U895" s="13"/>
    </row>
    <row r="896" spans="3:21" ht="15.75" customHeight="1" x14ac:dyDescent="0.35">
      <c r="C896" s="13"/>
      <c r="P896" s="13"/>
      <c r="U896" s="13"/>
    </row>
    <row r="897" spans="3:21" ht="15.75" customHeight="1" x14ac:dyDescent="0.35">
      <c r="C897" s="13"/>
      <c r="P897" s="13"/>
      <c r="U897" s="13"/>
    </row>
    <row r="898" spans="3:21" ht="15.75" customHeight="1" x14ac:dyDescent="0.35">
      <c r="C898" s="13"/>
      <c r="P898" s="13"/>
      <c r="U898" s="13"/>
    </row>
    <row r="899" spans="3:21" ht="15.75" customHeight="1" x14ac:dyDescent="0.35">
      <c r="C899" s="13"/>
      <c r="P899" s="13"/>
      <c r="U899" s="13"/>
    </row>
    <row r="900" spans="3:21" ht="15.75" customHeight="1" x14ac:dyDescent="0.35">
      <c r="C900" s="13"/>
      <c r="P900" s="13"/>
      <c r="U900" s="13"/>
    </row>
    <row r="901" spans="3:21" ht="15.75" customHeight="1" x14ac:dyDescent="0.35">
      <c r="C901" s="13"/>
      <c r="P901" s="13"/>
      <c r="U901" s="13"/>
    </row>
    <row r="902" spans="3:21" ht="15.75" customHeight="1" x14ac:dyDescent="0.35">
      <c r="C902" s="13"/>
      <c r="P902" s="13"/>
      <c r="U902" s="13"/>
    </row>
    <row r="903" spans="3:21" ht="15.75" customHeight="1" x14ac:dyDescent="0.35">
      <c r="C903" s="13"/>
      <c r="P903" s="13"/>
      <c r="U903" s="13"/>
    </row>
    <row r="904" spans="3:21" ht="15.75" customHeight="1" x14ac:dyDescent="0.35">
      <c r="C904" s="13"/>
      <c r="P904" s="13"/>
      <c r="U904" s="13"/>
    </row>
    <row r="905" spans="3:21" ht="15.75" customHeight="1" x14ac:dyDescent="0.35">
      <c r="C905" s="13"/>
      <c r="P905" s="13"/>
      <c r="U905" s="13"/>
    </row>
    <row r="906" spans="3:21" ht="15.75" customHeight="1" x14ac:dyDescent="0.35">
      <c r="C906" s="13"/>
      <c r="P906" s="13"/>
      <c r="U906" s="13"/>
    </row>
    <row r="907" spans="3:21" ht="15.75" customHeight="1" x14ac:dyDescent="0.35">
      <c r="C907" s="13"/>
      <c r="P907" s="13"/>
      <c r="U907" s="13"/>
    </row>
    <row r="908" spans="3:21" ht="15.75" customHeight="1" x14ac:dyDescent="0.35">
      <c r="C908" s="13"/>
      <c r="P908" s="13"/>
      <c r="U908" s="13"/>
    </row>
    <row r="909" spans="3:21" ht="15.75" customHeight="1" x14ac:dyDescent="0.35">
      <c r="C909" s="13"/>
      <c r="P909" s="13"/>
      <c r="U909" s="13"/>
    </row>
    <row r="910" spans="3:21" ht="15.75" customHeight="1" x14ac:dyDescent="0.35">
      <c r="C910" s="13"/>
      <c r="P910" s="13"/>
      <c r="U910" s="13"/>
    </row>
    <row r="911" spans="3:21" ht="15.75" customHeight="1" x14ac:dyDescent="0.35">
      <c r="C911" s="13"/>
      <c r="P911" s="13"/>
      <c r="U911" s="13"/>
    </row>
    <row r="912" spans="3:21" ht="15.75" customHeight="1" x14ac:dyDescent="0.35">
      <c r="C912" s="13"/>
      <c r="P912" s="13"/>
      <c r="U912" s="13"/>
    </row>
    <row r="913" spans="3:21" ht="15.75" customHeight="1" x14ac:dyDescent="0.35">
      <c r="C913" s="13"/>
      <c r="P913" s="13"/>
      <c r="U913" s="13"/>
    </row>
    <row r="914" spans="3:21" ht="15.75" customHeight="1" x14ac:dyDescent="0.35">
      <c r="C914" s="13"/>
      <c r="P914" s="13"/>
      <c r="U914" s="13"/>
    </row>
    <row r="915" spans="3:21" ht="15.75" customHeight="1" x14ac:dyDescent="0.35">
      <c r="C915" s="13"/>
      <c r="P915" s="13"/>
      <c r="U915" s="13"/>
    </row>
    <row r="916" spans="3:21" ht="15.75" customHeight="1" x14ac:dyDescent="0.35">
      <c r="C916" s="13"/>
      <c r="P916" s="13"/>
      <c r="U916" s="13"/>
    </row>
    <row r="917" spans="3:21" ht="15.75" customHeight="1" x14ac:dyDescent="0.35">
      <c r="C917" s="13"/>
      <c r="P917" s="13"/>
      <c r="U917" s="13"/>
    </row>
    <row r="918" spans="3:21" ht="15.75" customHeight="1" x14ac:dyDescent="0.35">
      <c r="C918" s="13"/>
      <c r="P918" s="13"/>
      <c r="U918" s="13"/>
    </row>
    <row r="919" spans="3:21" ht="15.75" customHeight="1" x14ac:dyDescent="0.35">
      <c r="C919" s="13"/>
      <c r="P919" s="13"/>
      <c r="U919" s="13"/>
    </row>
    <row r="920" spans="3:21" ht="15.75" customHeight="1" x14ac:dyDescent="0.35">
      <c r="C920" s="13"/>
      <c r="P920" s="13"/>
      <c r="U920" s="13"/>
    </row>
    <row r="921" spans="3:21" ht="15.75" customHeight="1" x14ac:dyDescent="0.35">
      <c r="C921" s="13"/>
      <c r="P921" s="13"/>
      <c r="U921" s="13"/>
    </row>
    <row r="922" spans="3:21" ht="15.75" customHeight="1" x14ac:dyDescent="0.35">
      <c r="C922" s="13"/>
      <c r="P922" s="13"/>
      <c r="U922" s="13"/>
    </row>
    <row r="923" spans="3:21" ht="15.75" customHeight="1" x14ac:dyDescent="0.35">
      <c r="C923" s="13"/>
      <c r="P923" s="13"/>
      <c r="U923" s="13"/>
    </row>
    <row r="924" spans="3:21" ht="15.75" customHeight="1" x14ac:dyDescent="0.35">
      <c r="C924" s="13"/>
      <c r="P924" s="13"/>
      <c r="U924" s="13"/>
    </row>
    <row r="925" spans="3:21" ht="15.75" customHeight="1" x14ac:dyDescent="0.35">
      <c r="C925" s="13"/>
      <c r="P925" s="13"/>
      <c r="U925" s="13"/>
    </row>
    <row r="926" spans="3:21" ht="15.75" customHeight="1" x14ac:dyDescent="0.35">
      <c r="C926" s="13"/>
      <c r="P926" s="13"/>
      <c r="U926" s="13"/>
    </row>
    <row r="927" spans="3:21" ht="15.75" customHeight="1" x14ac:dyDescent="0.35">
      <c r="C927" s="13"/>
      <c r="P927" s="13"/>
      <c r="U927" s="13"/>
    </row>
    <row r="928" spans="3:21" ht="15.75" customHeight="1" x14ac:dyDescent="0.35">
      <c r="C928" s="13"/>
      <c r="P928" s="13"/>
      <c r="U928" s="13"/>
    </row>
    <row r="929" spans="3:21" ht="15.75" customHeight="1" x14ac:dyDescent="0.35">
      <c r="C929" s="13"/>
      <c r="P929" s="13"/>
      <c r="U929" s="13"/>
    </row>
    <row r="930" spans="3:21" ht="15.75" customHeight="1" x14ac:dyDescent="0.35">
      <c r="C930" s="13"/>
      <c r="P930" s="13"/>
      <c r="U930" s="13"/>
    </row>
    <row r="931" spans="3:21" ht="15.75" customHeight="1" x14ac:dyDescent="0.35">
      <c r="C931" s="13"/>
      <c r="P931" s="13"/>
      <c r="U931" s="13"/>
    </row>
    <row r="932" spans="3:21" ht="15.75" customHeight="1" x14ac:dyDescent="0.35">
      <c r="C932" s="13"/>
      <c r="P932" s="13"/>
      <c r="U932" s="13"/>
    </row>
    <row r="933" spans="3:21" ht="15.75" customHeight="1" x14ac:dyDescent="0.35">
      <c r="C933" s="13"/>
      <c r="P933" s="13"/>
      <c r="U933" s="13"/>
    </row>
    <row r="934" spans="3:21" ht="15.75" customHeight="1" x14ac:dyDescent="0.35">
      <c r="C934" s="13"/>
      <c r="P934" s="13"/>
      <c r="U934" s="13"/>
    </row>
    <row r="935" spans="3:21" ht="15.75" customHeight="1" x14ac:dyDescent="0.35">
      <c r="C935" s="13"/>
      <c r="P935" s="13"/>
      <c r="U935" s="13"/>
    </row>
    <row r="936" spans="3:21" ht="15.75" customHeight="1" x14ac:dyDescent="0.35">
      <c r="C936" s="13"/>
      <c r="P936" s="13"/>
      <c r="U936" s="13"/>
    </row>
    <row r="937" spans="3:21" ht="15.75" customHeight="1" x14ac:dyDescent="0.35">
      <c r="C937" s="13"/>
      <c r="P937" s="13"/>
      <c r="U937" s="13"/>
    </row>
    <row r="938" spans="3:21" ht="15.75" customHeight="1" x14ac:dyDescent="0.35">
      <c r="C938" s="13"/>
      <c r="P938" s="13"/>
      <c r="U938" s="13"/>
    </row>
    <row r="939" spans="3:21" ht="15.75" customHeight="1" x14ac:dyDescent="0.35">
      <c r="C939" s="13"/>
      <c r="P939" s="13"/>
      <c r="U939" s="13"/>
    </row>
    <row r="940" spans="3:21" ht="15.75" customHeight="1" x14ac:dyDescent="0.35">
      <c r="C940" s="13"/>
      <c r="P940" s="13"/>
      <c r="U940" s="13"/>
    </row>
    <row r="941" spans="3:21" ht="15.75" customHeight="1" x14ac:dyDescent="0.35">
      <c r="C941" s="13"/>
      <c r="P941" s="13"/>
      <c r="U941" s="13"/>
    </row>
    <row r="942" spans="3:21" ht="15.75" customHeight="1" x14ac:dyDescent="0.35">
      <c r="C942" s="13"/>
      <c r="P942" s="13"/>
      <c r="U942" s="13"/>
    </row>
    <row r="943" spans="3:21" ht="15.75" customHeight="1" x14ac:dyDescent="0.35">
      <c r="C943" s="13"/>
      <c r="P943" s="13"/>
      <c r="U943" s="13"/>
    </row>
    <row r="944" spans="3:21" ht="15.75" customHeight="1" x14ac:dyDescent="0.35">
      <c r="C944" s="13"/>
      <c r="P944" s="13"/>
      <c r="U944" s="13"/>
    </row>
    <row r="945" spans="3:21" ht="15.75" customHeight="1" x14ac:dyDescent="0.35">
      <c r="C945" s="13"/>
      <c r="P945" s="13"/>
      <c r="U945" s="13"/>
    </row>
    <row r="946" spans="3:21" ht="15.75" customHeight="1" x14ac:dyDescent="0.35">
      <c r="C946" s="13"/>
      <c r="P946" s="13"/>
      <c r="U946" s="13"/>
    </row>
    <row r="947" spans="3:21" ht="15.75" customHeight="1" x14ac:dyDescent="0.35">
      <c r="C947" s="13"/>
      <c r="P947" s="13"/>
      <c r="U947" s="13"/>
    </row>
    <row r="948" spans="3:21" ht="15.75" customHeight="1" x14ac:dyDescent="0.35">
      <c r="C948" s="13"/>
      <c r="P948" s="13"/>
      <c r="U948" s="13"/>
    </row>
    <row r="949" spans="3:21" ht="15.75" customHeight="1" x14ac:dyDescent="0.35">
      <c r="C949" s="13"/>
      <c r="P949" s="13"/>
      <c r="U949" s="13"/>
    </row>
    <row r="950" spans="3:21" ht="15.75" customHeight="1" x14ac:dyDescent="0.35">
      <c r="C950" s="13"/>
      <c r="P950" s="13"/>
      <c r="U950" s="13"/>
    </row>
    <row r="951" spans="3:21" ht="15.75" customHeight="1" x14ac:dyDescent="0.35">
      <c r="C951" s="13"/>
      <c r="P951" s="13"/>
      <c r="U951" s="13"/>
    </row>
    <row r="952" spans="3:21" ht="15.75" customHeight="1" x14ac:dyDescent="0.35">
      <c r="C952" s="13"/>
      <c r="P952" s="13"/>
      <c r="U952" s="13"/>
    </row>
    <row r="953" spans="3:21" ht="15.75" customHeight="1" x14ac:dyDescent="0.35">
      <c r="C953" s="13"/>
      <c r="P953" s="13"/>
      <c r="U953" s="13"/>
    </row>
    <row r="954" spans="3:21" ht="15.75" customHeight="1" x14ac:dyDescent="0.35">
      <c r="C954" s="13"/>
      <c r="P954" s="13"/>
      <c r="U954" s="13"/>
    </row>
    <row r="955" spans="3:21" ht="15.75" customHeight="1" x14ac:dyDescent="0.35">
      <c r="C955" s="13"/>
      <c r="P955" s="13"/>
      <c r="U955" s="13"/>
    </row>
    <row r="956" spans="3:21" ht="15.75" customHeight="1" x14ac:dyDescent="0.35">
      <c r="C956" s="13"/>
      <c r="P956" s="13"/>
      <c r="U956" s="13"/>
    </row>
    <row r="957" spans="3:21" ht="15.75" customHeight="1" x14ac:dyDescent="0.35">
      <c r="C957" s="13"/>
      <c r="P957" s="13"/>
      <c r="U957" s="13"/>
    </row>
    <row r="958" spans="3:21" ht="15.75" customHeight="1" x14ac:dyDescent="0.35">
      <c r="C958" s="13"/>
      <c r="P958" s="13"/>
      <c r="U958" s="13"/>
    </row>
    <row r="959" spans="3:21" ht="15.75" customHeight="1" x14ac:dyDescent="0.35">
      <c r="C959" s="13"/>
      <c r="P959" s="13"/>
      <c r="U959" s="13"/>
    </row>
    <row r="960" spans="3:21" ht="15.75" customHeight="1" x14ac:dyDescent="0.35">
      <c r="C960" s="13"/>
      <c r="P960" s="13"/>
      <c r="U960" s="13"/>
    </row>
    <row r="961" spans="3:21" ht="15.75" customHeight="1" x14ac:dyDescent="0.35">
      <c r="C961" s="13"/>
      <c r="P961" s="13"/>
      <c r="U961" s="13"/>
    </row>
    <row r="962" spans="3:21" ht="15.75" customHeight="1" x14ac:dyDescent="0.35">
      <c r="C962" s="13"/>
      <c r="P962" s="13"/>
      <c r="U962" s="13"/>
    </row>
    <row r="963" spans="3:21" ht="15.75" customHeight="1" x14ac:dyDescent="0.35">
      <c r="C963" s="13"/>
      <c r="P963" s="13"/>
      <c r="U963" s="13"/>
    </row>
    <row r="964" spans="3:21" ht="15.75" customHeight="1" x14ac:dyDescent="0.35">
      <c r="C964" s="13"/>
      <c r="P964" s="13"/>
      <c r="U964" s="13"/>
    </row>
    <row r="965" spans="3:21" ht="15.75" customHeight="1" x14ac:dyDescent="0.35">
      <c r="C965" s="13"/>
      <c r="P965" s="13"/>
      <c r="U965" s="13"/>
    </row>
    <row r="966" spans="3:21" ht="15.75" customHeight="1" x14ac:dyDescent="0.35">
      <c r="C966" s="13"/>
      <c r="P966" s="13"/>
      <c r="U966" s="13"/>
    </row>
    <row r="967" spans="3:21" ht="15.75" customHeight="1" x14ac:dyDescent="0.35">
      <c r="C967" s="13"/>
      <c r="P967" s="13"/>
      <c r="U967" s="13"/>
    </row>
    <row r="968" spans="3:21" ht="15.75" customHeight="1" x14ac:dyDescent="0.35">
      <c r="C968" s="13"/>
      <c r="P968" s="13"/>
      <c r="U968" s="13"/>
    </row>
    <row r="969" spans="3:21" ht="15.75" customHeight="1" x14ac:dyDescent="0.35">
      <c r="C969" s="13"/>
      <c r="P969" s="13"/>
      <c r="U969" s="13"/>
    </row>
    <row r="970" spans="3:21" ht="15.75" customHeight="1" x14ac:dyDescent="0.35">
      <c r="C970" s="13"/>
      <c r="P970" s="13"/>
      <c r="U970" s="13"/>
    </row>
    <row r="971" spans="3:21" ht="15.75" customHeight="1" x14ac:dyDescent="0.35">
      <c r="C971" s="13"/>
      <c r="P971" s="13"/>
      <c r="U971" s="13"/>
    </row>
    <row r="972" spans="3:21" ht="15.75" customHeight="1" x14ac:dyDescent="0.35">
      <c r="C972" s="13"/>
      <c r="P972" s="13"/>
      <c r="U972" s="13"/>
    </row>
    <row r="973" spans="3:21" ht="15.75" customHeight="1" x14ac:dyDescent="0.35">
      <c r="C973" s="13"/>
      <c r="P973" s="13"/>
      <c r="U973" s="13"/>
    </row>
    <row r="974" spans="3:21" ht="15.75" customHeight="1" x14ac:dyDescent="0.35">
      <c r="C974" s="13"/>
      <c r="P974" s="13"/>
      <c r="U974" s="13"/>
    </row>
    <row r="975" spans="3:21" ht="15.75" customHeight="1" x14ac:dyDescent="0.35">
      <c r="C975" s="13"/>
      <c r="P975" s="13"/>
      <c r="U975" s="13"/>
    </row>
    <row r="976" spans="3:21" ht="15.75" customHeight="1" x14ac:dyDescent="0.35">
      <c r="C976" s="13"/>
      <c r="P976" s="13"/>
      <c r="U976" s="13"/>
    </row>
    <row r="977" spans="3:21" ht="15.75" customHeight="1" x14ac:dyDescent="0.35">
      <c r="C977" s="13"/>
      <c r="P977" s="13"/>
      <c r="U977" s="13"/>
    </row>
    <row r="978" spans="3:21" ht="15.75" customHeight="1" x14ac:dyDescent="0.35">
      <c r="C978" s="13"/>
      <c r="P978" s="13"/>
      <c r="U978" s="13"/>
    </row>
    <row r="979" spans="3:21" ht="15.75" customHeight="1" x14ac:dyDescent="0.35">
      <c r="C979" s="13"/>
      <c r="P979" s="13"/>
      <c r="U979" s="13"/>
    </row>
    <row r="980" spans="3:21" ht="15.75" customHeight="1" x14ac:dyDescent="0.35">
      <c r="C980" s="13"/>
      <c r="P980" s="13"/>
      <c r="U980" s="13"/>
    </row>
    <row r="981" spans="3:21" ht="15.75" customHeight="1" x14ac:dyDescent="0.35">
      <c r="C981" s="13"/>
      <c r="P981" s="13"/>
      <c r="U981" s="13"/>
    </row>
    <row r="982" spans="3:21" ht="15.75" customHeight="1" x14ac:dyDescent="0.35">
      <c r="C982" s="13"/>
      <c r="P982" s="13"/>
      <c r="U982" s="13"/>
    </row>
    <row r="983" spans="3:21" ht="15.75" customHeight="1" x14ac:dyDescent="0.35">
      <c r="C983" s="13"/>
      <c r="P983" s="13"/>
      <c r="U983" s="13"/>
    </row>
    <row r="984" spans="3:21" ht="15.75" customHeight="1" x14ac:dyDescent="0.35">
      <c r="C984" s="13"/>
      <c r="P984" s="13"/>
      <c r="U984" s="13"/>
    </row>
    <row r="985" spans="3:21" ht="15.75" customHeight="1" x14ac:dyDescent="0.35">
      <c r="C985" s="13"/>
      <c r="P985" s="13"/>
      <c r="U985" s="13"/>
    </row>
    <row r="986" spans="3:21" ht="15.75" customHeight="1" x14ac:dyDescent="0.35">
      <c r="C986" s="13"/>
      <c r="P986" s="13"/>
      <c r="U986" s="13"/>
    </row>
    <row r="987" spans="3:21" ht="15.75" customHeight="1" x14ac:dyDescent="0.35">
      <c r="C987" s="13"/>
      <c r="P987" s="13"/>
      <c r="U987" s="13"/>
    </row>
    <row r="988" spans="3:21" ht="15.75" customHeight="1" x14ac:dyDescent="0.35">
      <c r="C988" s="13"/>
      <c r="P988" s="13"/>
      <c r="U988" s="13"/>
    </row>
    <row r="989" spans="3:21" ht="15.75" customHeight="1" x14ac:dyDescent="0.35">
      <c r="C989" s="13"/>
      <c r="P989" s="13"/>
      <c r="U989" s="13"/>
    </row>
    <row r="990" spans="3:21" ht="15.75" customHeight="1" x14ac:dyDescent="0.35">
      <c r="C990" s="13"/>
      <c r="P990" s="13"/>
      <c r="U990" s="13"/>
    </row>
    <row r="991" spans="3:21" ht="15.75" customHeight="1" x14ac:dyDescent="0.35">
      <c r="C991" s="13"/>
      <c r="P991" s="13"/>
      <c r="U991" s="13"/>
    </row>
    <row r="992" spans="3:21" ht="15.75" customHeight="1" x14ac:dyDescent="0.35">
      <c r="C992" s="13"/>
      <c r="P992" s="13"/>
      <c r="U992" s="13"/>
    </row>
    <row r="993" spans="3:21" ht="15.75" customHeight="1" x14ac:dyDescent="0.35">
      <c r="C993" s="13"/>
      <c r="P993" s="13"/>
      <c r="U993" s="13"/>
    </row>
    <row r="994" spans="3:21" ht="15.75" customHeight="1" x14ac:dyDescent="0.35">
      <c r="C994" s="13"/>
      <c r="P994" s="13"/>
      <c r="U994" s="13"/>
    </row>
    <row r="995" spans="3:21" ht="15.75" customHeight="1" x14ac:dyDescent="0.35">
      <c r="C995" s="13"/>
      <c r="P995" s="13"/>
      <c r="U995" s="13"/>
    </row>
    <row r="996" spans="3:21" ht="15.75" customHeight="1" x14ac:dyDescent="0.35">
      <c r="C996" s="13"/>
      <c r="P996" s="13"/>
      <c r="U996" s="13"/>
    </row>
    <row r="997" spans="3:21" ht="15.75" customHeight="1" x14ac:dyDescent="0.35">
      <c r="C997" s="13"/>
      <c r="P997" s="13"/>
      <c r="U997" s="13"/>
    </row>
    <row r="998" spans="3:21" ht="15.75" customHeight="1" x14ac:dyDescent="0.35">
      <c r="C998" s="13"/>
      <c r="P998" s="13"/>
      <c r="U998" s="13"/>
    </row>
    <row r="999" spans="3:21" ht="15.75" customHeight="1" x14ac:dyDescent="0.35">
      <c r="C999" s="13"/>
      <c r="P999" s="13"/>
      <c r="U999" s="13"/>
    </row>
    <row r="1000" spans="3:21" ht="15.75" customHeight="1" x14ac:dyDescent="0.35">
      <c r="C1000" s="13"/>
      <c r="P1000" s="13"/>
      <c r="U1000" s="13"/>
    </row>
  </sheetData>
  <pageMargins left="0.7" right="0.7" top="0.75" bottom="0.75" header="0" footer="0"/>
  <pageSetup orientation="landscape"/>
  <drawing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workbookViewId="0"/>
  </sheetViews>
  <sheetFormatPr defaultColWidth="14.453125" defaultRowHeight="15" customHeight="1" x14ac:dyDescent="0.35"/>
  <cols>
    <col min="1" max="1" width="8.7265625" customWidth="1"/>
    <col min="2" max="2" width="9.08984375" customWidth="1"/>
    <col min="3" max="3" width="56.54296875" customWidth="1"/>
    <col min="4" max="4" width="13.81640625" customWidth="1"/>
    <col min="5" max="6" width="18.81640625" customWidth="1"/>
    <col min="7" max="7" width="14.08984375" customWidth="1"/>
    <col min="8" max="8" width="31.54296875" customWidth="1"/>
    <col min="9" max="9" width="12.08984375" customWidth="1"/>
    <col min="10" max="10" width="18.08984375" customWidth="1"/>
    <col min="11" max="26" width="8.7265625" customWidth="1"/>
  </cols>
  <sheetData>
    <row r="1" spans="1:26" ht="14.25" customHeight="1" x14ac:dyDescent="0.35">
      <c r="E1" s="13"/>
    </row>
    <row r="2" spans="1:26" ht="14.25" customHeight="1" x14ac:dyDescent="0.35">
      <c r="E2" s="13"/>
    </row>
    <row r="3" spans="1:26" ht="14.25" customHeight="1" x14ac:dyDescent="0.35">
      <c r="E3" s="13"/>
    </row>
    <row r="4" spans="1:26" ht="14.25" customHeight="1" x14ac:dyDescent="0.35">
      <c r="C4" s="11"/>
      <c r="E4" s="13"/>
    </row>
    <row r="5" spans="1:26" ht="14.25" customHeight="1" x14ac:dyDescent="0.35">
      <c r="E5" s="13"/>
    </row>
    <row r="6" spans="1:26" ht="14.25" customHeight="1" x14ac:dyDescent="0.35">
      <c r="E6" s="13"/>
    </row>
    <row r="7" spans="1:26" ht="14.25" customHeight="1" x14ac:dyDescent="0.35">
      <c r="C7" s="309" t="s">
        <v>1619</v>
      </c>
      <c r="D7" s="310"/>
      <c r="E7" s="310"/>
      <c r="F7" s="37"/>
      <c r="G7" s="37"/>
    </row>
    <row r="8" spans="1:26" ht="14.25" customHeight="1" x14ac:dyDescent="0.35">
      <c r="E8" s="13"/>
    </row>
    <row r="9" spans="1:26" ht="14.25" customHeight="1" x14ac:dyDescent="0.35">
      <c r="A9" s="37"/>
      <c r="B9" s="37"/>
      <c r="C9" s="37" t="s">
        <v>1620</v>
      </c>
      <c r="D9" s="37" t="s">
        <v>1621</v>
      </c>
      <c r="E9" s="17" t="s">
        <v>1622</v>
      </c>
      <c r="F9" s="37"/>
      <c r="G9" s="37"/>
      <c r="H9" s="37" t="s">
        <v>1623</v>
      </c>
      <c r="I9" s="37" t="s">
        <v>1621</v>
      </c>
      <c r="J9" s="37" t="s">
        <v>1622</v>
      </c>
      <c r="K9" s="37"/>
      <c r="L9" s="37"/>
      <c r="M9" s="37"/>
      <c r="N9" s="37"/>
      <c r="O9" s="37"/>
      <c r="P9" s="37"/>
      <c r="Q9" s="37"/>
      <c r="R9" s="37"/>
      <c r="S9" s="37"/>
      <c r="T9" s="37"/>
      <c r="U9" s="37"/>
      <c r="V9" s="37"/>
      <c r="W9" s="37"/>
      <c r="X9" s="37"/>
      <c r="Y9" s="37"/>
      <c r="Z9" s="37"/>
    </row>
    <row r="10" spans="1:26" ht="14.25" customHeight="1" x14ac:dyDescent="0.35">
      <c r="A10" s="2"/>
      <c r="B10" s="2"/>
      <c r="C10" s="2" t="s">
        <v>77</v>
      </c>
      <c r="D10" s="2">
        <v>0</v>
      </c>
      <c r="E10" s="32">
        <v>25</v>
      </c>
      <c r="F10" s="2"/>
      <c r="G10" s="2"/>
      <c r="H10" s="3" t="s">
        <v>84</v>
      </c>
      <c r="I10" s="11">
        <v>317.15309007352937</v>
      </c>
      <c r="J10" s="11">
        <v>-89</v>
      </c>
      <c r="K10" s="2"/>
      <c r="L10" s="2"/>
      <c r="M10" s="2"/>
      <c r="N10" s="2"/>
      <c r="O10" s="2"/>
      <c r="P10" s="2"/>
      <c r="Q10" s="2"/>
      <c r="R10" s="2"/>
      <c r="S10" s="2"/>
      <c r="T10" s="2"/>
      <c r="U10" s="2"/>
      <c r="V10" s="2"/>
      <c r="W10" s="2"/>
      <c r="X10" s="2"/>
      <c r="Y10" s="2"/>
      <c r="Z10" s="2"/>
    </row>
    <row r="11" spans="1:26" ht="14.25" customHeight="1" x14ac:dyDescent="0.35">
      <c r="C11" s="11" t="s">
        <v>161</v>
      </c>
      <c r="D11" s="11">
        <v>4.8835720901023993</v>
      </c>
      <c r="E11" s="13">
        <v>150</v>
      </c>
      <c r="H11" s="38" t="s">
        <v>502</v>
      </c>
      <c r="I11" s="2">
        <v>0</v>
      </c>
      <c r="J11" s="32">
        <v>400</v>
      </c>
    </row>
    <row r="12" spans="1:26" ht="14.25" customHeight="1" x14ac:dyDescent="0.35">
      <c r="C12" s="11" t="s">
        <v>180</v>
      </c>
      <c r="D12" s="11">
        <v>6.4051865503297334</v>
      </c>
      <c r="E12" s="13">
        <v>145</v>
      </c>
      <c r="H12" s="38" t="s">
        <v>502</v>
      </c>
      <c r="I12" s="2">
        <v>0</v>
      </c>
      <c r="J12" s="32">
        <v>400</v>
      </c>
    </row>
    <row r="13" spans="1:26" ht="14.25" customHeight="1" x14ac:dyDescent="0.35">
      <c r="C13" s="11" t="s">
        <v>187</v>
      </c>
      <c r="D13" s="11">
        <v>41.673971691771428</v>
      </c>
      <c r="E13" s="13">
        <v>135</v>
      </c>
      <c r="H13" s="3" t="s">
        <v>704</v>
      </c>
      <c r="I13" s="11">
        <v>100.56150838872334</v>
      </c>
      <c r="J13" s="13">
        <v>45</v>
      </c>
    </row>
    <row r="14" spans="1:26" ht="14.25" customHeight="1" x14ac:dyDescent="0.35">
      <c r="C14" s="11" t="s">
        <v>203</v>
      </c>
      <c r="D14" s="11">
        <v>15.138263152090097</v>
      </c>
      <c r="E14" s="13">
        <v>121</v>
      </c>
      <c r="H14" s="39" t="s">
        <v>1624</v>
      </c>
      <c r="I14" s="11">
        <v>101.19442100000001</v>
      </c>
      <c r="J14" s="13">
        <v>100</v>
      </c>
    </row>
    <row r="15" spans="1:26" ht="14.25" customHeight="1" x14ac:dyDescent="0.35">
      <c r="A15" s="2"/>
      <c r="B15" s="2"/>
      <c r="C15" s="2" t="s">
        <v>298</v>
      </c>
      <c r="D15" s="2">
        <v>0</v>
      </c>
      <c r="E15" s="32">
        <v>25</v>
      </c>
      <c r="F15" s="2"/>
      <c r="G15" s="2"/>
      <c r="H15" s="39" t="s">
        <v>1624</v>
      </c>
      <c r="I15" s="11">
        <v>9.3371410869999991</v>
      </c>
      <c r="J15" s="13">
        <v>100</v>
      </c>
      <c r="K15" s="2"/>
      <c r="L15" s="2"/>
      <c r="M15" s="2"/>
      <c r="N15" s="2"/>
      <c r="O15" s="2"/>
      <c r="P15" s="2"/>
      <c r="Q15" s="2"/>
      <c r="R15" s="2"/>
      <c r="S15" s="2"/>
      <c r="T15" s="2"/>
      <c r="U15" s="2"/>
      <c r="V15" s="2"/>
      <c r="W15" s="2"/>
      <c r="X15" s="2"/>
      <c r="Y15" s="2"/>
      <c r="Z15" s="2"/>
    </row>
    <row r="16" spans="1:26" ht="14.25" customHeight="1" x14ac:dyDescent="0.35">
      <c r="A16" s="2"/>
      <c r="B16" s="2"/>
      <c r="C16" s="2" t="s">
        <v>298</v>
      </c>
      <c r="D16" s="2">
        <v>0</v>
      </c>
      <c r="E16" s="32">
        <v>25</v>
      </c>
      <c r="F16" s="2"/>
      <c r="G16" s="2"/>
      <c r="H16" s="39" t="s">
        <v>780</v>
      </c>
      <c r="I16" s="11">
        <v>579.85851960000002</v>
      </c>
      <c r="J16" s="13">
        <v>566</v>
      </c>
      <c r="K16" s="2"/>
      <c r="L16" s="2"/>
      <c r="M16" s="2"/>
      <c r="N16" s="2"/>
      <c r="O16" s="2"/>
      <c r="P16" s="2"/>
      <c r="Q16" s="2"/>
      <c r="R16" s="2"/>
      <c r="S16" s="2"/>
      <c r="T16" s="2"/>
      <c r="U16" s="2"/>
      <c r="V16" s="2"/>
      <c r="W16" s="2"/>
      <c r="X16" s="2"/>
      <c r="Y16" s="2"/>
      <c r="Z16" s="2"/>
    </row>
    <row r="17" spans="1:26" ht="14.25" customHeight="1" x14ac:dyDescent="0.35">
      <c r="A17" s="2"/>
      <c r="B17" s="2"/>
      <c r="C17" s="2" t="s">
        <v>298</v>
      </c>
      <c r="D17" s="2">
        <v>0</v>
      </c>
      <c r="E17" s="32">
        <v>25</v>
      </c>
      <c r="F17" s="2"/>
      <c r="G17" s="2"/>
      <c r="H17" s="39" t="s">
        <v>788</v>
      </c>
      <c r="I17" s="11">
        <v>186.8702691</v>
      </c>
      <c r="J17" s="13">
        <v>398</v>
      </c>
      <c r="K17" s="2"/>
      <c r="L17" s="2"/>
      <c r="M17" s="2"/>
      <c r="N17" s="2"/>
      <c r="O17" s="2"/>
      <c r="P17" s="2"/>
      <c r="Q17" s="2"/>
      <c r="R17" s="2"/>
      <c r="S17" s="2"/>
      <c r="T17" s="2"/>
      <c r="U17" s="2"/>
      <c r="V17" s="2"/>
      <c r="W17" s="2"/>
      <c r="X17" s="2"/>
      <c r="Y17" s="2"/>
      <c r="Z17" s="2"/>
    </row>
    <row r="18" spans="1:26" ht="14.25" customHeight="1" x14ac:dyDescent="0.35">
      <c r="A18" s="2"/>
      <c r="B18" s="2"/>
      <c r="C18" s="2" t="s">
        <v>298</v>
      </c>
      <c r="D18" s="2">
        <v>0</v>
      </c>
      <c r="E18" s="32">
        <v>25</v>
      </c>
      <c r="F18" s="2"/>
      <c r="G18" s="2"/>
      <c r="H18" s="2"/>
      <c r="I18" s="2"/>
      <c r="J18" s="2"/>
      <c r="K18" s="2"/>
      <c r="L18" s="2"/>
      <c r="M18" s="2"/>
      <c r="N18" s="2"/>
      <c r="O18" s="2"/>
      <c r="P18" s="2"/>
      <c r="Q18" s="2"/>
      <c r="R18" s="2"/>
      <c r="S18" s="2"/>
      <c r="T18" s="2"/>
      <c r="U18" s="2"/>
      <c r="V18" s="2"/>
      <c r="W18" s="2"/>
      <c r="X18" s="2"/>
      <c r="Y18" s="2"/>
      <c r="Z18" s="2"/>
    </row>
    <row r="19" spans="1:26" ht="14.25" customHeight="1" x14ac:dyDescent="0.35">
      <c r="C19" s="11" t="s">
        <v>350</v>
      </c>
      <c r="D19" s="11">
        <v>14.291013146783788</v>
      </c>
      <c r="E19" s="13">
        <v>93</v>
      </c>
      <c r="H19" s="39" t="s">
        <v>1625</v>
      </c>
      <c r="I19" s="37" t="s">
        <v>1621</v>
      </c>
      <c r="J19" s="37" t="s">
        <v>1626</v>
      </c>
    </row>
    <row r="20" spans="1:26" ht="14.25" customHeight="1" x14ac:dyDescent="0.35">
      <c r="C20" s="11" t="s">
        <v>409</v>
      </c>
      <c r="D20" s="11">
        <v>11.01010202868</v>
      </c>
      <c r="E20" s="13">
        <v>538</v>
      </c>
      <c r="H20" s="39" t="s">
        <v>1627</v>
      </c>
      <c r="I20" s="11">
        <f>I10</f>
        <v>317.15309007352937</v>
      </c>
      <c r="J20" s="29">
        <f t="shared" ref="J20:J22" si="0">I20/$I$23</f>
        <v>0.2449105986624647</v>
      </c>
    </row>
    <row r="21" spans="1:26" ht="14.25" customHeight="1" x14ac:dyDescent="0.35">
      <c r="C21" s="11" t="s">
        <v>437</v>
      </c>
      <c r="D21" s="11">
        <v>26.587666040000002</v>
      </c>
      <c r="E21" s="13">
        <v>150</v>
      </c>
      <c r="H21" s="39" t="s">
        <v>1628</v>
      </c>
      <c r="I21" s="11">
        <f>I13+I14+I15+I16</f>
        <v>790.9515900757234</v>
      </c>
      <c r="J21" s="29">
        <f t="shared" si="0"/>
        <v>0.61078524378735566</v>
      </c>
    </row>
    <row r="22" spans="1:26" ht="14.25" customHeight="1" x14ac:dyDescent="0.35">
      <c r="C22" s="11" t="s">
        <v>458</v>
      </c>
      <c r="D22" s="11">
        <v>2.4183360000000001E-2</v>
      </c>
      <c r="E22" s="13">
        <v>25</v>
      </c>
      <c r="H22" s="39" t="s">
        <v>1629</v>
      </c>
      <c r="I22" s="11">
        <f>I17</f>
        <v>186.8702691</v>
      </c>
      <c r="J22" s="29">
        <f t="shared" si="0"/>
        <v>0.14430415755017958</v>
      </c>
    </row>
    <row r="23" spans="1:26" ht="14.25" customHeight="1" x14ac:dyDescent="0.35">
      <c r="C23" s="11" t="s">
        <v>458</v>
      </c>
      <c r="D23" s="11">
        <v>2.6870400000000008E-3</v>
      </c>
      <c r="E23" s="13">
        <v>25</v>
      </c>
      <c r="H23" s="39" t="s">
        <v>1567</v>
      </c>
      <c r="I23" s="11">
        <f>SUM(I20:I22)</f>
        <v>1294.9749492492529</v>
      </c>
    </row>
    <row r="24" spans="1:26" ht="14.25" customHeight="1" x14ac:dyDescent="0.35">
      <c r="C24" s="11" t="s">
        <v>538</v>
      </c>
      <c r="D24" s="11">
        <v>2.4</v>
      </c>
      <c r="E24" s="13">
        <v>500</v>
      </c>
    </row>
    <row r="25" spans="1:26" ht="14.25" customHeight="1" x14ac:dyDescent="0.35">
      <c r="C25" s="11" t="s">
        <v>610</v>
      </c>
      <c r="D25" s="11">
        <v>88.351264045954579</v>
      </c>
      <c r="E25" s="13">
        <v>190</v>
      </c>
      <c r="H25" s="17" t="s">
        <v>1630</v>
      </c>
      <c r="I25" s="37" t="s">
        <v>1621</v>
      </c>
    </row>
    <row r="26" spans="1:26" ht="14.25" customHeight="1" x14ac:dyDescent="0.35">
      <c r="C26" s="11" t="s">
        <v>628</v>
      </c>
      <c r="D26" s="11">
        <v>171.58500000000004</v>
      </c>
      <c r="E26" s="13">
        <v>190</v>
      </c>
      <c r="H26" s="13" t="s">
        <v>1577</v>
      </c>
      <c r="I26" s="11">
        <f>I10+I13</f>
        <v>417.7145984622527</v>
      </c>
    </row>
    <row r="27" spans="1:26" ht="14.25" customHeight="1" x14ac:dyDescent="0.35">
      <c r="C27" s="11" t="s">
        <v>628</v>
      </c>
      <c r="D27" s="11">
        <v>30.533549999999995</v>
      </c>
      <c r="E27" s="13">
        <v>190</v>
      </c>
      <c r="H27" s="13" t="s">
        <v>1578</v>
      </c>
      <c r="I27" s="11">
        <f>I14+I15</f>
        <v>110.531562087</v>
      </c>
    </row>
    <row r="28" spans="1:26" ht="14.25" customHeight="1" x14ac:dyDescent="0.35">
      <c r="C28" s="11" t="s">
        <v>643</v>
      </c>
      <c r="D28" s="11">
        <v>79.055999999999997</v>
      </c>
      <c r="E28" s="13">
        <v>225</v>
      </c>
      <c r="H28" s="13" t="s">
        <v>1579</v>
      </c>
      <c r="I28" s="11">
        <f>I16+I17</f>
        <v>766.7287887</v>
      </c>
    </row>
    <row r="29" spans="1:26" ht="14.25" customHeight="1" x14ac:dyDescent="0.35">
      <c r="C29" s="11" t="s">
        <v>628</v>
      </c>
      <c r="D29" s="11">
        <v>60.140900000000009</v>
      </c>
      <c r="E29" s="13">
        <v>190</v>
      </c>
      <c r="H29" s="13" t="s">
        <v>1567</v>
      </c>
      <c r="I29" s="11">
        <f>I26+I27+I28</f>
        <v>1294.9749492492526</v>
      </c>
    </row>
    <row r="30" spans="1:26" ht="14.25" customHeight="1" x14ac:dyDescent="0.35">
      <c r="C30" s="11" t="s">
        <v>409</v>
      </c>
      <c r="D30" s="11">
        <v>216.634083</v>
      </c>
      <c r="E30" s="13">
        <v>200</v>
      </c>
    </row>
    <row r="31" spans="1:26" ht="14.25" customHeight="1" x14ac:dyDescent="0.35">
      <c r="C31" s="11" t="s">
        <v>437</v>
      </c>
      <c r="D31" s="11">
        <v>4.0750302310000004</v>
      </c>
      <c r="E31" s="13">
        <v>25</v>
      </c>
    </row>
    <row r="32" spans="1:26" ht="14.25" customHeight="1" x14ac:dyDescent="0.35">
      <c r="C32" s="11" t="s">
        <v>769</v>
      </c>
      <c r="D32" s="11">
        <v>2.573255107</v>
      </c>
      <c r="E32" s="13">
        <v>25</v>
      </c>
    </row>
    <row r="33" spans="1:26" ht="14.25" customHeight="1" x14ac:dyDescent="0.35">
      <c r="C33" s="11" t="s">
        <v>1631</v>
      </c>
      <c r="D33" s="11">
        <v>12.733029309999999</v>
      </c>
      <c r="E33" s="13">
        <v>80</v>
      </c>
    </row>
    <row r="34" spans="1:26" ht="14.25" customHeight="1" x14ac:dyDescent="0.35">
      <c r="C34" s="11" t="s">
        <v>726</v>
      </c>
      <c r="D34" s="11">
        <v>0.30848898499999999</v>
      </c>
      <c r="E34" s="13">
        <v>127.5</v>
      </c>
    </row>
    <row r="35" spans="1:26" ht="14.25" customHeight="1" x14ac:dyDescent="0.35">
      <c r="C35" s="13" t="s">
        <v>1567</v>
      </c>
      <c r="D35" s="11">
        <f>SUM(D10:D34)</f>
        <v>788.40724577871219</v>
      </c>
      <c r="E35" s="13"/>
    </row>
    <row r="36" spans="1:26" ht="14.25" customHeight="1" x14ac:dyDescent="0.35">
      <c r="E36" s="13"/>
    </row>
    <row r="37" spans="1:26" ht="14.25" customHeight="1" x14ac:dyDescent="0.35">
      <c r="A37" s="37"/>
      <c r="B37" s="37"/>
      <c r="C37" s="17" t="s">
        <v>1632</v>
      </c>
      <c r="D37" s="37" t="s">
        <v>1621</v>
      </c>
      <c r="E37" s="17" t="s">
        <v>1626</v>
      </c>
      <c r="F37" s="37"/>
      <c r="G37" s="37"/>
      <c r="H37" s="37"/>
      <c r="I37" s="37"/>
      <c r="J37" s="37"/>
      <c r="K37" s="37"/>
      <c r="L37" s="37"/>
      <c r="M37" s="37"/>
      <c r="N37" s="37"/>
      <c r="O37" s="37"/>
      <c r="P37" s="37"/>
      <c r="Q37" s="37"/>
      <c r="R37" s="37"/>
      <c r="S37" s="37"/>
      <c r="T37" s="37"/>
      <c r="U37" s="37"/>
      <c r="V37" s="37"/>
      <c r="W37" s="37"/>
      <c r="X37" s="37"/>
      <c r="Y37" s="37"/>
      <c r="Z37" s="37"/>
    </row>
    <row r="38" spans="1:26" ht="14.25" customHeight="1" x14ac:dyDescent="0.35">
      <c r="C38" s="13" t="s">
        <v>1633</v>
      </c>
      <c r="D38" s="11">
        <f>D12+D13</f>
        <v>48.079158242101158</v>
      </c>
      <c r="E38" s="40">
        <f t="shared" ref="E38:E45" si="1">D38/$D$46</f>
        <v>6.098264380436183E-2</v>
      </c>
    </row>
    <row r="39" spans="1:26" ht="14.25" customHeight="1" x14ac:dyDescent="0.35">
      <c r="C39" s="13" t="s">
        <v>77</v>
      </c>
      <c r="D39" s="11">
        <f>D34</f>
        <v>0.30848898499999999</v>
      </c>
      <c r="E39" s="40">
        <f t="shared" si="1"/>
        <v>3.9128126568053605E-4</v>
      </c>
    </row>
    <row r="40" spans="1:26" ht="14.25" customHeight="1" x14ac:dyDescent="0.35">
      <c r="C40" s="13" t="s">
        <v>1634</v>
      </c>
      <c r="D40" s="11">
        <f>D22+D23</f>
        <v>2.6870400000000003E-2</v>
      </c>
      <c r="E40" s="40">
        <f t="shared" si="1"/>
        <v>3.4081878551813698E-5</v>
      </c>
    </row>
    <row r="41" spans="1:26" ht="14.25" customHeight="1" x14ac:dyDescent="0.35">
      <c r="C41" s="13" t="s">
        <v>1631</v>
      </c>
      <c r="D41" s="11">
        <v>12.733029309999999</v>
      </c>
      <c r="E41" s="40">
        <f t="shared" si="1"/>
        <v>1.6150320000450462E-2</v>
      </c>
    </row>
    <row r="42" spans="1:26" ht="14.25" customHeight="1" x14ac:dyDescent="0.35">
      <c r="C42" s="13" t="s">
        <v>1635</v>
      </c>
      <c r="D42" s="11">
        <f>D26+D27+D29</f>
        <v>262.25945000000002</v>
      </c>
      <c r="E42" s="40">
        <f t="shared" si="1"/>
        <v>0.33264464704527869</v>
      </c>
    </row>
    <row r="43" spans="1:26" ht="14.25" customHeight="1" x14ac:dyDescent="0.35">
      <c r="C43" s="13" t="s">
        <v>1636</v>
      </c>
      <c r="D43" s="11">
        <f>D11+D20+D21+D24+D25+D30+D31+D32+D14</f>
        <v>371.65323569482712</v>
      </c>
      <c r="E43" s="40">
        <f t="shared" si="1"/>
        <v>0.47139753938682299</v>
      </c>
    </row>
    <row r="44" spans="1:26" ht="14.25" customHeight="1" x14ac:dyDescent="0.35">
      <c r="C44" s="13" t="s">
        <v>1637</v>
      </c>
      <c r="D44" s="11">
        <f>D28</f>
        <v>79.055999999999997</v>
      </c>
      <c r="E44" s="40">
        <f t="shared" si="1"/>
        <v>0.10027305104472518</v>
      </c>
    </row>
    <row r="45" spans="1:26" ht="14.25" customHeight="1" x14ac:dyDescent="0.35">
      <c r="C45" s="13" t="s">
        <v>1638</v>
      </c>
      <c r="D45" s="11">
        <f>D19</f>
        <v>14.291013146783788</v>
      </c>
      <c r="E45" s="40">
        <f t="shared" si="1"/>
        <v>1.8126435574128331E-2</v>
      </c>
    </row>
    <row r="46" spans="1:26" ht="14.25" customHeight="1" x14ac:dyDescent="0.35">
      <c r="C46" s="13" t="s">
        <v>1567</v>
      </c>
      <c r="D46" s="11">
        <f>SUM(D38:D45)</f>
        <v>788.40724577871219</v>
      </c>
      <c r="E46" s="13"/>
    </row>
    <row r="47" spans="1:26" ht="14.25" customHeight="1" x14ac:dyDescent="0.35">
      <c r="E47" s="13"/>
    </row>
    <row r="48" spans="1:26" ht="14.25" customHeight="1" x14ac:dyDescent="0.35">
      <c r="C48" s="17" t="s">
        <v>1630</v>
      </c>
      <c r="D48" s="37" t="s">
        <v>1621</v>
      </c>
      <c r="E48" s="17" t="s">
        <v>1626</v>
      </c>
    </row>
    <row r="49" spans="3:5" ht="14.25" customHeight="1" x14ac:dyDescent="0.35">
      <c r="C49" s="13" t="s">
        <v>1577</v>
      </c>
      <c r="D49" s="11">
        <f>D19+D22+D23+D31+D32+D33</f>
        <v>33.69919819478379</v>
      </c>
      <c r="E49" s="40">
        <f t="shared" ref="E49:E52" si="2">D49/$D$52</f>
        <v>4.2743389758549216E-2</v>
      </c>
    </row>
    <row r="50" spans="3:5" ht="14.25" customHeight="1" x14ac:dyDescent="0.35">
      <c r="C50" s="13" t="s">
        <v>1578</v>
      </c>
      <c r="D50" s="11">
        <f>D13+D14+D12+D34</f>
        <v>63.525910379191252</v>
      </c>
      <c r="E50" s="40">
        <f t="shared" si="2"/>
        <v>8.057499562481385E-2</v>
      </c>
    </row>
    <row r="51" spans="3:5" ht="14.25" customHeight="1" x14ac:dyDescent="0.35">
      <c r="C51" s="13" t="s">
        <v>1579</v>
      </c>
      <c r="D51" s="11">
        <f>D11+D20+D21+D24+D25+D26+D27+D28+D29+D30</f>
        <v>691.18213720473693</v>
      </c>
      <c r="E51" s="40">
        <f t="shared" si="2"/>
        <v>0.87668161461663696</v>
      </c>
    </row>
    <row r="52" spans="3:5" ht="14.25" customHeight="1" x14ac:dyDescent="0.35">
      <c r="C52" s="13" t="s">
        <v>1567</v>
      </c>
      <c r="D52" s="11">
        <f>D49+D50+D51</f>
        <v>788.40724577871197</v>
      </c>
      <c r="E52" s="40">
        <f t="shared" si="2"/>
        <v>1</v>
      </c>
    </row>
    <row r="53" spans="3:5" ht="14.25" customHeight="1" x14ac:dyDescent="0.35">
      <c r="E53" s="13"/>
    </row>
    <row r="54" spans="3:5" ht="14.25" customHeight="1" x14ac:dyDescent="0.35">
      <c r="E54" s="13"/>
    </row>
    <row r="55" spans="3:5" ht="14.25" customHeight="1" x14ac:dyDescent="0.35">
      <c r="E55" s="13"/>
    </row>
    <row r="56" spans="3:5" ht="14.25" customHeight="1" x14ac:dyDescent="0.35">
      <c r="E56" s="13"/>
    </row>
    <row r="57" spans="3:5" ht="14.25" customHeight="1" x14ac:dyDescent="0.35">
      <c r="E57" s="13"/>
    </row>
    <row r="58" spans="3:5" ht="14.25" customHeight="1" x14ac:dyDescent="0.35">
      <c r="E58" s="13"/>
    </row>
    <row r="59" spans="3:5" ht="14.25" customHeight="1" x14ac:dyDescent="0.35">
      <c r="E59" s="13"/>
    </row>
    <row r="60" spans="3:5" ht="14.25" customHeight="1" x14ac:dyDescent="0.35">
      <c r="E60" s="13"/>
    </row>
    <row r="61" spans="3:5" ht="14.25" customHeight="1" x14ac:dyDescent="0.35">
      <c r="E61" s="13"/>
    </row>
    <row r="62" spans="3:5" ht="14.25" customHeight="1" x14ac:dyDescent="0.35">
      <c r="E62" s="13"/>
    </row>
    <row r="63" spans="3:5" ht="14.25" customHeight="1" x14ac:dyDescent="0.35">
      <c r="E63" s="13"/>
    </row>
    <row r="64" spans="3:5" ht="14.25" customHeight="1" x14ac:dyDescent="0.35">
      <c r="E64" s="13"/>
    </row>
    <row r="65" spans="5:5" ht="14.25" customHeight="1" x14ac:dyDescent="0.35">
      <c r="E65" s="13"/>
    </row>
    <row r="66" spans="5:5" ht="14.25" customHeight="1" x14ac:dyDescent="0.35">
      <c r="E66" s="13"/>
    </row>
    <row r="67" spans="5:5" ht="14.25" customHeight="1" x14ac:dyDescent="0.35">
      <c r="E67" s="13"/>
    </row>
    <row r="68" spans="5:5" ht="14.25" customHeight="1" x14ac:dyDescent="0.35">
      <c r="E68" s="13"/>
    </row>
    <row r="69" spans="5:5" ht="14.25" customHeight="1" x14ac:dyDescent="0.35">
      <c r="E69" s="13"/>
    </row>
    <row r="70" spans="5:5" ht="14.25" customHeight="1" x14ac:dyDescent="0.35">
      <c r="E70" s="13"/>
    </row>
    <row r="71" spans="5:5" ht="14.25" customHeight="1" x14ac:dyDescent="0.35">
      <c r="E71" s="13"/>
    </row>
    <row r="72" spans="5:5" ht="14.25" customHeight="1" x14ac:dyDescent="0.35">
      <c r="E72" s="13"/>
    </row>
    <row r="73" spans="5:5" ht="14.25" customHeight="1" x14ac:dyDescent="0.35">
      <c r="E73" s="13"/>
    </row>
    <row r="74" spans="5:5" ht="14.25" customHeight="1" x14ac:dyDescent="0.35">
      <c r="E74" s="13"/>
    </row>
    <row r="75" spans="5:5" ht="14.25" customHeight="1" x14ac:dyDescent="0.35">
      <c r="E75" s="13"/>
    </row>
    <row r="76" spans="5:5" ht="14.25" customHeight="1" x14ac:dyDescent="0.35">
      <c r="E76" s="13"/>
    </row>
    <row r="77" spans="5:5" ht="14.25" customHeight="1" x14ac:dyDescent="0.35">
      <c r="E77" s="13"/>
    </row>
    <row r="78" spans="5:5" ht="14.25" customHeight="1" x14ac:dyDescent="0.35">
      <c r="E78" s="13"/>
    </row>
    <row r="79" spans="5:5" ht="14.25" customHeight="1" x14ac:dyDescent="0.35">
      <c r="E79" s="13"/>
    </row>
    <row r="80" spans="5:5" ht="14.25" customHeight="1" x14ac:dyDescent="0.35">
      <c r="E80" s="13"/>
    </row>
    <row r="81" spans="5:5" ht="14.25" customHeight="1" x14ac:dyDescent="0.35">
      <c r="E81" s="13"/>
    </row>
    <row r="82" spans="5:5" ht="14.25" customHeight="1" x14ac:dyDescent="0.35">
      <c r="E82" s="13"/>
    </row>
    <row r="83" spans="5:5" ht="14.25" customHeight="1" x14ac:dyDescent="0.35">
      <c r="E83" s="13"/>
    </row>
    <row r="84" spans="5:5" ht="14.25" customHeight="1" x14ac:dyDescent="0.35">
      <c r="E84" s="13"/>
    </row>
    <row r="85" spans="5:5" ht="14.25" customHeight="1" x14ac:dyDescent="0.35">
      <c r="E85" s="13"/>
    </row>
    <row r="86" spans="5:5" ht="14.25" customHeight="1" x14ac:dyDescent="0.35">
      <c r="E86" s="13"/>
    </row>
    <row r="87" spans="5:5" ht="14.25" customHeight="1" x14ac:dyDescent="0.35">
      <c r="E87" s="13"/>
    </row>
    <row r="88" spans="5:5" ht="14.25" customHeight="1" x14ac:dyDescent="0.35">
      <c r="E88" s="13"/>
    </row>
    <row r="89" spans="5:5" ht="14.25" customHeight="1" x14ac:dyDescent="0.35">
      <c r="E89" s="13"/>
    </row>
    <row r="90" spans="5:5" ht="14.25" customHeight="1" x14ac:dyDescent="0.35">
      <c r="E90" s="13"/>
    </row>
    <row r="91" spans="5:5" ht="14.25" customHeight="1" x14ac:dyDescent="0.35">
      <c r="E91" s="13"/>
    </row>
    <row r="92" spans="5:5" ht="14.25" customHeight="1" x14ac:dyDescent="0.35">
      <c r="E92" s="13"/>
    </row>
    <row r="93" spans="5:5" ht="14.25" customHeight="1" x14ac:dyDescent="0.35">
      <c r="E93" s="13"/>
    </row>
    <row r="94" spans="5:5" ht="14.25" customHeight="1" x14ac:dyDescent="0.35">
      <c r="E94" s="13"/>
    </row>
    <row r="95" spans="5:5" ht="14.25" customHeight="1" x14ac:dyDescent="0.35">
      <c r="E95" s="13"/>
    </row>
    <row r="96" spans="5:5" ht="14.25" customHeight="1" x14ac:dyDescent="0.35">
      <c r="E96" s="13"/>
    </row>
    <row r="97" spans="5:5" ht="14.25" customHeight="1" x14ac:dyDescent="0.35">
      <c r="E97" s="13"/>
    </row>
    <row r="98" spans="5:5" ht="14.25" customHeight="1" x14ac:dyDescent="0.35">
      <c r="E98" s="13"/>
    </row>
    <row r="99" spans="5:5" ht="14.25" customHeight="1" x14ac:dyDescent="0.35">
      <c r="E99" s="13"/>
    </row>
    <row r="100" spans="5:5" ht="14.25" customHeight="1" x14ac:dyDescent="0.35">
      <c r="E100" s="13"/>
    </row>
    <row r="101" spans="5:5" ht="14.25" customHeight="1" x14ac:dyDescent="0.35">
      <c r="E101" s="13"/>
    </row>
    <row r="102" spans="5:5" ht="14.25" customHeight="1" x14ac:dyDescent="0.35">
      <c r="E102" s="13"/>
    </row>
    <row r="103" spans="5:5" ht="14.25" customHeight="1" x14ac:dyDescent="0.35">
      <c r="E103" s="13"/>
    </row>
    <row r="104" spans="5:5" ht="14.25" customHeight="1" x14ac:dyDescent="0.35">
      <c r="E104" s="13"/>
    </row>
    <row r="105" spans="5:5" ht="14.25" customHeight="1" x14ac:dyDescent="0.35">
      <c r="E105" s="13"/>
    </row>
    <row r="106" spans="5:5" ht="14.25" customHeight="1" x14ac:dyDescent="0.35">
      <c r="E106" s="13"/>
    </row>
    <row r="107" spans="5:5" ht="14.25" customHeight="1" x14ac:dyDescent="0.35">
      <c r="E107" s="13"/>
    </row>
    <row r="108" spans="5:5" ht="14.25" customHeight="1" x14ac:dyDescent="0.35">
      <c r="E108" s="13"/>
    </row>
    <row r="109" spans="5:5" ht="14.25" customHeight="1" x14ac:dyDescent="0.35">
      <c r="E109" s="13"/>
    </row>
    <row r="110" spans="5:5" ht="14.25" customHeight="1" x14ac:dyDescent="0.35">
      <c r="E110" s="13"/>
    </row>
    <row r="111" spans="5:5" ht="14.25" customHeight="1" x14ac:dyDescent="0.35">
      <c r="E111" s="13"/>
    </row>
    <row r="112" spans="5:5" ht="14.25" customHeight="1" x14ac:dyDescent="0.35">
      <c r="E112" s="13"/>
    </row>
    <row r="113" spans="5:5" ht="14.25" customHeight="1" x14ac:dyDescent="0.35">
      <c r="E113" s="13"/>
    </row>
    <row r="114" spans="5:5" ht="14.25" customHeight="1" x14ac:dyDescent="0.35">
      <c r="E114" s="13"/>
    </row>
    <row r="115" spans="5:5" ht="14.25" customHeight="1" x14ac:dyDescent="0.35">
      <c r="E115" s="13"/>
    </row>
    <row r="116" spans="5:5" ht="14.25" customHeight="1" x14ac:dyDescent="0.35">
      <c r="E116" s="13"/>
    </row>
    <row r="117" spans="5:5" ht="14.25" customHeight="1" x14ac:dyDescent="0.35">
      <c r="E117" s="13"/>
    </row>
    <row r="118" spans="5:5" ht="14.25" customHeight="1" x14ac:dyDescent="0.35">
      <c r="E118" s="13"/>
    </row>
    <row r="119" spans="5:5" ht="14.25" customHeight="1" x14ac:dyDescent="0.35">
      <c r="E119" s="13"/>
    </row>
    <row r="120" spans="5:5" ht="14.25" customHeight="1" x14ac:dyDescent="0.35">
      <c r="E120" s="13"/>
    </row>
    <row r="121" spans="5:5" ht="14.25" customHeight="1" x14ac:dyDescent="0.35">
      <c r="E121" s="13"/>
    </row>
    <row r="122" spans="5:5" ht="14.25" customHeight="1" x14ac:dyDescent="0.35">
      <c r="E122" s="13"/>
    </row>
    <row r="123" spans="5:5" ht="14.25" customHeight="1" x14ac:dyDescent="0.35">
      <c r="E123" s="13"/>
    </row>
    <row r="124" spans="5:5" ht="14.25" customHeight="1" x14ac:dyDescent="0.35">
      <c r="E124" s="13"/>
    </row>
    <row r="125" spans="5:5" ht="14.25" customHeight="1" x14ac:dyDescent="0.35">
      <c r="E125" s="13"/>
    </row>
    <row r="126" spans="5:5" ht="14.25" customHeight="1" x14ac:dyDescent="0.35">
      <c r="E126" s="13"/>
    </row>
    <row r="127" spans="5:5" ht="14.25" customHeight="1" x14ac:dyDescent="0.35">
      <c r="E127" s="13"/>
    </row>
    <row r="128" spans="5:5" ht="14.25" customHeight="1" x14ac:dyDescent="0.35">
      <c r="E128" s="13"/>
    </row>
    <row r="129" spans="5:5" ht="14.25" customHeight="1" x14ac:dyDescent="0.35">
      <c r="E129" s="13"/>
    </row>
    <row r="130" spans="5:5" ht="14.25" customHeight="1" x14ac:dyDescent="0.35">
      <c r="E130" s="13"/>
    </row>
    <row r="131" spans="5:5" ht="14.25" customHeight="1" x14ac:dyDescent="0.35">
      <c r="E131" s="13"/>
    </row>
    <row r="132" spans="5:5" ht="14.25" customHeight="1" x14ac:dyDescent="0.35">
      <c r="E132" s="13"/>
    </row>
    <row r="133" spans="5:5" ht="14.25" customHeight="1" x14ac:dyDescent="0.35">
      <c r="E133" s="13"/>
    </row>
    <row r="134" spans="5:5" ht="14.25" customHeight="1" x14ac:dyDescent="0.35">
      <c r="E134" s="13"/>
    </row>
    <row r="135" spans="5:5" ht="14.25" customHeight="1" x14ac:dyDescent="0.35">
      <c r="E135" s="13"/>
    </row>
    <row r="136" spans="5:5" ht="14.25" customHeight="1" x14ac:dyDescent="0.35">
      <c r="E136" s="13"/>
    </row>
    <row r="137" spans="5:5" ht="14.25" customHeight="1" x14ac:dyDescent="0.35">
      <c r="E137" s="13"/>
    </row>
    <row r="138" spans="5:5" ht="14.25" customHeight="1" x14ac:dyDescent="0.35">
      <c r="E138" s="13"/>
    </row>
    <row r="139" spans="5:5" ht="14.25" customHeight="1" x14ac:dyDescent="0.35">
      <c r="E139" s="13"/>
    </row>
    <row r="140" spans="5:5" ht="14.25" customHeight="1" x14ac:dyDescent="0.35">
      <c r="E140" s="13"/>
    </row>
    <row r="141" spans="5:5" ht="14.25" customHeight="1" x14ac:dyDescent="0.35">
      <c r="E141" s="13"/>
    </row>
    <row r="142" spans="5:5" ht="14.25" customHeight="1" x14ac:dyDescent="0.35">
      <c r="E142" s="13"/>
    </row>
    <row r="143" spans="5:5" ht="14.25" customHeight="1" x14ac:dyDescent="0.35">
      <c r="E143" s="13"/>
    </row>
    <row r="144" spans="5:5" ht="14.25" customHeight="1" x14ac:dyDescent="0.35">
      <c r="E144" s="13"/>
    </row>
    <row r="145" spans="5:5" ht="14.25" customHeight="1" x14ac:dyDescent="0.35">
      <c r="E145" s="13"/>
    </row>
    <row r="146" spans="5:5" ht="14.25" customHeight="1" x14ac:dyDescent="0.35">
      <c r="E146" s="13"/>
    </row>
    <row r="147" spans="5:5" ht="14.25" customHeight="1" x14ac:dyDescent="0.35">
      <c r="E147" s="13"/>
    </row>
    <row r="148" spans="5:5" ht="14.25" customHeight="1" x14ac:dyDescent="0.35">
      <c r="E148" s="13"/>
    </row>
    <row r="149" spans="5:5" ht="14.25" customHeight="1" x14ac:dyDescent="0.35">
      <c r="E149" s="13"/>
    </row>
    <row r="150" spans="5:5" ht="14.25" customHeight="1" x14ac:dyDescent="0.35">
      <c r="E150" s="13"/>
    </row>
    <row r="151" spans="5:5" ht="14.25" customHeight="1" x14ac:dyDescent="0.35">
      <c r="E151" s="13"/>
    </row>
    <row r="152" spans="5:5" ht="14.25" customHeight="1" x14ac:dyDescent="0.35">
      <c r="E152" s="13"/>
    </row>
    <row r="153" spans="5:5" ht="14.25" customHeight="1" x14ac:dyDescent="0.35">
      <c r="E153" s="13"/>
    </row>
    <row r="154" spans="5:5" ht="14.25" customHeight="1" x14ac:dyDescent="0.35">
      <c r="E154" s="13"/>
    </row>
    <row r="155" spans="5:5" ht="14.25" customHeight="1" x14ac:dyDescent="0.35">
      <c r="E155" s="13"/>
    </row>
    <row r="156" spans="5:5" ht="14.25" customHeight="1" x14ac:dyDescent="0.35">
      <c r="E156" s="13"/>
    </row>
    <row r="157" spans="5:5" ht="14.25" customHeight="1" x14ac:dyDescent="0.35">
      <c r="E157" s="13"/>
    </row>
    <row r="158" spans="5:5" ht="14.25" customHeight="1" x14ac:dyDescent="0.35">
      <c r="E158" s="13"/>
    </row>
    <row r="159" spans="5:5" ht="14.25" customHeight="1" x14ac:dyDescent="0.35">
      <c r="E159" s="13"/>
    </row>
    <row r="160" spans="5:5" ht="14.25" customHeight="1" x14ac:dyDescent="0.35">
      <c r="E160" s="13"/>
    </row>
    <row r="161" spans="5:5" ht="14.25" customHeight="1" x14ac:dyDescent="0.35">
      <c r="E161" s="13"/>
    </row>
    <row r="162" spans="5:5" ht="14.25" customHeight="1" x14ac:dyDescent="0.35">
      <c r="E162" s="13"/>
    </row>
    <row r="163" spans="5:5" ht="14.25" customHeight="1" x14ac:dyDescent="0.35">
      <c r="E163" s="13"/>
    </row>
    <row r="164" spans="5:5" ht="14.25" customHeight="1" x14ac:dyDescent="0.35">
      <c r="E164" s="13"/>
    </row>
    <row r="165" spans="5:5" ht="14.25" customHeight="1" x14ac:dyDescent="0.35">
      <c r="E165" s="13"/>
    </row>
    <row r="166" spans="5:5" ht="14.25" customHeight="1" x14ac:dyDescent="0.35">
      <c r="E166" s="13"/>
    </row>
    <row r="167" spans="5:5" ht="14.25" customHeight="1" x14ac:dyDescent="0.35">
      <c r="E167" s="13"/>
    </row>
    <row r="168" spans="5:5" ht="14.25" customHeight="1" x14ac:dyDescent="0.35">
      <c r="E168" s="13"/>
    </row>
    <row r="169" spans="5:5" ht="14.25" customHeight="1" x14ac:dyDescent="0.35">
      <c r="E169" s="13"/>
    </row>
    <row r="170" spans="5:5" ht="14.25" customHeight="1" x14ac:dyDescent="0.35">
      <c r="E170" s="13"/>
    </row>
    <row r="171" spans="5:5" ht="14.25" customHeight="1" x14ac:dyDescent="0.35">
      <c r="E171" s="13"/>
    </row>
    <row r="172" spans="5:5" ht="14.25" customHeight="1" x14ac:dyDescent="0.35">
      <c r="E172" s="13"/>
    </row>
    <row r="173" spans="5:5" ht="14.25" customHeight="1" x14ac:dyDescent="0.35">
      <c r="E173" s="13"/>
    </row>
    <row r="174" spans="5:5" ht="14.25" customHeight="1" x14ac:dyDescent="0.35">
      <c r="E174" s="13"/>
    </row>
    <row r="175" spans="5:5" ht="14.25" customHeight="1" x14ac:dyDescent="0.35">
      <c r="E175" s="13"/>
    </row>
    <row r="176" spans="5:5" ht="14.25" customHeight="1" x14ac:dyDescent="0.35">
      <c r="E176" s="13"/>
    </row>
    <row r="177" spans="5:5" ht="14.25" customHeight="1" x14ac:dyDescent="0.35">
      <c r="E177" s="13"/>
    </row>
    <row r="178" spans="5:5" ht="14.25" customHeight="1" x14ac:dyDescent="0.35">
      <c r="E178" s="13"/>
    </row>
    <row r="179" spans="5:5" ht="14.25" customHeight="1" x14ac:dyDescent="0.35">
      <c r="E179" s="13"/>
    </row>
    <row r="180" spans="5:5" ht="14.25" customHeight="1" x14ac:dyDescent="0.35">
      <c r="E180" s="13"/>
    </row>
    <row r="181" spans="5:5" ht="14.25" customHeight="1" x14ac:dyDescent="0.35">
      <c r="E181" s="13"/>
    </row>
    <row r="182" spans="5:5" ht="14.25" customHeight="1" x14ac:dyDescent="0.35">
      <c r="E182" s="13"/>
    </row>
    <row r="183" spans="5:5" ht="14.25" customHeight="1" x14ac:dyDescent="0.35">
      <c r="E183" s="13"/>
    </row>
    <row r="184" spans="5:5" ht="14.25" customHeight="1" x14ac:dyDescent="0.35">
      <c r="E184" s="13"/>
    </row>
    <row r="185" spans="5:5" ht="14.25" customHeight="1" x14ac:dyDescent="0.35">
      <c r="E185" s="13"/>
    </row>
    <row r="186" spans="5:5" ht="14.25" customHeight="1" x14ac:dyDescent="0.35">
      <c r="E186" s="13"/>
    </row>
    <row r="187" spans="5:5" ht="14.25" customHeight="1" x14ac:dyDescent="0.35">
      <c r="E187" s="13"/>
    </row>
    <row r="188" spans="5:5" ht="14.25" customHeight="1" x14ac:dyDescent="0.35">
      <c r="E188" s="13"/>
    </row>
    <row r="189" spans="5:5" ht="14.25" customHeight="1" x14ac:dyDescent="0.35">
      <c r="E189" s="13"/>
    </row>
    <row r="190" spans="5:5" ht="14.25" customHeight="1" x14ac:dyDescent="0.35">
      <c r="E190" s="13"/>
    </row>
    <row r="191" spans="5:5" ht="14.25" customHeight="1" x14ac:dyDescent="0.35">
      <c r="E191" s="13"/>
    </row>
    <row r="192" spans="5:5" ht="14.25" customHeight="1" x14ac:dyDescent="0.35">
      <c r="E192" s="13"/>
    </row>
    <row r="193" spans="5:5" ht="14.25" customHeight="1" x14ac:dyDescent="0.35">
      <c r="E193" s="13"/>
    </row>
    <row r="194" spans="5:5" ht="14.25" customHeight="1" x14ac:dyDescent="0.35">
      <c r="E194" s="13"/>
    </row>
    <row r="195" spans="5:5" ht="14.25" customHeight="1" x14ac:dyDescent="0.35">
      <c r="E195" s="13"/>
    </row>
    <row r="196" spans="5:5" ht="14.25" customHeight="1" x14ac:dyDescent="0.35">
      <c r="E196" s="13"/>
    </row>
    <row r="197" spans="5:5" ht="14.25" customHeight="1" x14ac:dyDescent="0.35">
      <c r="E197" s="13"/>
    </row>
    <row r="198" spans="5:5" ht="14.25" customHeight="1" x14ac:dyDescent="0.35">
      <c r="E198" s="13"/>
    </row>
    <row r="199" spans="5:5" ht="14.25" customHeight="1" x14ac:dyDescent="0.35">
      <c r="E199" s="13"/>
    </row>
    <row r="200" spans="5:5" ht="14.25" customHeight="1" x14ac:dyDescent="0.35">
      <c r="E200" s="13"/>
    </row>
    <row r="201" spans="5:5" ht="14.25" customHeight="1" x14ac:dyDescent="0.35">
      <c r="E201" s="13"/>
    </row>
    <row r="202" spans="5:5" ht="14.25" customHeight="1" x14ac:dyDescent="0.35">
      <c r="E202" s="13"/>
    </row>
    <row r="203" spans="5:5" ht="14.25" customHeight="1" x14ac:dyDescent="0.35">
      <c r="E203" s="13"/>
    </row>
    <row r="204" spans="5:5" ht="14.25" customHeight="1" x14ac:dyDescent="0.35">
      <c r="E204" s="13"/>
    </row>
    <row r="205" spans="5:5" ht="14.25" customHeight="1" x14ac:dyDescent="0.35">
      <c r="E205" s="13"/>
    </row>
    <row r="206" spans="5:5" ht="14.25" customHeight="1" x14ac:dyDescent="0.35">
      <c r="E206" s="13"/>
    </row>
    <row r="207" spans="5:5" ht="14.25" customHeight="1" x14ac:dyDescent="0.35">
      <c r="E207" s="13"/>
    </row>
    <row r="208" spans="5:5" ht="14.25" customHeight="1" x14ac:dyDescent="0.35">
      <c r="E208" s="13"/>
    </row>
    <row r="209" spans="5:5" ht="14.25" customHeight="1" x14ac:dyDescent="0.35">
      <c r="E209" s="13"/>
    </row>
    <row r="210" spans="5:5" ht="14.25" customHeight="1" x14ac:dyDescent="0.35">
      <c r="E210" s="13"/>
    </row>
    <row r="211" spans="5:5" ht="14.25" customHeight="1" x14ac:dyDescent="0.35">
      <c r="E211" s="13"/>
    </row>
    <row r="212" spans="5:5" ht="14.25" customHeight="1" x14ac:dyDescent="0.35">
      <c r="E212" s="13"/>
    </row>
    <row r="213" spans="5:5" ht="14.25" customHeight="1" x14ac:dyDescent="0.35">
      <c r="E213" s="13"/>
    </row>
    <row r="214" spans="5:5" ht="14.25" customHeight="1" x14ac:dyDescent="0.35">
      <c r="E214" s="13"/>
    </row>
    <row r="215" spans="5:5" ht="14.25" customHeight="1" x14ac:dyDescent="0.35">
      <c r="E215" s="13"/>
    </row>
    <row r="216" spans="5:5" ht="14.25" customHeight="1" x14ac:dyDescent="0.35">
      <c r="E216" s="13"/>
    </row>
    <row r="217" spans="5:5" ht="14.25" customHeight="1" x14ac:dyDescent="0.35">
      <c r="E217" s="13"/>
    </row>
    <row r="218" spans="5:5" ht="14.25" customHeight="1" x14ac:dyDescent="0.35">
      <c r="E218" s="13"/>
    </row>
    <row r="219" spans="5:5" ht="14.25" customHeight="1" x14ac:dyDescent="0.35">
      <c r="E219" s="13"/>
    </row>
    <row r="220" spans="5:5" ht="14.25" customHeight="1" x14ac:dyDescent="0.35">
      <c r="E220" s="13"/>
    </row>
    <row r="221" spans="5:5" ht="14.25" customHeight="1" x14ac:dyDescent="0.35">
      <c r="E221" s="13"/>
    </row>
    <row r="222" spans="5:5" ht="14.25" customHeight="1" x14ac:dyDescent="0.35">
      <c r="E222" s="13"/>
    </row>
    <row r="223" spans="5:5" ht="14.25" customHeight="1" x14ac:dyDescent="0.35">
      <c r="E223" s="13"/>
    </row>
    <row r="224" spans="5:5" ht="14.25" customHeight="1" x14ac:dyDescent="0.35">
      <c r="E224" s="13"/>
    </row>
    <row r="225" spans="5:5" ht="14.25" customHeight="1" x14ac:dyDescent="0.35">
      <c r="E225" s="13"/>
    </row>
    <row r="226" spans="5:5" ht="14.25" customHeight="1" x14ac:dyDescent="0.35">
      <c r="E226" s="13"/>
    </row>
    <row r="227" spans="5:5" ht="14.25" customHeight="1" x14ac:dyDescent="0.35">
      <c r="E227" s="13"/>
    </row>
    <row r="228" spans="5:5" ht="14.25" customHeight="1" x14ac:dyDescent="0.35">
      <c r="E228" s="13"/>
    </row>
    <row r="229" spans="5:5" ht="14.25" customHeight="1" x14ac:dyDescent="0.35">
      <c r="E229" s="13"/>
    </row>
    <row r="230" spans="5:5" ht="14.25" customHeight="1" x14ac:dyDescent="0.35">
      <c r="E230" s="13"/>
    </row>
    <row r="231" spans="5:5" ht="14.25" customHeight="1" x14ac:dyDescent="0.35">
      <c r="E231" s="13"/>
    </row>
    <row r="232" spans="5:5" ht="14.25" customHeight="1" x14ac:dyDescent="0.35">
      <c r="E232" s="13"/>
    </row>
    <row r="233" spans="5:5" ht="14.25" customHeight="1" x14ac:dyDescent="0.35">
      <c r="E233" s="13"/>
    </row>
    <row r="234" spans="5:5" ht="14.25" customHeight="1" x14ac:dyDescent="0.35">
      <c r="E234" s="13"/>
    </row>
    <row r="235" spans="5:5" ht="14.25" customHeight="1" x14ac:dyDescent="0.35">
      <c r="E235" s="13"/>
    </row>
    <row r="236" spans="5:5" ht="14.25" customHeight="1" x14ac:dyDescent="0.35">
      <c r="E236" s="13"/>
    </row>
    <row r="237" spans="5:5" ht="14.25" customHeight="1" x14ac:dyDescent="0.35">
      <c r="E237" s="13"/>
    </row>
    <row r="238" spans="5:5" ht="14.25" customHeight="1" x14ac:dyDescent="0.35">
      <c r="E238" s="13"/>
    </row>
    <row r="239" spans="5:5" ht="14.25" customHeight="1" x14ac:dyDescent="0.35">
      <c r="E239" s="13"/>
    </row>
    <row r="240" spans="5:5" ht="14.25" customHeight="1" x14ac:dyDescent="0.35">
      <c r="E240" s="13"/>
    </row>
    <row r="241" spans="5:5" ht="14.25" customHeight="1" x14ac:dyDescent="0.35">
      <c r="E241" s="13"/>
    </row>
    <row r="242" spans="5:5" ht="14.25" customHeight="1" x14ac:dyDescent="0.35">
      <c r="E242" s="13"/>
    </row>
    <row r="243" spans="5:5" ht="14.25" customHeight="1" x14ac:dyDescent="0.35">
      <c r="E243" s="13"/>
    </row>
    <row r="244" spans="5:5" ht="14.25" customHeight="1" x14ac:dyDescent="0.35">
      <c r="E244" s="13"/>
    </row>
    <row r="245" spans="5:5" ht="14.25" customHeight="1" x14ac:dyDescent="0.35">
      <c r="E245" s="13"/>
    </row>
    <row r="246" spans="5:5" ht="14.25" customHeight="1" x14ac:dyDescent="0.35">
      <c r="E246" s="13"/>
    </row>
    <row r="247" spans="5:5" ht="14.25" customHeight="1" x14ac:dyDescent="0.35">
      <c r="E247" s="13"/>
    </row>
    <row r="248" spans="5:5" ht="14.25" customHeight="1" x14ac:dyDescent="0.35">
      <c r="E248" s="13"/>
    </row>
    <row r="249" spans="5:5" ht="14.25" customHeight="1" x14ac:dyDescent="0.35">
      <c r="E249" s="13"/>
    </row>
    <row r="250" spans="5:5" ht="14.25" customHeight="1" x14ac:dyDescent="0.35">
      <c r="E250" s="13"/>
    </row>
    <row r="251" spans="5:5" ht="14.25" customHeight="1" x14ac:dyDescent="0.35">
      <c r="E251" s="13"/>
    </row>
    <row r="252" spans="5:5" ht="14.25" customHeight="1" x14ac:dyDescent="0.35">
      <c r="E252" s="13"/>
    </row>
    <row r="253" spans="5:5" ht="14.25" customHeight="1" x14ac:dyDescent="0.35">
      <c r="E253" s="13"/>
    </row>
    <row r="254" spans="5:5" ht="14.25" customHeight="1" x14ac:dyDescent="0.35">
      <c r="E254" s="13"/>
    </row>
    <row r="255" spans="5:5" ht="14.25" customHeight="1" x14ac:dyDescent="0.35">
      <c r="E255" s="13"/>
    </row>
    <row r="256" spans="5:5" ht="14.25" customHeight="1" x14ac:dyDescent="0.35">
      <c r="E256" s="13"/>
    </row>
    <row r="257" spans="5:5" ht="14.25" customHeight="1" x14ac:dyDescent="0.35">
      <c r="E257" s="13"/>
    </row>
    <row r="258" spans="5:5" ht="14.25" customHeight="1" x14ac:dyDescent="0.35">
      <c r="E258" s="13"/>
    </row>
    <row r="259" spans="5:5" ht="14.25" customHeight="1" x14ac:dyDescent="0.35">
      <c r="E259" s="13"/>
    </row>
    <row r="260" spans="5:5" ht="14.25" customHeight="1" x14ac:dyDescent="0.35">
      <c r="E260" s="13"/>
    </row>
    <row r="261" spans="5:5" ht="14.25" customHeight="1" x14ac:dyDescent="0.35">
      <c r="E261" s="13"/>
    </row>
    <row r="262" spans="5:5" ht="14.25" customHeight="1" x14ac:dyDescent="0.35">
      <c r="E262" s="13"/>
    </row>
    <row r="263" spans="5:5" ht="14.25" customHeight="1" x14ac:dyDescent="0.35">
      <c r="E263" s="13"/>
    </row>
    <row r="264" spans="5:5" ht="14.25" customHeight="1" x14ac:dyDescent="0.35">
      <c r="E264" s="13"/>
    </row>
    <row r="265" spans="5:5" ht="14.25" customHeight="1" x14ac:dyDescent="0.35">
      <c r="E265" s="13"/>
    </row>
    <row r="266" spans="5:5" ht="14.25" customHeight="1" x14ac:dyDescent="0.35">
      <c r="E266" s="13"/>
    </row>
    <row r="267" spans="5:5" ht="14.25" customHeight="1" x14ac:dyDescent="0.35">
      <c r="E267" s="13"/>
    </row>
    <row r="268" spans="5:5" ht="14.25" customHeight="1" x14ac:dyDescent="0.35">
      <c r="E268" s="13"/>
    </row>
    <row r="269" spans="5:5" ht="14.25" customHeight="1" x14ac:dyDescent="0.35">
      <c r="E269" s="13"/>
    </row>
    <row r="270" spans="5:5" ht="14.25" customHeight="1" x14ac:dyDescent="0.35">
      <c r="E270" s="13"/>
    </row>
    <row r="271" spans="5:5" ht="14.25" customHeight="1" x14ac:dyDescent="0.35">
      <c r="E271" s="13"/>
    </row>
    <row r="272" spans="5:5" ht="14.25" customHeight="1" x14ac:dyDescent="0.35">
      <c r="E272" s="13"/>
    </row>
    <row r="273" spans="5:5" ht="14.25" customHeight="1" x14ac:dyDescent="0.35">
      <c r="E273" s="13"/>
    </row>
    <row r="274" spans="5:5" ht="14.25" customHeight="1" x14ac:dyDescent="0.35">
      <c r="E274" s="13"/>
    </row>
    <row r="275" spans="5:5" ht="14.25" customHeight="1" x14ac:dyDescent="0.35">
      <c r="E275" s="13"/>
    </row>
    <row r="276" spans="5:5" ht="14.25" customHeight="1" x14ac:dyDescent="0.35">
      <c r="E276" s="13"/>
    </row>
    <row r="277" spans="5:5" ht="14.25" customHeight="1" x14ac:dyDescent="0.35">
      <c r="E277" s="13"/>
    </row>
    <row r="278" spans="5:5" ht="14.25" customHeight="1" x14ac:dyDescent="0.35">
      <c r="E278" s="13"/>
    </row>
    <row r="279" spans="5:5" ht="14.25" customHeight="1" x14ac:dyDescent="0.35">
      <c r="E279" s="13"/>
    </row>
    <row r="280" spans="5:5" ht="14.25" customHeight="1" x14ac:dyDescent="0.35">
      <c r="E280" s="13"/>
    </row>
    <row r="281" spans="5:5" ht="14.25" customHeight="1" x14ac:dyDescent="0.35">
      <c r="E281" s="13"/>
    </row>
    <row r="282" spans="5:5" ht="14.25" customHeight="1" x14ac:dyDescent="0.35">
      <c r="E282" s="13"/>
    </row>
    <row r="283" spans="5:5" ht="14.25" customHeight="1" x14ac:dyDescent="0.35">
      <c r="E283" s="13"/>
    </row>
    <row r="284" spans="5:5" ht="14.25" customHeight="1" x14ac:dyDescent="0.35">
      <c r="E284" s="13"/>
    </row>
    <row r="285" spans="5:5" ht="14.25" customHeight="1" x14ac:dyDescent="0.35">
      <c r="E285" s="13"/>
    </row>
    <row r="286" spans="5:5" ht="14.25" customHeight="1" x14ac:dyDescent="0.35">
      <c r="E286" s="13"/>
    </row>
    <row r="287" spans="5:5" ht="14.25" customHeight="1" x14ac:dyDescent="0.35">
      <c r="E287" s="13"/>
    </row>
    <row r="288" spans="5:5" ht="14.25" customHeight="1" x14ac:dyDescent="0.35">
      <c r="E288" s="13"/>
    </row>
    <row r="289" spans="5:5" ht="14.25" customHeight="1" x14ac:dyDescent="0.35">
      <c r="E289" s="13"/>
    </row>
    <row r="290" spans="5:5" ht="14.25" customHeight="1" x14ac:dyDescent="0.35">
      <c r="E290" s="13"/>
    </row>
    <row r="291" spans="5:5" ht="14.25" customHeight="1" x14ac:dyDescent="0.35">
      <c r="E291" s="13"/>
    </row>
    <row r="292" spans="5:5" ht="14.25" customHeight="1" x14ac:dyDescent="0.35">
      <c r="E292" s="13"/>
    </row>
    <row r="293" spans="5:5" ht="14.25" customHeight="1" x14ac:dyDescent="0.35">
      <c r="E293" s="13"/>
    </row>
    <row r="294" spans="5:5" ht="14.25" customHeight="1" x14ac:dyDescent="0.35">
      <c r="E294" s="13"/>
    </row>
    <row r="295" spans="5:5" ht="14.25" customHeight="1" x14ac:dyDescent="0.35">
      <c r="E295" s="13"/>
    </row>
    <row r="296" spans="5:5" ht="14.25" customHeight="1" x14ac:dyDescent="0.35">
      <c r="E296" s="13"/>
    </row>
    <row r="297" spans="5:5" ht="14.25" customHeight="1" x14ac:dyDescent="0.35">
      <c r="E297" s="13"/>
    </row>
    <row r="298" spans="5:5" ht="14.25" customHeight="1" x14ac:dyDescent="0.35">
      <c r="E298" s="13"/>
    </row>
    <row r="299" spans="5:5" ht="14.25" customHeight="1" x14ac:dyDescent="0.35">
      <c r="E299" s="13"/>
    </row>
    <row r="300" spans="5:5" ht="14.25" customHeight="1" x14ac:dyDescent="0.35">
      <c r="E300" s="13"/>
    </row>
    <row r="301" spans="5:5" ht="14.25" customHeight="1" x14ac:dyDescent="0.35">
      <c r="E301" s="13"/>
    </row>
    <row r="302" spans="5:5" ht="14.25" customHeight="1" x14ac:dyDescent="0.35">
      <c r="E302" s="13"/>
    </row>
    <row r="303" spans="5:5" ht="14.25" customHeight="1" x14ac:dyDescent="0.35">
      <c r="E303" s="13"/>
    </row>
    <row r="304" spans="5:5" ht="14.25" customHeight="1" x14ac:dyDescent="0.35">
      <c r="E304" s="13"/>
    </row>
    <row r="305" spans="5:5" ht="14.25" customHeight="1" x14ac:dyDescent="0.35">
      <c r="E305" s="13"/>
    </row>
    <row r="306" spans="5:5" ht="14.25" customHeight="1" x14ac:dyDescent="0.35">
      <c r="E306" s="13"/>
    </row>
    <row r="307" spans="5:5" ht="14.25" customHeight="1" x14ac:dyDescent="0.35">
      <c r="E307" s="13"/>
    </row>
    <row r="308" spans="5:5" ht="14.25" customHeight="1" x14ac:dyDescent="0.35">
      <c r="E308" s="13"/>
    </row>
    <row r="309" spans="5:5" ht="14.25" customHeight="1" x14ac:dyDescent="0.35">
      <c r="E309" s="13"/>
    </row>
    <row r="310" spans="5:5" ht="14.25" customHeight="1" x14ac:dyDescent="0.35">
      <c r="E310" s="13"/>
    </row>
    <row r="311" spans="5:5" ht="14.25" customHeight="1" x14ac:dyDescent="0.35">
      <c r="E311" s="13"/>
    </row>
    <row r="312" spans="5:5" ht="14.25" customHeight="1" x14ac:dyDescent="0.35">
      <c r="E312" s="13"/>
    </row>
    <row r="313" spans="5:5" ht="14.25" customHeight="1" x14ac:dyDescent="0.35">
      <c r="E313" s="13"/>
    </row>
    <row r="314" spans="5:5" ht="14.25" customHeight="1" x14ac:dyDescent="0.35">
      <c r="E314" s="13"/>
    </row>
    <row r="315" spans="5:5" ht="14.25" customHeight="1" x14ac:dyDescent="0.35">
      <c r="E315" s="13"/>
    </row>
    <row r="316" spans="5:5" ht="14.25" customHeight="1" x14ac:dyDescent="0.35">
      <c r="E316" s="13"/>
    </row>
    <row r="317" spans="5:5" ht="14.25" customHeight="1" x14ac:dyDescent="0.35">
      <c r="E317" s="13"/>
    </row>
    <row r="318" spans="5:5" ht="14.25" customHeight="1" x14ac:dyDescent="0.35">
      <c r="E318" s="13"/>
    </row>
    <row r="319" spans="5:5" ht="14.25" customHeight="1" x14ac:dyDescent="0.35">
      <c r="E319" s="13"/>
    </row>
    <row r="320" spans="5:5" ht="14.25" customHeight="1" x14ac:dyDescent="0.35">
      <c r="E320" s="13"/>
    </row>
    <row r="321" spans="5:5" ht="14.25" customHeight="1" x14ac:dyDescent="0.35">
      <c r="E321" s="13"/>
    </row>
    <row r="322" spans="5:5" ht="14.25" customHeight="1" x14ac:dyDescent="0.35">
      <c r="E322" s="13"/>
    </row>
    <row r="323" spans="5:5" ht="14.25" customHeight="1" x14ac:dyDescent="0.35">
      <c r="E323" s="13"/>
    </row>
    <row r="324" spans="5:5" ht="14.25" customHeight="1" x14ac:dyDescent="0.35">
      <c r="E324" s="13"/>
    </row>
    <row r="325" spans="5:5" ht="14.25" customHeight="1" x14ac:dyDescent="0.35">
      <c r="E325" s="13"/>
    </row>
    <row r="326" spans="5:5" ht="14.25" customHeight="1" x14ac:dyDescent="0.35">
      <c r="E326" s="13"/>
    </row>
    <row r="327" spans="5:5" ht="14.25" customHeight="1" x14ac:dyDescent="0.35">
      <c r="E327" s="13"/>
    </row>
    <row r="328" spans="5:5" ht="14.25" customHeight="1" x14ac:dyDescent="0.35">
      <c r="E328" s="13"/>
    </row>
    <row r="329" spans="5:5" ht="14.25" customHeight="1" x14ac:dyDescent="0.35">
      <c r="E329" s="13"/>
    </row>
    <row r="330" spans="5:5" ht="14.25" customHeight="1" x14ac:dyDescent="0.35">
      <c r="E330" s="13"/>
    </row>
    <row r="331" spans="5:5" ht="14.25" customHeight="1" x14ac:dyDescent="0.35">
      <c r="E331" s="13"/>
    </row>
    <row r="332" spans="5:5" ht="14.25" customHeight="1" x14ac:dyDescent="0.35">
      <c r="E332" s="13"/>
    </row>
    <row r="333" spans="5:5" ht="14.25" customHeight="1" x14ac:dyDescent="0.35">
      <c r="E333" s="13"/>
    </row>
    <row r="334" spans="5:5" ht="14.25" customHeight="1" x14ac:dyDescent="0.35">
      <c r="E334" s="13"/>
    </row>
    <row r="335" spans="5:5" ht="14.25" customHeight="1" x14ac:dyDescent="0.35">
      <c r="E335" s="13"/>
    </row>
    <row r="336" spans="5:5" ht="14.25" customHeight="1" x14ac:dyDescent="0.35">
      <c r="E336" s="13"/>
    </row>
    <row r="337" spans="5:5" ht="14.25" customHeight="1" x14ac:dyDescent="0.35">
      <c r="E337" s="13"/>
    </row>
    <row r="338" spans="5:5" ht="14.25" customHeight="1" x14ac:dyDescent="0.35">
      <c r="E338" s="13"/>
    </row>
    <row r="339" spans="5:5" ht="14.25" customHeight="1" x14ac:dyDescent="0.35">
      <c r="E339" s="13"/>
    </row>
    <row r="340" spans="5:5" ht="14.25" customHeight="1" x14ac:dyDescent="0.35">
      <c r="E340" s="13"/>
    </row>
    <row r="341" spans="5:5" ht="14.25" customHeight="1" x14ac:dyDescent="0.35">
      <c r="E341" s="13"/>
    </row>
    <row r="342" spans="5:5" ht="14.25" customHeight="1" x14ac:dyDescent="0.35">
      <c r="E342" s="13"/>
    </row>
    <row r="343" spans="5:5" ht="14.25" customHeight="1" x14ac:dyDescent="0.35">
      <c r="E343" s="13"/>
    </row>
    <row r="344" spans="5:5" ht="14.25" customHeight="1" x14ac:dyDescent="0.35">
      <c r="E344" s="13"/>
    </row>
    <row r="345" spans="5:5" ht="14.25" customHeight="1" x14ac:dyDescent="0.35">
      <c r="E345" s="13"/>
    </row>
    <row r="346" spans="5:5" ht="14.25" customHeight="1" x14ac:dyDescent="0.35">
      <c r="E346" s="13"/>
    </row>
    <row r="347" spans="5:5" ht="14.25" customHeight="1" x14ac:dyDescent="0.35">
      <c r="E347" s="13"/>
    </row>
    <row r="348" spans="5:5" ht="14.25" customHeight="1" x14ac:dyDescent="0.35">
      <c r="E348" s="13"/>
    </row>
    <row r="349" spans="5:5" ht="14.25" customHeight="1" x14ac:dyDescent="0.35">
      <c r="E349" s="13"/>
    </row>
    <row r="350" spans="5:5" ht="14.25" customHeight="1" x14ac:dyDescent="0.35">
      <c r="E350" s="13"/>
    </row>
    <row r="351" spans="5:5" ht="14.25" customHeight="1" x14ac:dyDescent="0.35">
      <c r="E351" s="13"/>
    </row>
    <row r="352" spans="5:5" ht="14.25" customHeight="1" x14ac:dyDescent="0.35">
      <c r="E352" s="13"/>
    </row>
    <row r="353" spans="5:5" ht="14.25" customHeight="1" x14ac:dyDescent="0.35">
      <c r="E353" s="13"/>
    </row>
    <row r="354" spans="5:5" ht="14.25" customHeight="1" x14ac:dyDescent="0.35">
      <c r="E354" s="13"/>
    </row>
    <row r="355" spans="5:5" ht="14.25" customHeight="1" x14ac:dyDescent="0.35">
      <c r="E355" s="13"/>
    </row>
    <row r="356" spans="5:5" ht="14.25" customHeight="1" x14ac:dyDescent="0.35">
      <c r="E356" s="13"/>
    </row>
    <row r="357" spans="5:5" ht="14.25" customHeight="1" x14ac:dyDescent="0.35">
      <c r="E357" s="13"/>
    </row>
    <row r="358" spans="5:5" ht="14.25" customHeight="1" x14ac:dyDescent="0.35">
      <c r="E358" s="13"/>
    </row>
    <row r="359" spans="5:5" ht="14.25" customHeight="1" x14ac:dyDescent="0.35">
      <c r="E359" s="13"/>
    </row>
    <row r="360" spans="5:5" ht="14.25" customHeight="1" x14ac:dyDescent="0.35">
      <c r="E360" s="13"/>
    </row>
    <row r="361" spans="5:5" ht="14.25" customHeight="1" x14ac:dyDescent="0.35">
      <c r="E361" s="13"/>
    </row>
    <row r="362" spans="5:5" ht="14.25" customHeight="1" x14ac:dyDescent="0.35">
      <c r="E362" s="13"/>
    </row>
    <row r="363" spans="5:5" ht="14.25" customHeight="1" x14ac:dyDescent="0.35">
      <c r="E363" s="13"/>
    </row>
    <row r="364" spans="5:5" ht="14.25" customHeight="1" x14ac:dyDescent="0.35">
      <c r="E364" s="13"/>
    </row>
    <row r="365" spans="5:5" ht="14.25" customHeight="1" x14ac:dyDescent="0.35">
      <c r="E365" s="13"/>
    </row>
    <row r="366" spans="5:5" ht="14.25" customHeight="1" x14ac:dyDescent="0.35">
      <c r="E366" s="13"/>
    </row>
    <row r="367" spans="5:5" ht="14.25" customHeight="1" x14ac:dyDescent="0.35">
      <c r="E367" s="13"/>
    </row>
    <row r="368" spans="5:5" ht="14.25" customHeight="1" x14ac:dyDescent="0.35">
      <c r="E368" s="13"/>
    </row>
    <row r="369" spans="5:5" ht="14.25" customHeight="1" x14ac:dyDescent="0.35">
      <c r="E369" s="13"/>
    </row>
    <row r="370" spans="5:5" ht="14.25" customHeight="1" x14ac:dyDescent="0.35">
      <c r="E370" s="13"/>
    </row>
    <row r="371" spans="5:5" ht="14.25" customHeight="1" x14ac:dyDescent="0.35">
      <c r="E371" s="13"/>
    </row>
    <row r="372" spans="5:5" ht="14.25" customHeight="1" x14ac:dyDescent="0.35">
      <c r="E372" s="13"/>
    </row>
    <row r="373" spans="5:5" ht="14.25" customHeight="1" x14ac:dyDescent="0.35">
      <c r="E373" s="13"/>
    </row>
    <row r="374" spans="5:5" ht="14.25" customHeight="1" x14ac:dyDescent="0.35">
      <c r="E374" s="13"/>
    </row>
    <row r="375" spans="5:5" ht="14.25" customHeight="1" x14ac:dyDescent="0.35">
      <c r="E375" s="13"/>
    </row>
    <row r="376" spans="5:5" ht="14.25" customHeight="1" x14ac:dyDescent="0.35">
      <c r="E376" s="13"/>
    </row>
    <row r="377" spans="5:5" ht="14.25" customHeight="1" x14ac:dyDescent="0.35">
      <c r="E377" s="13"/>
    </row>
    <row r="378" spans="5:5" ht="14.25" customHeight="1" x14ac:dyDescent="0.35">
      <c r="E378" s="13"/>
    </row>
    <row r="379" spans="5:5" ht="14.25" customHeight="1" x14ac:dyDescent="0.35">
      <c r="E379" s="13"/>
    </row>
    <row r="380" spans="5:5" ht="14.25" customHeight="1" x14ac:dyDescent="0.35">
      <c r="E380" s="13"/>
    </row>
    <row r="381" spans="5:5" ht="14.25" customHeight="1" x14ac:dyDescent="0.35">
      <c r="E381" s="13"/>
    </row>
    <row r="382" spans="5:5" ht="14.25" customHeight="1" x14ac:dyDescent="0.35">
      <c r="E382" s="13"/>
    </row>
    <row r="383" spans="5:5" ht="14.25" customHeight="1" x14ac:dyDescent="0.35">
      <c r="E383" s="13"/>
    </row>
    <row r="384" spans="5:5" ht="14.25" customHeight="1" x14ac:dyDescent="0.35">
      <c r="E384" s="13"/>
    </row>
    <row r="385" spans="5:5" ht="14.25" customHeight="1" x14ac:dyDescent="0.35">
      <c r="E385" s="13"/>
    </row>
    <row r="386" spans="5:5" ht="14.25" customHeight="1" x14ac:dyDescent="0.35">
      <c r="E386" s="13"/>
    </row>
    <row r="387" spans="5:5" ht="14.25" customHeight="1" x14ac:dyDescent="0.35">
      <c r="E387" s="13"/>
    </row>
    <row r="388" spans="5:5" ht="14.25" customHeight="1" x14ac:dyDescent="0.35">
      <c r="E388" s="13"/>
    </row>
    <row r="389" spans="5:5" ht="14.25" customHeight="1" x14ac:dyDescent="0.35">
      <c r="E389" s="13"/>
    </row>
    <row r="390" spans="5:5" ht="14.25" customHeight="1" x14ac:dyDescent="0.35">
      <c r="E390" s="13"/>
    </row>
    <row r="391" spans="5:5" ht="14.25" customHeight="1" x14ac:dyDescent="0.35">
      <c r="E391" s="13"/>
    </row>
    <row r="392" spans="5:5" ht="14.25" customHeight="1" x14ac:dyDescent="0.35">
      <c r="E392" s="13"/>
    </row>
    <row r="393" spans="5:5" ht="14.25" customHeight="1" x14ac:dyDescent="0.35">
      <c r="E393" s="13"/>
    </row>
    <row r="394" spans="5:5" ht="14.25" customHeight="1" x14ac:dyDescent="0.35">
      <c r="E394" s="13"/>
    </row>
    <row r="395" spans="5:5" ht="14.25" customHeight="1" x14ac:dyDescent="0.35">
      <c r="E395" s="13"/>
    </row>
    <row r="396" spans="5:5" ht="14.25" customHeight="1" x14ac:dyDescent="0.35">
      <c r="E396" s="13"/>
    </row>
    <row r="397" spans="5:5" ht="14.25" customHeight="1" x14ac:dyDescent="0.35">
      <c r="E397" s="13"/>
    </row>
    <row r="398" spans="5:5" ht="14.25" customHeight="1" x14ac:dyDescent="0.35">
      <c r="E398" s="13"/>
    </row>
    <row r="399" spans="5:5" ht="14.25" customHeight="1" x14ac:dyDescent="0.35">
      <c r="E399" s="13"/>
    </row>
    <row r="400" spans="5:5" ht="14.25" customHeight="1" x14ac:dyDescent="0.35">
      <c r="E400" s="13"/>
    </row>
    <row r="401" spans="5:5" ht="14.25" customHeight="1" x14ac:dyDescent="0.35">
      <c r="E401" s="13"/>
    </row>
    <row r="402" spans="5:5" ht="14.25" customHeight="1" x14ac:dyDescent="0.35">
      <c r="E402" s="13"/>
    </row>
    <row r="403" spans="5:5" ht="14.25" customHeight="1" x14ac:dyDescent="0.35">
      <c r="E403" s="13"/>
    </row>
    <row r="404" spans="5:5" ht="14.25" customHeight="1" x14ac:dyDescent="0.35">
      <c r="E404" s="13"/>
    </row>
    <row r="405" spans="5:5" ht="14.25" customHeight="1" x14ac:dyDescent="0.35">
      <c r="E405" s="13"/>
    </row>
    <row r="406" spans="5:5" ht="14.25" customHeight="1" x14ac:dyDescent="0.35">
      <c r="E406" s="13"/>
    </row>
    <row r="407" spans="5:5" ht="14.25" customHeight="1" x14ac:dyDescent="0.35">
      <c r="E407" s="13"/>
    </row>
    <row r="408" spans="5:5" ht="14.25" customHeight="1" x14ac:dyDescent="0.35">
      <c r="E408" s="13"/>
    </row>
    <row r="409" spans="5:5" ht="14.25" customHeight="1" x14ac:dyDescent="0.35">
      <c r="E409" s="13"/>
    </row>
    <row r="410" spans="5:5" ht="14.25" customHeight="1" x14ac:dyDescent="0.35">
      <c r="E410" s="13"/>
    </row>
    <row r="411" spans="5:5" ht="14.25" customHeight="1" x14ac:dyDescent="0.35">
      <c r="E411" s="13"/>
    </row>
    <row r="412" spans="5:5" ht="14.25" customHeight="1" x14ac:dyDescent="0.35">
      <c r="E412" s="13"/>
    </row>
    <row r="413" spans="5:5" ht="14.25" customHeight="1" x14ac:dyDescent="0.35">
      <c r="E413" s="13"/>
    </row>
    <row r="414" spans="5:5" ht="14.25" customHeight="1" x14ac:dyDescent="0.35">
      <c r="E414" s="13"/>
    </row>
    <row r="415" spans="5:5" ht="14.25" customHeight="1" x14ac:dyDescent="0.35">
      <c r="E415" s="13"/>
    </row>
    <row r="416" spans="5:5" ht="14.25" customHeight="1" x14ac:dyDescent="0.35">
      <c r="E416" s="13"/>
    </row>
    <row r="417" spans="5:5" ht="14.25" customHeight="1" x14ac:dyDescent="0.35">
      <c r="E417" s="13"/>
    </row>
    <row r="418" spans="5:5" ht="14.25" customHeight="1" x14ac:dyDescent="0.35">
      <c r="E418" s="13"/>
    </row>
    <row r="419" spans="5:5" ht="14.25" customHeight="1" x14ac:dyDescent="0.35">
      <c r="E419" s="13"/>
    </row>
    <row r="420" spans="5:5" ht="14.25" customHeight="1" x14ac:dyDescent="0.35">
      <c r="E420" s="13"/>
    </row>
    <row r="421" spans="5:5" ht="14.25" customHeight="1" x14ac:dyDescent="0.35">
      <c r="E421" s="13"/>
    </row>
    <row r="422" spans="5:5" ht="14.25" customHeight="1" x14ac:dyDescent="0.35">
      <c r="E422" s="13"/>
    </row>
    <row r="423" spans="5:5" ht="14.25" customHeight="1" x14ac:dyDescent="0.35">
      <c r="E423" s="13"/>
    </row>
    <row r="424" spans="5:5" ht="14.25" customHeight="1" x14ac:dyDescent="0.35">
      <c r="E424" s="13"/>
    </row>
    <row r="425" spans="5:5" ht="14.25" customHeight="1" x14ac:dyDescent="0.35">
      <c r="E425" s="13"/>
    </row>
    <row r="426" spans="5:5" ht="14.25" customHeight="1" x14ac:dyDescent="0.35">
      <c r="E426" s="13"/>
    </row>
    <row r="427" spans="5:5" ht="14.25" customHeight="1" x14ac:dyDescent="0.35">
      <c r="E427" s="13"/>
    </row>
    <row r="428" spans="5:5" ht="14.25" customHeight="1" x14ac:dyDescent="0.35">
      <c r="E428" s="13"/>
    </row>
    <row r="429" spans="5:5" ht="14.25" customHeight="1" x14ac:dyDescent="0.35">
      <c r="E429" s="13"/>
    </row>
    <row r="430" spans="5:5" ht="14.25" customHeight="1" x14ac:dyDescent="0.35">
      <c r="E430" s="13"/>
    </row>
    <row r="431" spans="5:5" ht="14.25" customHeight="1" x14ac:dyDescent="0.35">
      <c r="E431" s="13"/>
    </row>
    <row r="432" spans="5:5" ht="14.25" customHeight="1" x14ac:dyDescent="0.35">
      <c r="E432" s="13"/>
    </row>
    <row r="433" spans="5:5" ht="14.25" customHeight="1" x14ac:dyDescent="0.35">
      <c r="E433" s="13"/>
    </row>
    <row r="434" spans="5:5" ht="14.25" customHeight="1" x14ac:dyDescent="0.35">
      <c r="E434" s="13"/>
    </row>
    <row r="435" spans="5:5" ht="14.25" customHeight="1" x14ac:dyDescent="0.35">
      <c r="E435" s="13"/>
    </row>
    <row r="436" spans="5:5" ht="14.25" customHeight="1" x14ac:dyDescent="0.35">
      <c r="E436" s="13"/>
    </row>
    <row r="437" spans="5:5" ht="14.25" customHeight="1" x14ac:dyDescent="0.35">
      <c r="E437" s="13"/>
    </row>
    <row r="438" spans="5:5" ht="14.25" customHeight="1" x14ac:dyDescent="0.35">
      <c r="E438" s="13"/>
    </row>
    <row r="439" spans="5:5" ht="14.25" customHeight="1" x14ac:dyDescent="0.35">
      <c r="E439" s="13"/>
    </row>
    <row r="440" spans="5:5" ht="14.25" customHeight="1" x14ac:dyDescent="0.35">
      <c r="E440" s="13"/>
    </row>
    <row r="441" spans="5:5" ht="14.25" customHeight="1" x14ac:dyDescent="0.35">
      <c r="E441" s="13"/>
    </row>
    <row r="442" spans="5:5" ht="14.25" customHeight="1" x14ac:dyDescent="0.35">
      <c r="E442" s="13"/>
    </row>
    <row r="443" spans="5:5" ht="14.25" customHeight="1" x14ac:dyDescent="0.35">
      <c r="E443" s="13"/>
    </row>
    <row r="444" spans="5:5" ht="14.25" customHeight="1" x14ac:dyDescent="0.35">
      <c r="E444" s="13"/>
    </row>
    <row r="445" spans="5:5" ht="14.25" customHeight="1" x14ac:dyDescent="0.35">
      <c r="E445" s="13"/>
    </row>
    <row r="446" spans="5:5" ht="14.25" customHeight="1" x14ac:dyDescent="0.35">
      <c r="E446" s="13"/>
    </row>
    <row r="447" spans="5:5" ht="14.25" customHeight="1" x14ac:dyDescent="0.35">
      <c r="E447" s="13"/>
    </row>
    <row r="448" spans="5:5" ht="14.25" customHeight="1" x14ac:dyDescent="0.35">
      <c r="E448" s="13"/>
    </row>
    <row r="449" spans="5:5" ht="14.25" customHeight="1" x14ac:dyDescent="0.35">
      <c r="E449" s="13"/>
    </row>
    <row r="450" spans="5:5" ht="14.25" customHeight="1" x14ac:dyDescent="0.35">
      <c r="E450" s="13"/>
    </row>
    <row r="451" spans="5:5" ht="14.25" customHeight="1" x14ac:dyDescent="0.35">
      <c r="E451" s="13"/>
    </row>
    <row r="452" spans="5:5" ht="14.25" customHeight="1" x14ac:dyDescent="0.35">
      <c r="E452" s="13"/>
    </row>
    <row r="453" spans="5:5" ht="14.25" customHeight="1" x14ac:dyDescent="0.35">
      <c r="E453" s="13"/>
    </row>
    <row r="454" spans="5:5" ht="14.25" customHeight="1" x14ac:dyDescent="0.35">
      <c r="E454" s="13"/>
    </row>
    <row r="455" spans="5:5" ht="14.25" customHeight="1" x14ac:dyDescent="0.35">
      <c r="E455" s="13"/>
    </row>
    <row r="456" spans="5:5" ht="14.25" customHeight="1" x14ac:dyDescent="0.35">
      <c r="E456" s="13"/>
    </row>
    <row r="457" spans="5:5" ht="14.25" customHeight="1" x14ac:dyDescent="0.35">
      <c r="E457" s="13"/>
    </row>
    <row r="458" spans="5:5" ht="14.25" customHeight="1" x14ac:dyDescent="0.35">
      <c r="E458" s="13"/>
    </row>
    <row r="459" spans="5:5" ht="14.25" customHeight="1" x14ac:dyDescent="0.35">
      <c r="E459" s="13"/>
    </row>
    <row r="460" spans="5:5" ht="14.25" customHeight="1" x14ac:dyDescent="0.35">
      <c r="E460" s="13"/>
    </row>
    <row r="461" spans="5:5" ht="14.25" customHeight="1" x14ac:dyDescent="0.35">
      <c r="E461" s="13"/>
    </row>
    <row r="462" spans="5:5" ht="14.25" customHeight="1" x14ac:dyDescent="0.35">
      <c r="E462" s="13"/>
    </row>
    <row r="463" spans="5:5" ht="14.25" customHeight="1" x14ac:dyDescent="0.35">
      <c r="E463" s="13"/>
    </row>
    <row r="464" spans="5:5" ht="14.25" customHeight="1" x14ac:dyDescent="0.35">
      <c r="E464" s="13"/>
    </row>
    <row r="465" spans="5:5" ht="14.25" customHeight="1" x14ac:dyDescent="0.35">
      <c r="E465" s="13"/>
    </row>
    <row r="466" spans="5:5" ht="14.25" customHeight="1" x14ac:dyDescent="0.35">
      <c r="E466" s="13"/>
    </row>
    <row r="467" spans="5:5" ht="14.25" customHeight="1" x14ac:dyDescent="0.35">
      <c r="E467" s="13"/>
    </row>
    <row r="468" spans="5:5" ht="14.25" customHeight="1" x14ac:dyDescent="0.35">
      <c r="E468" s="13"/>
    </row>
    <row r="469" spans="5:5" ht="14.25" customHeight="1" x14ac:dyDescent="0.35">
      <c r="E469" s="13"/>
    </row>
    <row r="470" spans="5:5" ht="14.25" customHeight="1" x14ac:dyDescent="0.35">
      <c r="E470" s="13"/>
    </row>
    <row r="471" spans="5:5" ht="14.25" customHeight="1" x14ac:dyDescent="0.35">
      <c r="E471" s="13"/>
    </row>
    <row r="472" spans="5:5" ht="14.25" customHeight="1" x14ac:dyDescent="0.35">
      <c r="E472" s="13"/>
    </row>
    <row r="473" spans="5:5" ht="14.25" customHeight="1" x14ac:dyDescent="0.35">
      <c r="E473" s="13"/>
    </row>
    <row r="474" spans="5:5" ht="14.25" customHeight="1" x14ac:dyDescent="0.35">
      <c r="E474" s="13"/>
    </row>
    <row r="475" spans="5:5" ht="14.25" customHeight="1" x14ac:dyDescent="0.35">
      <c r="E475" s="13"/>
    </row>
    <row r="476" spans="5:5" ht="14.25" customHeight="1" x14ac:dyDescent="0.35">
      <c r="E476" s="13"/>
    </row>
    <row r="477" spans="5:5" ht="14.25" customHeight="1" x14ac:dyDescent="0.35">
      <c r="E477" s="13"/>
    </row>
    <row r="478" spans="5:5" ht="14.25" customHeight="1" x14ac:dyDescent="0.35">
      <c r="E478" s="13"/>
    </row>
    <row r="479" spans="5:5" ht="14.25" customHeight="1" x14ac:dyDescent="0.35">
      <c r="E479" s="13"/>
    </row>
    <row r="480" spans="5:5" ht="14.25" customHeight="1" x14ac:dyDescent="0.35">
      <c r="E480" s="13"/>
    </row>
    <row r="481" spans="5:5" ht="14.25" customHeight="1" x14ac:dyDescent="0.35">
      <c r="E481" s="13"/>
    </row>
    <row r="482" spans="5:5" ht="14.25" customHeight="1" x14ac:dyDescent="0.35">
      <c r="E482" s="13"/>
    </row>
    <row r="483" spans="5:5" ht="14.25" customHeight="1" x14ac:dyDescent="0.35">
      <c r="E483" s="13"/>
    </row>
    <row r="484" spans="5:5" ht="14.25" customHeight="1" x14ac:dyDescent="0.35">
      <c r="E484" s="13"/>
    </row>
    <row r="485" spans="5:5" ht="14.25" customHeight="1" x14ac:dyDescent="0.35">
      <c r="E485" s="13"/>
    </row>
    <row r="486" spans="5:5" ht="14.25" customHeight="1" x14ac:dyDescent="0.35">
      <c r="E486" s="13"/>
    </row>
    <row r="487" spans="5:5" ht="14.25" customHeight="1" x14ac:dyDescent="0.35">
      <c r="E487" s="13"/>
    </row>
    <row r="488" spans="5:5" ht="14.25" customHeight="1" x14ac:dyDescent="0.35">
      <c r="E488" s="13"/>
    </row>
    <row r="489" spans="5:5" ht="14.25" customHeight="1" x14ac:dyDescent="0.35">
      <c r="E489" s="13"/>
    </row>
    <row r="490" spans="5:5" ht="14.25" customHeight="1" x14ac:dyDescent="0.35">
      <c r="E490" s="13"/>
    </row>
    <row r="491" spans="5:5" ht="14.25" customHeight="1" x14ac:dyDescent="0.35">
      <c r="E491" s="13"/>
    </row>
    <row r="492" spans="5:5" ht="14.25" customHeight="1" x14ac:dyDescent="0.35">
      <c r="E492" s="13"/>
    </row>
    <row r="493" spans="5:5" ht="14.25" customHeight="1" x14ac:dyDescent="0.35">
      <c r="E493" s="13"/>
    </row>
    <row r="494" spans="5:5" ht="14.25" customHeight="1" x14ac:dyDescent="0.35">
      <c r="E494" s="13"/>
    </row>
    <row r="495" spans="5:5" ht="14.25" customHeight="1" x14ac:dyDescent="0.35">
      <c r="E495" s="13"/>
    </row>
    <row r="496" spans="5:5" ht="14.25" customHeight="1" x14ac:dyDescent="0.35">
      <c r="E496" s="13"/>
    </row>
    <row r="497" spans="5:5" ht="14.25" customHeight="1" x14ac:dyDescent="0.35">
      <c r="E497" s="13"/>
    </row>
    <row r="498" spans="5:5" ht="14.25" customHeight="1" x14ac:dyDescent="0.35">
      <c r="E498" s="13"/>
    </row>
    <row r="499" spans="5:5" ht="14.25" customHeight="1" x14ac:dyDescent="0.35">
      <c r="E499" s="13"/>
    </row>
    <row r="500" spans="5:5" ht="14.25" customHeight="1" x14ac:dyDescent="0.35">
      <c r="E500" s="13"/>
    </row>
    <row r="501" spans="5:5" ht="14.25" customHeight="1" x14ac:dyDescent="0.35">
      <c r="E501" s="13"/>
    </row>
    <row r="502" spans="5:5" ht="14.25" customHeight="1" x14ac:dyDescent="0.35">
      <c r="E502" s="13"/>
    </row>
    <row r="503" spans="5:5" ht="14.25" customHeight="1" x14ac:dyDescent="0.35">
      <c r="E503" s="13"/>
    </row>
    <row r="504" spans="5:5" ht="14.25" customHeight="1" x14ac:dyDescent="0.35">
      <c r="E504" s="13"/>
    </row>
    <row r="505" spans="5:5" ht="14.25" customHeight="1" x14ac:dyDescent="0.35">
      <c r="E505" s="13"/>
    </row>
    <row r="506" spans="5:5" ht="14.25" customHeight="1" x14ac:dyDescent="0.35">
      <c r="E506" s="13"/>
    </row>
    <row r="507" spans="5:5" ht="14.25" customHeight="1" x14ac:dyDescent="0.35">
      <c r="E507" s="13"/>
    </row>
    <row r="508" spans="5:5" ht="14.25" customHeight="1" x14ac:dyDescent="0.35">
      <c r="E508" s="13"/>
    </row>
    <row r="509" spans="5:5" ht="14.25" customHeight="1" x14ac:dyDescent="0.35">
      <c r="E509" s="13"/>
    </row>
    <row r="510" spans="5:5" ht="14.25" customHeight="1" x14ac:dyDescent="0.35">
      <c r="E510" s="13"/>
    </row>
    <row r="511" spans="5:5" ht="14.25" customHeight="1" x14ac:dyDescent="0.35">
      <c r="E511" s="13"/>
    </row>
    <row r="512" spans="5:5" ht="14.25" customHeight="1" x14ac:dyDescent="0.35">
      <c r="E512" s="13"/>
    </row>
    <row r="513" spans="5:5" ht="14.25" customHeight="1" x14ac:dyDescent="0.35">
      <c r="E513" s="13"/>
    </row>
    <row r="514" spans="5:5" ht="14.25" customHeight="1" x14ac:dyDescent="0.35">
      <c r="E514" s="13"/>
    </row>
    <row r="515" spans="5:5" ht="14.25" customHeight="1" x14ac:dyDescent="0.35">
      <c r="E515" s="13"/>
    </row>
    <row r="516" spans="5:5" ht="14.25" customHeight="1" x14ac:dyDescent="0.35">
      <c r="E516" s="13"/>
    </row>
    <row r="517" spans="5:5" ht="14.25" customHeight="1" x14ac:dyDescent="0.35">
      <c r="E517" s="13"/>
    </row>
    <row r="518" spans="5:5" ht="14.25" customHeight="1" x14ac:dyDescent="0.35">
      <c r="E518" s="13"/>
    </row>
    <row r="519" spans="5:5" ht="14.25" customHeight="1" x14ac:dyDescent="0.35">
      <c r="E519" s="13"/>
    </row>
    <row r="520" spans="5:5" ht="14.25" customHeight="1" x14ac:dyDescent="0.35">
      <c r="E520" s="13"/>
    </row>
    <row r="521" spans="5:5" ht="14.25" customHeight="1" x14ac:dyDescent="0.35">
      <c r="E521" s="13"/>
    </row>
    <row r="522" spans="5:5" ht="14.25" customHeight="1" x14ac:dyDescent="0.35">
      <c r="E522" s="13"/>
    </row>
    <row r="523" spans="5:5" ht="14.25" customHeight="1" x14ac:dyDescent="0.35">
      <c r="E523" s="13"/>
    </row>
    <row r="524" spans="5:5" ht="14.25" customHeight="1" x14ac:dyDescent="0.35">
      <c r="E524" s="13"/>
    </row>
    <row r="525" spans="5:5" ht="14.25" customHeight="1" x14ac:dyDescent="0.35">
      <c r="E525" s="13"/>
    </row>
    <row r="526" spans="5:5" ht="14.25" customHeight="1" x14ac:dyDescent="0.35">
      <c r="E526" s="13"/>
    </row>
    <row r="527" spans="5:5" ht="14.25" customHeight="1" x14ac:dyDescent="0.35">
      <c r="E527" s="13"/>
    </row>
    <row r="528" spans="5:5" ht="14.25" customHeight="1" x14ac:dyDescent="0.35">
      <c r="E528" s="13"/>
    </row>
    <row r="529" spans="5:5" ht="14.25" customHeight="1" x14ac:dyDescent="0.35">
      <c r="E529" s="13"/>
    </row>
    <row r="530" spans="5:5" ht="14.25" customHeight="1" x14ac:dyDescent="0.35">
      <c r="E530" s="13"/>
    </row>
    <row r="531" spans="5:5" ht="14.25" customHeight="1" x14ac:dyDescent="0.35">
      <c r="E531" s="13"/>
    </row>
    <row r="532" spans="5:5" ht="14.25" customHeight="1" x14ac:dyDescent="0.35">
      <c r="E532" s="13"/>
    </row>
    <row r="533" spans="5:5" ht="14.25" customHeight="1" x14ac:dyDescent="0.35">
      <c r="E533" s="13"/>
    </row>
    <row r="534" spans="5:5" ht="14.25" customHeight="1" x14ac:dyDescent="0.35">
      <c r="E534" s="13"/>
    </row>
    <row r="535" spans="5:5" ht="14.25" customHeight="1" x14ac:dyDescent="0.35">
      <c r="E535" s="13"/>
    </row>
    <row r="536" spans="5:5" ht="14.25" customHeight="1" x14ac:dyDescent="0.35">
      <c r="E536" s="13"/>
    </row>
    <row r="537" spans="5:5" ht="14.25" customHeight="1" x14ac:dyDescent="0.35">
      <c r="E537" s="13"/>
    </row>
    <row r="538" spans="5:5" ht="14.25" customHeight="1" x14ac:dyDescent="0.35">
      <c r="E538" s="13"/>
    </row>
    <row r="539" spans="5:5" ht="14.25" customHeight="1" x14ac:dyDescent="0.35">
      <c r="E539" s="13"/>
    </row>
    <row r="540" spans="5:5" ht="14.25" customHeight="1" x14ac:dyDescent="0.35">
      <c r="E540" s="13"/>
    </row>
    <row r="541" spans="5:5" ht="14.25" customHeight="1" x14ac:dyDescent="0.35">
      <c r="E541" s="13"/>
    </row>
    <row r="542" spans="5:5" ht="14.25" customHeight="1" x14ac:dyDescent="0.35">
      <c r="E542" s="13"/>
    </row>
    <row r="543" spans="5:5" ht="14.25" customHeight="1" x14ac:dyDescent="0.35">
      <c r="E543" s="13"/>
    </row>
    <row r="544" spans="5:5" ht="14.25" customHeight="1" x14ac:dyDescent="0.35">
      <c r="E544" s="13"/>
    </row>
    <row r="545" spans="5:5" ht="14.25" customHeight="1" x14ac:dyDescent="0.35">
      <c r="E545" s="13"/>
    </row>
    <row r="546" spans="5:5" ht="14.25" customHeight="1" x14ac:dyDescent="0.35">
      <c r="E546" s="13"/>
    </row>
    <row r="547" spans="5:5" ht="14.25" customHeight="1" x14ac:dyDescent="0.35">
      <c r="E547" s="13"/>
    </row>
    <row r="548" spans="5:5" ht="14.25" customHeight="1" x14ac:dyDescent="0.35">
      <c r="E548" s="13"/>
    </row>
    <row r="549" spans="5:5" ht="14.25" customHeight="1" x14ac:dyDescent="0.35">
      <c r="E549" s="13"/>
    </row>
    <row r="550" spans="5:5" ht="14.25" customHeight="1" x14ac:dyDescent="0.35">
      <c r="E550" s="13"/>
    </row>
    <row r="551" spans="5:5" ht="14.25" customHeight="1" x14ac:dyDescent="0.35">
      <c r="E551" s="13"/>
    </row>
    <row r="552" spans="5:5" ht="14.25" customHeight="1" x14ac:dyDescent="0.35">
      <c r="E552" s="13"/>
    </row>
    <row r="553" spans="5:5" ht="14.25" customHeight="1" x14ac:dyDescent="0.35">
      <c r="E553" s="13"/>
    </row>
    <row r="554" spans="5:5" ht="14.25" customHeight="1" x14ac:dyDescent="0.35">
      <c r="E554" s="13"/>
    </row>
    <row r="555" spans="5:5" ht="14.25" customHeight="1" x14ac:dyDescent="0.35">
      <c r="E555" s="13"/>
    </row>
    <row r="556" spans="5:5" ht="14.25" customHeight="1" x14ac:dyDescent="0.35">
      <c r="E556" s="13"/>
    </row>
    <row r="557" spans="5:5" ht="14.25" customHeight="1" x14ac:dyDescent="0.35">
      <c r="E557" s="13"/>
    </row>
    <row r="558" spans="5:5" ht="14.25" customHeight="1" x14ac:dyDescent="0.35">
      <c r="E558" s="13"/>
    </row>
    <row r="559" spans="5:5" ht="14.25" customHeight="1" x14ac:dyDescent="0.35">
      <c r="E559" s="13"/>
    </row>
    <row r="560" spans="5:5" ht="14.25" customHeight="1" x14ac:dyDescent="0.35">
      <c r="E560" s="13"/>
    </row>
    <row r="561" spans="5:5" ht="14.25" customHeight="1" x14ac:dyDescent="0.35">
      <c r="E561" s="13"/>
    </row>
    <row r="562" spans="5:5" ht="14.25" customHeight="1" x14ac:dyDescent="0.35">
      <c r="E562" s="13"/>
    </row>
    <row r="563" spans="5:5" ht="14.25" customHeight="1" x14ac:dyDescent="0.35">
      <c r="E563" s="13"/>
    </row>
    <row r="564" spans="5:5" ht="14.25" customHeight="1" x14ac:dyDescent="0.35">
      <c r="E564" s="13"/>
    </row>
    <row r="565" spans="5:5" ht="14.25" customHeight="1" x14ac:dyDescent="0.35">
      <c r="E565" s="13"/>
    </row>
    <row r="566" spans="5:5" ht="14.25" customHeight="1" x14ac:dyDescent="0.35">
      <c r="E566" s="13"/>
    </row>
    <row r="567" spans="5:5" ht="14.25" customHeight="1" x14ac:dyDescent="0.35">
      <c r="E567" s="13"/>
    </row>
    <row r="568" spans="5:5" ht="14.25" customHeight="1" x14ac:dyDescent="0.35">
      <c r="E568" s="13"/>
    </row>
    <row r="569" spans="5:5" ht="14.25" customHeight="1" x14ac:dyDescent="0.35">
      <c r="E569" s="13"/>
    </row>
    <row r="570" spans="5:5" ht="14.25" customHeight="1" x14ac:dyDescent="0.35">
      <c r="E570" s="13"/>
    </row>
    <row r="571" spans="5:5" ht="14.25" customHeight="1" x14ac:dyDescent="0.35">
      <c r="E571" s="13"/>
    </row>
    <row r="572" spans="5:5" ht="14.25" customHeight="1" x14ac:dyDescent="0.35">
      <c r="E572" s="13"/>
    </row>
    <row r="573" spans="5:5" ht="14.25" customHeight="1" x14ac:dyDescent="0.35">
      <c r="E573" s="13"/>
    </row>
    <row r="574" spans="5:5" ht="14.25" customHeight="1" x14ac:dyDescent="0.35">
      <c r="E574" s="13"/>
    </row>
    <row r="575" spans="5:5" ht="14.25" customHeight="1" x14ac:dyDescent="0.35">
      <c r="E575" s="13"/>
    </row>
    <row r="576" spans="5:5" ht="14.25" customHeight="1" x14ac:dyDescent="0.35">
      <c r="E576" s="13"/>
    </row>
    <row r="577" spans="5:5" ht="14.25" customHeight="1" x14ac:dyDescent="0.35">
      <c r="E577" s="13"/>
    </row>
    <row r="578" spans="5:5" ht="14.25" customHeight="1" x14ac:dyDescent="0.35">
      <c r="E578" s="13"/>
    </row>
    <row r="579" spans="5:5" ht="14.25" customHeight="1" x14ac:dyDescent="0.35">
      <c r="E579" s="13"/>
    </row>
    <row r="580" spans="5:5" ht="14.25" customHeight="1" x14ac:dyDescent="0.35">
      <c r="E580" s="13"/>
    </row>
    <row r="581" spans="5:5" ht="14.25" customHeight="1" x14ac:dyDescent="0.35">
      <c r="E581" s="13"/>
    </row>
    <row r="582" spans="5:5" ht="14.25" customHeight="1" x14ac:dyDescent="0.35">
      <c r="E582" s="13"/>
    </row>
    <row r="583" spans="5:5" ht="14.25" customHeight="1" x14ac:dyDescent="0.35">
      <c r="E583" s="13"/>
    </row>
    <row r="584" spans="5:5" ht="14.25" customHeight="1" x14ac:dyDescent="0.35">
      <c r="E584" s="13"/>
    </row>
    <row r="585" spans="5:5" ht="14.25" customHeight="1" x14ac:dyDescent="0.35">
      <c r="E585" s="13"/>
    </row>
    <row r="586" spans="5:5" ht="14.25" customHeight="1" x14ac:dyDescent="0.35">
      <c r="E586" s="13"/>
    </row>
    <row r="587" spans="5:5" ht="14.25" customHeight="1" x14ac:dyDescent="0.35">
      <c r="E587" s="13"/>
    </row>
    <row r="588" spans="5:5" ht="14.25" customHeight="1" x14ac:dyDescent="0.35">
      <c r="E588" s="13"/>
    </row>
    <row r="589" spans="5:5" ht="14.25" customHeight="1" x14ac:dyDescent="0.35">
      <c r="E589" s="13"/>
    </row>
    <row r="590" spans="5:5" ht="14.25" customHeight="1" x14ac:dyDescent="0.35">
      <c r="E590" s="13"/>
    </row>
    <row r="591" spans="5:5" ht="14.25" customHeight="1" x14ac:dyDescent="0.35">
      <c r="E591" s="13"/>
    </row>
    <row r="592" spans="5:5" ht="14.25" customHeight="1" x14ac:dyDescent="0.35">
      <c r="E592" s="13"/>
    </row>
    <row r="593" spans="5:5" ht="14.25" customHeight="1" x14ac:dyDescent="0.35">
      <c r="E593" s="13"/>
    </row>
    <row r="594" spans="5:5" ht="14.25" customHeight="1" x14ac:dyDescent="0.35">
      <c r="E594" s="13"/>
    </row>
    <row r="595" spans="5:5" ht="14.25" customHeight="1" x14ac:dyDescent="0.35">
      <c r="E595" s="13"/>
    </row>
    <row r="596" spans="5:5" ht="14.25" customHeight="1" x14ac:dyDescent="0.35">
      <c r="E596" s="13"/>
    </row>
    <row r="597" spans="5:5" ht="14.25" customHeight="1" x14ac:dyDescent="0.35">
      <c r="E597" s="13"/>
    </row>
    <row r="598" spans="5:5" ht="14.25" customHeight="1" x14ac:dyDescent="0.35">
      <c r="E598" s="13"/>
    </row>
    <row r="599" spans="5:5" ht="14.25" customHeight="1" x14ac:dyDescent="0.35">
      <c r="E599" s="13"/>
    </row>
    <row r="600" spans="5:5" ht="14.25" customHeight="1" x14ac:dyDescent="0.35">
      <c r="E600" s="13"/>
    </row>
    <row r="601" spans="5:5" ht="14.25" customHeight="1" x14ac:dyDescent="0.35">
      <c r="E601" s="13"/>
    </row>
    <row r="602" spans="5:5" ht="14.25" customHeight="1" x14ac:dyDescent="0.35">
      <c r="E602" s="13"/>
    </row>
    <row r="603" spans="5:5" ht="14.25" customHeight="1" x14ac:dyDescent="0.35">
      <c r="E603" s="13"/>
    </row>
    <row r="604" spans="5:5" ht="14.25" customHeight="1" x14ac:dyDescent="0.35">
      <c r="E604" s="13"/>
    </row>
    <row r="605" spans="5:5" ht="14.25" customHeight="1" x14ac:dyDescent="0.35">
      <c r="E605" s="13"/>
    </row>
    <row r="606" spans="5:5" ht="14.25" customHeight="1" x14ac:dyDescent="0.35">
      <c r="E606" s="13"/>
    </row>
    <row r="607" spans="5:5" ht="14.25" customHeight="1" x14ac:dyDescent="0.35">
      <c r="E607" s="13"/>
    </row>
    <row r="608" spans="5:5" ht="14.25" customHeight="1" x14ac:dyDescent="0.35">
      <c r="E608" s="13"/>
    </row>
    <row r="609" spans="5:5" ht="14.25" customHeight="1" x14ac:dyDescent="0.35">
      <c r="E609" s="13"/>
    </row>
    <row r="610" spans="5:5" ht="14.25" customHeight="1" x14ac:dyDescent="0.35">
      <c r="E610" s="13"/>
    </row>
    <row r="611" spans="5:5" ht="14.25" customHeight="1" x14ac:dyDescent="0.35">
      <c r="E611" s="13"/>
    </row>
    <row r="612" spans="5:5" ht="14.25" customHeight="1" x14ac:dyDescent="0.35">
      <c r="E612" s="13"/>
    </row>
    <row r="613" spans="5:5" ht="14.25" customHeight="1" x14ac:dyDescent="0.35">
      <c r="E613" s="13"/>
    </row>
    <row r="614" spans="5:5" ht="14.25" customHeight="1" x14ac:dyDescent="0.35">
      <c r="E614" s="13"/>
    </row>
    <row r="615" spans="5:5" ht="14.25" customHeight="1" x14ac:dyDescent="0.35">
      <c r="E615" s="13"/>
    </row>
    <row r="616" spans="5:5" ht="14.25" customHeight="1" x14ac:dyDescent="0.35">
      <c r="E616" s="13"/>
    </row>
    <row r="617" spans="5:5" ht="14.25" customHeight="1" x14ac:dyDescent="0.35">
      <c r="E617" s="13"/>
    </row>
    <row r="618" spans="5:5" ht="14.25" customHeight="1" x14ac:dyDescent="0.35">
      <c r="E618" s="13"/>
    </row>
    <row r="619" spans="5:5" ht="14.25" customHeight="1" x14ac:dyDescent="0.35">
      <c r="E619" s="13"/>
    </row>
    <row r="620" spans="5:5" ht="14.25" customHeight="1" x14ac:dyDescent="0.35">
      <c r="E620" s="13"/>
    </row>
    <row r="621" spans="5:5" ht="14.25" customHeight="1" x14ac:dyDescent="0.35">
      <c r="E621" s="13"/>
    </row>
    <row r="622" spans="5:5" ht="14.25" customHeight="1" x14ac:dyDescent="0.35">
      <c r="E622" s="13"/>
    </row>
    <row r="623" spans="5:5" ht="14.25" customHeight="1" x14ac:dyDescent="0.35">
      <c r="E623" s="13"/>
    </row>
    <row r="624" spans="5:5" ht="14.25" customHeight="1" x14ac:dyDescent="0.35">
      <c r="E624" s="13"/>
    </row>
    <row r="625" spans="5:5" ht="14.25" customHeight="1" x14ac:dyDescent="0.35">
      <c r="E625" s="13"/>
    </row>
    <row r="626" spans="5:5" ht="14.25" customHeight="1" x14ac:dyDescent="0.35">
      <c r="E626" s="13"/>
    </row>
    <row r="627" spans="5:5" ht="14.25" customHeight="1" x14ac:dyDescent="0.35">
      <c r="E627" s="13"/>
    </row>
    <row r="628" spans="5:5" ht="14.25" customHeight="1" x14ac:dyDescent="0.35">
      <c r="E628" s="13"/>
    </row>
    <row r="629" spans="5:5" ht="14.25" customHeight="1" x14ac:dyDescent="0.35">
      <c r="E629" s="13"/>
    </row>
    <row r="630" spans="5:5" ht="14.25" customHeight="1" x14ac:dyDescent="0.35">
      <c r="E630" s="13"/>
    </row>
    <row r="631" spans="5:5" ht="14.25" customHeight="1" x14ac:dyDescent="0.35">
      <c r="E631" s="13"/>
    </row>
    <row r="632" spans="5:5" ht="14.25" customHeight="1" x14ac:dyDescent="0.35">
      <c r="E632" s="13"/>
    </row>
    <row r="633" spans="5:5" ht="14.25" customHeight="1" x14ac:dyDescent="0.35">
      <c r="E633" s="13"/>
    </row>
    <row r="634" spans="5:5" ht="14.25" customHeight="1" x14ac:dyDescent="0.35">
      <c r="E634" s="13"/>
    </row>
    <row r="635" spans="5:5" ht="14.25" customHeight="1" x14ac:dyDescent="0.35">
      <c r="E635" s="13"/>
    </row>
    <row r="636" spans="5:5" ht="14.25" customHeight="1" x14ac:dyDescent="0.35">
      <c r="E636" s="13"/>
    </row>
    <row r="637" spans="5:5" ht="14.25" customHeight="1" x14ac:dyDescent="0.35">
      <c r="E637" s="13"/>
    </row>
    <row r="638" spans="5:5" ht="14.25" customHeight="1" x14ac:dyDescent="0.35">
      <c r="E638" s="13"/>
    </row>
    <row r="639" spans="5:5" ht="14.25" customHeight="1" x14ac:dyDescent="0.35">
      <c r="E639" s="13"/>
    </row>
    <row r="640" spans="5:5" ht="14.25" customHeight="1" x14ac:dyDescent="0.35">
      <c r="E640" s="13"/>
    </row>
    <row r="641" spans="5:5" ht="14.25" customHeight="1" x14ac:dyDescent="0.35">
      <c r="E641" s="13"/>
    </row>
    <row r="642" spans="5:5" ht="14.25" customHeight="1" x14ac:dyDescent="0.35">
      <c r="E642" s="13"/>
    </row>
    <row r="643" spans="5:5" ht="14.25" customHeight="1" x14ac:dyDescent="0.35">
      <c r="E643" s="13"/>
    </row>
    <row r="644" spans="5:5" ht="14.25" customHeight="1" x14ac:dyDescent="0.35">
      <c r="E644" s="13"/>
    </row>
    <row r="645" spans="5:5" ht="14.25" customHeight="1" x14ac:dyDescent="0.35">
      <c r="E645" s="13"/>
    </row>
    <row r="646" spans="5:5" ht="14.25" customHeight="1" x14ac:dyDescent="0.35">
      <c r="E646" s="13"/>
    </row>
    <row r="647" spans="5:5" ht="14.25" customHeight="1" x14ac:dyDescent="0.35">
      <c r="E647" s="13"/>
    </row>
    <row r="648" spans="5:5" ht="14.25" customHeight="1" x14ac:dyDescent="0.35">
      <c r="E648" s="13"/>
    </row>
    <row r="649" spans="5:5" ht="14.25" customHeight="1" x14ac:dyDescent="0.35">
      <c r="E649" s="13"/>
    </row>
    <row r="650" spans="5:5" ht="14.25" customHeight="1" x14ac:dyDescent="0.35">
      <c r="E650" s="13"/>
    </row>
    <row r="651" spans="5:5" ht="14.25" customHeight="1" x14ac:dyDescent="0.35">
      <c r="E651" s="13"/>
    </row>
    <row r="652" spans="5:5" ht="14.25" customHeight="1" x14ac:dyDescent="0.35">
      <c r="E652" s="13"/>
    </row>
    <row r="653" spans="5:5" ht="14.25" customHeight="1" x14ac:dyDescent="0.35">
      <c r="E653" s="13"/>
    </row>
    <row r="654" spans="5:5" ht="14.25" customHeight="1" x14ac:dyDescent="0.35">
      <c r="E654" s="13"/>
    </row>
    <row r="655" spans="5:5" ht="14.25" customHeight="1" x14ac:dyDescent="0.35">
      <c r="E655" s="13"/>
    </row>
    <row r="656" spans="5:5" ht="14.25" customHeight="1" x14ac:dyDescent="0.35">
      <c r="E656" s="13"/>
    </row>
    <row r="657" spans="5:5" ht="14.25" customHeight="1" x14ac:dyDescent="0.35">
      <c r="E657" s="13"/>
    </row>
    <row r="658" spans="5:5" ht="14.25" customHeight="1" x14ac:dyDescent="0.35">
      <c r="E658" s="13"/>
    </row>
    <row r="659" spans="5:5" ht="14.25" customHeight="1" x14ac:dyDescent="0.35">
      <c r="E659" s="13"/>
    </row>
    <row r="660" spans="5:5" ht="14.25" customHeight="1" x14ac:dyDescent="0.35">
      <c r="E660" s="13"/>
    </row>
    <row r="661" spans="5:5" ht="14.25" customHeight="1" x14ac:dyDescent="0.35">
      <c r="E661" s="13"/>
    </row>
    <row r="662" spans="5:5" ht="14.25" customHeight="1" x14ac:dyDescent="0.35">
      <c r="E662" s="13"/>
    </row>
    <row r="663" spans="5:5" ht="14.25" customHeight="1" x14ac:dyDescent="0.35">
      <c r="E663" s="13"/>
    </row>
    <row r="664" spans="5:5" ht="14.25" customHeight="1" x14ac:dyDescent="0.35">
      <c r="E664" s="13"/>
    </row>
    <row r="665" spans="5:5" ht="14.25" customHeight="1" x14ac:dyDescent="0.35">
      <c r="E665" s="13"/>
    </row>
    <row r="666" spans="5:5" ht="14.25" customHeight="1" x14ac:dyDescent="0.35">
      <c r="E666" s="13"/>
    </row>
    <row r="667" spans="5:5" ht="14.25" customHeight="1" x14ac:dyDescent="0.35">
      <c r="E667" s="13"/>
    </row>
    <row r="668" spans="5:5" ht="14.25" customHeight="1" x14ac:dyDescent="0.35">
      <c r="E668" s="13"/>
    </row>
    <row r="669" spans="5:5" ht="14.25" customHeight="1" x14ac:dyDescent="0.35">
      <c r="E669" s="13"/>
    </row>
    <row r="670" spans="5:5" ht="14.25" customHeight="1" x14ac:dyDescent="0.35">
      <c r="E670" s="13"/>
    </row>
    <row r="671" spans="5:5" ht="14.25" customHeight="1" x14ac:dyDescent="0.35">
      <c r="E671" s="13"/>
    </row>
    <row r="672" spans="5:5" ht="14.25" customHeight="1" x14ac:dyDescent="0.35">
      <c r="E672" s="13"/>
    </row>
    <row r="673" spans="5:5" ht="14.25" customHeight="1" x14ac:dyDescent="0.35">
      <c r="E673" s="13"/>
    </row>
    <row r="674" spans="5:5" ht="14.25" customHeight="1" x14ac:dyDescent="0.35">
      <c r="E674" s="13"/>
    </row>
    <row r="675" spans="5:5" ht="14.25" customHeight="1" x14ac:dyDescent="0.35">
      <c r="E675" s="13"/>
    </row>
    <row r="676" spans="5:5" ht="14.25" customHeight="1" x14ac:dyDescent="0.35">
      <c r="E676" s="13"/>
    </row>
    <row r="677" spans="5:5" ht="14.25" customHeight="1" x14ac:dyDescent="0.35">
      <c r="E677" s="13"/>
    </row>
    <row r="678" spans="5:5" ht="14.25" customHeight="1" x14ac:dyDescent="0.35">
      <c r="E678" s="13"/>
    </row>
    <row r="679" spans="5:5" ht="14.25" customHeight="1" x14ac:dyDescent="0.35">
      <c r="E679" s="13"/>
    </row>
    <row r="680" spans="5:5" ht="14.25" customHeight="1" x14ac:dyDescent="0.35">
      <c r="E680" s="13"/>
    </row>
    <row r="681" spans="5:5" ht="14.25" customHeight="1" x14ac:dyDescent="0.35">
      <c r="E681" s="13"/>
    </row>
    <row r="682" spans="5:5" ht="14.25" customHeight="1" x14ac:dyDescent="0.35">
      <c r="E682" s="13"/>
    </row>
    <row r="683" spans="5:5" ht="14.25" customHeight="1" x14ac:dyDescent="0.35">
      <c r="E683" s="13"/>
    </row>
    <row r="684" spans="5:5" ht="14.25" customHeight="1" x14ac:dyDescent="0.35">
      <c r="E684" s="13"/>
    </row>
    <row r="685" spans="5:5" ht="14.25" customHeight="1" x14ac:dyDescent="0.35">
      <c r="E685" s="13"/>
    </row>
    <row r="686" spans="5:5" ht="14.25" customHeight="1" x14ac:dyDescent="0.35">
      <c r="E686" s="13"/>
    </row>
    <row r="687" spans="5:5" ht="14.25" customHeight="1" x14ac:dyDescent="0.35">
      <c r="E687" s="13"/>
    </row>
    <row r="688" spans="5:5" ht="14.25" customHeight="1" x14ac:dyDescent="0.35">
      <c r="E688" s="13"/>
    </row>
    <row r="689" spans="5:5" ht="14.25" customHeight="1" x14ac:dyDescent="0.35">
      <c r="E689" s="13"/>
    </row>
    <row r="690" spans="5:5" ht="14.25" customHeight="1" x14ac:dyDescent="0.35">
      <c r="E690" s="13"/>
    </row>
    <row r="691" spans="5:5" ht="14.25" customHeight="1" x14ac:dyDescent="0.35">
      <c r="E691" s="13"/>
    </row>
    <row r="692" spans="5:5" ht="14.25" customHeight="1" x14ac:dyDescent="0.35">
      <c r="E692" s="13"/>
    </row>
    <row r="693" spans="5:5" ht="14.25" customHeight="1" x14ac:dyDescent="0.35">
      <c r="E693" s="13"/>
    </row>
    <row r="694" spans="5:5" ht="14.25" customHeight="1" x14ac:dyDescent="0.35">
      <c r="E694" s="13"/>
    </row>
    <row r="695" spans="5:5" ht="14.25" customHeight="1" x14ac:dyDescent="0.35">
      <c r="E695" s="13"/>
    </row>
    <row r="696" spans="5:5" ht="14.25" customHeight="1" x14ac:dyDescent="0.35">
      <c r="E696" s="13"/>
    </row>
    <row r="697" spans="5:5" ht="14.25" customHeight="1" x14ac:dyDescent="0.35">
      <c r="E697" s="13"/>
    </row>
    <row r="698" spans="5:5" ht="14.25" customHeight="1" x14ac:dyDescent="0.35">
      <c r="E698" s="13"/>
    </row>
    <row r="699" spans="5:5" ht="14.25" customHeight="1" x14ac:dyDescent="0.35">
      <c r="E699" s="13"/>
    </row>
    <row r="700" spans="5:5" ht="14.25" customHeight="1" x14ac:dyDescent="0.35">
      <c r="E700" s="13"/>
    </row>
    <row r="701" spans="5:5" ht="14.25" customHeight="1" x14ac:dyDescent="0.35">
      <c r="E701" s="13"/>
    </row>
    <row r="702" spans="5:5" ht="14.25" customHeight="1" x14ac:dyDescent="0.35">
      <c r="E702" s="13"/>
    </row>
    <row r="703" spans="5:5" ht="14.25" customHeight="1" x14ac:dyDescent="0.35">
      <c r="E703" s="13"/>
    </row>
    <row r="704" spans="5:5" ht="14.25" customHeight="1" x14ac:dyDescent="0.35">
      <c r="E704" s="13"/>
    </row>
    <row r="705" spans="5:5" ht="14.25" customHeight="1" x14ac:dyDescent="0.35">
      <c r="E705" s="13"/>
    </row>
    <row r="706" spans="5:5" ht="14.25" customHeight="1" x14ac:dyDescent="0.35">
      <c r="E706" s="13"/>
    </row>
    <row r="707" spans="5:5" ht="14.25" customHeight="1" x14ac:dyDescent="0.35">
      <c r="E707" s="13"/>
    </row>
    <row r="708" spans="5:5" ht="14.25" customHeight="1" x14ac:dyDescent="0.35">
      <c r="E708" s="13"/>
    </row>
    <row r="709" spans="5:5" ht="14.25" customHeight="1" x14ac:dyDescent="0.35">
      <c r="E709" s="13"/>
    </row>
    <row r="710" spans="5:5" ht="14.25" customHeight="1" x14ac:dyDescent="0.35">
      <c r="E710" s="13"/>
    </row>
    <row r="711" spans="5:5" ht="14.25" customHeight="1" x14ac:dyDescent="0.35">
      <c r="E711" s="13"/>
    </row>
    <row r="712" spans="5:5" ht="14.25" customHeight="1" x14ac:dyDescent="0.35">
      <c r="E712" s="13"/>
    </row>
    <row r="713" spans="5:5" ht="14.25" customHeight="1" x14ac:dyDescent="0.35">
      <c r="E713" s="13"/>
    </row>
    <row r="714" spans="5:5" ht="14.25" customHeight="1" x14ac:dyDescent="0.35">
      <c r="E714" s="13"/>
    </row>
    <row r="715" spans="5:5" ht="14.25" customHeight="1" x14ac:dyDescent="0.35">
      <c r="E715" s="13"/>
    </row>
    <row r="716" spans="5:5" ht="14.25" customHeight="1" x14ac:dyDescent="0.35">
      <c r="E716" s="13"/>
    </row>
    <row r="717" spans="5:5" ht="14.25" customHeight="1" x14ac:dyDescent="0.35">
      <c r="E717" s="13"/>
    </row>
    <row r="718" spans="5:5" ht="14.25" customHeight="1" x14ac:dyDescent="0.35">
      <c r="E718" s="13"/>
    </row>
    <row r="719" spans="5:5" ht="14.25" customHeight="1" x14ac:dyDescent="0.35">
      <c r="E719" s="13"/>
    </row>
    <row r="720" spans="5:5" ht="14.25" customHeight="1" x14ac:dyDescent="0.35">
      <c r="E720" s="13"/>
    </row>
    <row r="721" spans="5:5" ht="14.25" customHeight="1" x14ac:dyDescent="0.35">
      <c r="E721" s="13"/>
    </row>
    <row r="722" spans="5:5" ht="14.25" customHeight="1" x14ac:dyDescent="0.35">
      <c r="E722" s="13"/>
    </row>
    <row r="723" spans="5:5" ht="14.25" customHeight="1" x14ac:dyDescent="0.35">
      <c r="E723" s="13"/>
    </row>
    <row r="724" spans="5:5" ht="14.25" customHeight="1" x14ac:dyDescent="0.35">
      <c r="E724" s="13"/>
    </row>
    <row r="725" spans="5:5" ht="14.25" customHeight="1" x14ac:dyDescent="0.35">
      <c r="E725" s="13"/>
    </row>
    <row r="726" spans="5:5" ht="14.25" customHeight="1" x14ac:dyDescent="0.35">
      <c r="E726" s="13"/>
    </row>
    <row r="727" spans="5:5" ht="14.25" customHeight="1" x14ac:dyDescent="0.35">
      <c r="E727" s="13"/>
    </row>
    <row r="728" spans="5:5" ht="14.25" customHeight="1" x14ac:dyDescent="0.35">
      <c r="E728" s="13"/>
    </row>
    <row r="729" spans="5:5" ht="14.25" customHeight="1" x14ac:dyDescent="0.35">
      <c r="E729" s="13"/>
    </row>
    <row r="730" spans="5:5" ht="14.25" customHeight="1" x14ac:dyDescent="0.35">
      <c r="E730" s="13"/>
    </row>
    <row r="731" spans="5:5" ht="14.25" customHeight="1" x14ac:dyDescent="0.35">
      <c r="E731" s="13"/>
    </row>
    <row r="732" spans="5:5" ht="14.25" customHeight="1" x14ac:dyDescent="0.35">
      <c r="E732" s="13"/>
    </row>
    <row r="733" spans="5:5" ht="14.25" customHeight="1" x14ac:dyDescent="0.35">
      <c r="E733" s="13"/>
    </row>
    <row r="734" spans="5:5" ht="14.25" customHeight="1" x14ac:dyDescent="0.35">
      <c r="E734" s="13"/>
    </row>
    <row r="735" spans="5:5" ht="14.25" customHeight="1" x14ac:dyDescent="0.35">
      <c r="E735" s="13"/>
    </row>
    <row r="736" spans="5:5" ht="14.25" customHeight="1" x14ac:dyDescent="0.35">
      <c r="E736" s="13"/>
    </row>
    <row r="737" spans="5:5" ht="14.25" customHeight="1" x14ac:dyDescent="0.35">
      <c r="E737" s="13"/>
    </row>
    <row r="738" spans="5:5" ht="14.25" customHeight="1" x14ac:dyDescent="0.35">
      <c r="E738" s="13"/>
    </row>
    <row r="739" spans="5:5" ht="14.25" customHeight="1" x14ac:dyDescent="0.35">
      <c r="E739" s="13"/>
    </row>
    <row r="740" spans="5:5" ht="14.25" customHeight="1" x14ac:dyDescent="0.35">
      <c r="E740" s="13"/>
    </row>
    <row r="741" spans="5:5" ht="14.25" customHeight="1" x14ac:dyDescent="0.35">
      <c r="E741" s="13"/>
    </row>
    <row r="742" spans="5:5" ht="14.25" customHeight="1" x14ac:dyDescent="0.35">
      <c r="E742" s="13"/>
    </row>
    <row r="743" spans="5:5" ht="14.25" customHeight="1" x14ac:dyDescent="0.35">
      <c r="E743" s="13"/>
    </row>
    <row r="744" spans="5:5" ht="14.25" customHeight="1" x14ac:dyDescent="0.35">
      <c r="E744" s="13"/>
    </row>
    <row r="745" spans="5:5" ht="14.25" customHeight="1" x14ac:dyDescent="0.35">
      <c r="E745" s="13"/>
    </row>
    <row r="746" spans="5:5" ht="14.25" customHeight="1" x14ac:dyDescent="0.35">
      <c r="E746" s="13"/>
    </row>
    <row r="747" spans="5:5" ht="14.25" customHeight="1" x14ac:dyDescent="0.35">
      <c r="E747" s="13"/>
    </row>
    <row r="748" spans="5:5" ht="14.25" customHeight="1" x14ac:dyDescent="0.35">
      <c r="E748" s="13"/>
    </row>
    <row r="749" spans="5:5" ht="14.25" customHeight="1" x14ac:dyDescent="0.35">
      <c r="E749" s="13"/>
    </row>
    <row r="750" spans="5:5" ht="14.25" customHeight="1" x14ac:dyDescent="0.35">
      <c r="E750" s="13"/>
    </row>
    <row r="751" spans="5:5" ht="14.25" customHeight="1" x14ac:dyDescent="0.35">
      <c r="E751" s="13"/>
    </row>
    <row r="752" spans="5:5" ht="14.25" customHeight="1" x14ac:dyDescent="0.35">
      <c r="E752" s="13"/>
    </row>
    <row r="753" spans="5:5" ht="14.25" customHeight="1" x14ac:dyDescent="0.35">
      <c r="E753" s="13"/>
    </row>
    <row r="754" spans="5:5" ht="14.25" customHeight="1" x14ac:dyDescent="0.35">
      <c r="E754" s="13"/>
    </row>
    <row r="755" spans="5:5" ht="14.25" customHeight="1" x14ac:dyDescent="0.35">
      <c r="E755" s="13"/>
    </row>
    <row r="756" spans="5:5" ht="14.25" customHeight="1" x14ac:dyDescent="0.35">
      <c r="E756" s="13"/>
    </row>
    <row r="757" spans="5:5" ht="14.25" customHeight="1" x14ac:dyDescent="0.35">
      <c r="E757" s="13"/>
    </row>
    <row r="758" spans="5:5" ht="14.25" customHeight="1" x14ac:dyDescent="0.35">
      <c r="E758" s="13"/>
    </row>
    <row r="759" spans="5:5" ht="14.25" customHeight="1" x14ac:dyDescent="0.35">
      <c r="E759" s="13"/>
    </row>
    <row r="760" spans="5:5" ht="14.25" customHeight="1" x14ac:dyDescent="0.35">
      <c r="E760" s="13"/>
    </row>
    <row r="761" spans="5:5" ht="14.25" customHeight="1" x14ac:dyDescent="0.35">
      <c r="E761" s="13"/>
    </row>
    <row r="762" spans="5:5" ht="14.25" customHeight="1" x14ac:dyDescent="0.35">
      <c r="E762" s="13"/>
    </row>
    <row r="763" spans="5:5" ht="14.25" customHeight="1" x14ac:dyDescent="0.35">
      <c r="E763" s="13"/>
    </row>
    <row r="764" spans="5:5" ht="14.25" customHeight="1" x14ac:dyDescent="0.35">
      <c r="E764" s="13"/>
    </row>
    <row r="765" spans="5:5" ht="14.25" customHeight="1" x14ac:dyDescent="0.35">
      <c r="E765" s="13"/>
    </row>
    <row r="766" spans="5:5" ht="14.25" customHeight="1" x14ac:dyDescent="0.35">
      <c r="E766" s="13"/>
    </row>
    <row r="767" spans="5:5" ht="14.25" customHeight="1" x14ac:dyDescent="0.35">
      <c r="E767" s="13"/>
    </row>
    <row r="768" spans="5:5" ht="14.25" customHeight="1" x14ac:dyDescent="0.35">
      <c r="E768" s="13"/>
    </row>
    <row r="769" spans="5:5" ht="14.25" customHeight="1" x14ac:dyDescent="0.35">
      <c r="E769" s="13"/>
    </row>
    <row r="770" spans="5:5" ht="14.25" customHeight="1" x14ac:dyDescent="0.35">
      <c r="E770" s="13"/>
    </row>
    <row r="771" spans="5:5" ht="14.25" customHeight="1" x14ac:dyDescent="0.35">
      <c r="E771" s="13"/>
    </row>
    <row r="772" spans="5:5" ht="14.25" customHeight="1" x14ac:dyDescent="0.35">
      <c r="E772" s="13"/>
    </row>
    <row r="773" spans="5:5" ht="14.25" customHeight="1" x14ac:dyDescent="0.35">
      <c r="E773" s="13"/>
    </row>
    <row r="774" spans="5:5" ht="14.25" customHeight="1" x14ac:dyDescent="0.35">
      <c r="E774" s="13"/>
    </row>
    <row r="775" spans="5:5" ht="14.25" customHeight="1" x14ac:dyDescent="0.35">
      <c r="E775" s="13"/>
    </row>
    <row r="776" spans="5:5" ht="14.25" customHeight="1" x14ac:dyDescent="0.35">
      <c r="E776" s="13"/>
    </row>
    <row r="777" spans="5:5" ht="14.25" customHeight="1" x14ac:dyDescent="0.35">
      <c r="E777" s="13"/>
    </row>
    <row r="778" spans="5:5" ht="14.25" customHeight="1" x14ac:dyDescent="0.35">
      <c r="E778" s="13"/>
    </row>
    <row r="779" spans="5:5" ht="14.25" customHeight="1" x14ac:dyDescent="0.35">
      <c r="E779" s="13"/>
    </row>
    <row r="780" spans="5:5" ht="14.25" customHeight="1" x14ac:dyDescent="0.35">
      <c r="E780" s="13"/>
    </row>
    <row r="781" spans="5:5" ht="14.25" customHeight="1" x14ac:dyDescent="0.35">
      <c r="E781" s="13"/>
    </row>
    <row r="782" spans="5:5" ht="14.25" customHeight="1" x14ac:dyDescent="0.35">
      <c r="E782" s="13"/>
    </row>
    <row r="783" spans="5:5" ht="14.25" customHeight="1" x14ac:dyDescent="0.35">
      <c r="E783" s="13"/>
    </row>
    <row r="784" spans="5:5" ht="14.25" customHeight="1" x14ac:dyDescent="0.35">
      <c r="E784" s="13"/>
    </row>
    <row r="785" spans="5:5" ht="14.25" customHeight="1" x14ac:dyDescent="0.35">
      <c r="E785" s="13"/>
    </row>
    <row r="786" spans="5:5" ht="14.25" customHeight="1" x14ac:dyDescent="0.35">
      <c r="E786" s="13"/>
    </row>
    <row r="787" spans="5:5" ht="14.25" customHeight="1" x14ac:dyDescent="0.35">
      <c r="E787" s="13"/>
    </row>
    <row r="788" spans="5:5" ht="14.25" customHeight="1" x14ac:dyDescent="0.35">
      <c r="E788" s="13"/>
    </row>
    <row r="789" spans="5:5" ht="14.25" customHeight="1" x14ac:dyDescent="0.35">
      <c r="E789" s="13"/>
    </row>
    <row r="790" spans="5:5" ht="14.25" customHeight="1" x14ac:dyDescent="0.35">
      <c r="E790" s="13"/>
    </row>
    <row r="791" spans="5:5" ht="14.25" customHeight="1" x14ac:dyDescent="0.35">
      <c r="E791" s="13"/>
    </row>
    <row r="792" spans="5:5" ht="14.25" customHeight="1" x14ac:dyDescent="0.35">
      <c r="E792" s="13"/>
    </row>
    <row r="793" spans="5:5" ht="14.25" customHeight="1" x14ac:dyDescent="0.35">
      <c r="E793" s="13"/>
    </row>
    <row r="794" spans="5:5" ht="14.25" customHeight="1" x14ac:dyDescent="0.35">
      <c r="E794" s="13"/>
    </row>
    <row r="795" spans="5:5" ht="14.25" customHeight="1" x14ac:dyDescent="0.35">
      <c r="E795" s="13"/>
    </row>
    <row r="796" spans="5:5" ht="14.25" customHeight="1" x14ac:dyDescent="0.35">
      <c r="E796" s="13"/>
    </row>
    <row r="797" spans="5:5" ht="14.25" customHeight="1" x14ac:dyDescent="0.35">
      <c r="E797" s="13"/>
    </row>
    <row r="798" spans="5:5" ht="14.25" customHeight="1" x14ac:dyDescent="0.35">
      <c r="E798" s="13"/>
    </row>
    <row r="799" spans="5:5" ht="14.25" customHeight="1" x14ac:dyDescent="0.35">
      <c r="E799" s="13"/>
    </row>
    <row r="800" spans="5:5" ht="14.25" customHeight="1" x14ac:dyDescent="0.35">
      <c r="E800" s="13"/>
    </row>
    <row r="801" spans="5:5" ht="14.25" customHeight="1" x14ac:dyDescent="0.35">
      <c r="E801" s="13"/>
    </row>
    <row r="802" spans="5:5" ht="14.25" customHeight="1" x14ac:dyDescent="0.35">
      <c r="E802" s="13"/>
    </row>
    <row r="803" spans="5:5" ht="14.25" customHeight="1" x14ac:dyDescent="0.35">
      <c r="E803" s="13"/>
    </row>
    <row r="804" spans="5:5" ht="14.25" customHeight="1" x14ac:dyDescent="0.35">
      <c r="E804" s="13"/>
    </row>
    <row r="805" spans="5:5" ht="14.25" customHeight="1" x14ac:dyDescent="0.35">
      <c r="E805" s="13"/>
    </row>
    <row r="806" spans="5:5" ht="14.25" customHeight="1" x14ac:dyDescent="0.35">
      <c r="E806" s="13"/>
    </row>
    <row r="807" spans="5:5" ht="14.25" customHeight="1" x14ac:dyDescent="0.35">
      <c r="E807" s="13"/>
    </row>
    <row r="808" spans="5:5" ht="14.25" customHeight="1" x14ac:dyDescent="0.35">
      <c r="E808" s="13"/>
    </row>
    <row r="809" spans="5:5" ht="14.25" customHeight="1" x14ac:dyDescent="0.35">
      <c r="E809" s="13"/>
    </row>
    <row r="810" spans="5:5" ht="14.25" customHeight="1" x14ac:dyDescent="0.35">
      <c r="E810" s="13"/>
    </row>
    <row r="811" spans="5:5" ht="14.25" customHeight="1" x14ac:dyDescent="0.35">
      <c r="E811" s="13"/>
    </row>
    <row r="812" spans="5:5" ht="14.25" customHeight="1" x14ac:dyDescent="0.35">
      <c r="E812" s="13"/>
    </row>
    <row r="813" spans="5:5" ht="14.25" customHeight="1" x14ac:dyDescent="0.35">
      <c r="E813" s="13"/>
    </row>
    <row r="814" spans="5:5" ht="14.25" customHeight="1" x14ac:dyDescent="0.35">
      <c r="E814" s="13"/>
    </row>
    <row r="815" spans="5:5" ht="14.25" customHeight="1" x14ac:dyDescent="0.35">
      <c r="E815" s="13"/>
    </row>
    <row r="816" spans="5:5" ht="14.25" customHeight="1" x14ac:dyDescent="0.35">
      <c r="E816" s="13"/>
    </row>
    <row r="817" spans="5:5" ht="14.25" customHeight="1" x14ac:dyDescent="0.35">
      <c r="E817" s="13"/>
    </row>
    <row r="818" spans="5:5" ht="14.25" customHeight="1" x14ac:dyDescent="0.35">
      <c r="E818" s="13"/>
    </row>
    <row r="819" spans="5:5" ht="14.25" customHeight="1" x14ac:dyDescent="0.35">
      <c r="E819" s="13"/>
    </row>
    <row r="820" spans="5:5" ht="14.25" customHeight="1" x14ac:dyDescent="0.35">
      <c r="E820" s="13"/>
    </row>
    <row r="821" spans="5:5" ht="14.25" customHeight="1" x14ac:dyDescent="0.35">
      <c r="E821" s="13"/>
    </row>
    <row r="822" spans="5:5" ht="14.25" customHeight="1" x14ac:dyDescent="0.35">
      <c r="E822" s="13"/>
    </row>
    <row r="823" spans="5:5" ht="14.25" customHeight="1" x14ac:dyDescent="0.35">
      <c r="E823" s="13"/>
    </row>
    <row r="824" spans="5:5" ht="14.25" customHeight="1" x14ac:dyDescent="0.35">
      <c r="E824" s="13"/>
    </row>
    <row r="825" spans="5:5" ht="14.25" customHeight="1" x14ac:dyDescent="0.35">
      <c r="E825" s="13"/>
    </row>
    <row r="826" spans="5:5" ht="14.25" customHeight="1" x14ac:dyDescent="0.35">
      <c r="E826" s="13"/>
    </row>
    <row r="827" spans="5:5" ht="14.25" customHeight="1" x14ac:dyDescent="0.35">
      <c r="E827" s="13"/>
    </row>
    <row r="828" spans="5:5" ht="14.25" customHeight="1" x14ac:dyDescent="0.35">
      <c r="E828" s="13"/>
    </row>
    <row r="829" spans="5:5" ht="14.25" customHeight="1" x14ac:dyDescent="0.35">
      <c r="E829" s="13"/>
    </row>
    <row r="830" spans="5:5" ht="14.25" customHeight="1" x14ac:dyDescent="0.35">
      <c r="E830" s="13"/>
    </row>
    <row r="831" spans="5:5" ht="14.25" customHeight="1" x14ac:dyDescent="0.35">
      <c r="E831" s="13"/>
    </row>
    <row r="832" spans="5:5" ht="14.25" customHeight="1" x14ac:dyDescent="0.35">
      <c r="E832" s="13"/>
    </row>
    <row r="833" spans="5:5" ht="14.25" customHeight="1" x14ac:dyDescent="0.35">
      <c r="E833" s="13"/>
    </row>
    <row r="834" spans="5:5" ht="14.25" customHeight="1" x14ac:dyDescent="0.35">
      <c r="E834" s="13"/>
    </row>
    <row r="835" spans="5:5" ht="14.25" customHeight="1" x14ac:dyDescent="0.35">
      <c r="E835" s="13"/>
    </row>
    <row r="836" spans="5:5" ht="14.25" customHeight="1" x14ac:dyDescent="0.35">
      <c r="E836" s="13"/>
    </row>
    <row r="837" spans="5:5" ht="14.25" customHeight="1" x14ac:dyDescent="0.35">
      <c r="E837" s="13"/>
    </row>
    <row r="838" spans="5:5" ht="14.25" customHeight="1" x14ac:dyDescent="0.35">
      <c r="E838" s="13"/>
    </row>
    <row r="839" spans="5:5" ht="14.25" customHeight="1" x14ac:dyDescent="0.35">
      <c r="E839" s="13"/>
    </row>
    <row r="840" spans="5:5" ht="14.25" customHeight="1" x14ac:dyDescent="0.35">
      <c r="E840" s="13"/>
    </row>
    <row r="841" spans="5:5" ht="14.25" customHeight="1" x14ac:dyDescent="0.35">
      <c r="E841" s="13"/>
    </row>
    <row r="842" spans="5:5" ht="14.25" customHeight="1" x14ac:dyDescent="0.35">
      <c r="E842" s="13"/>
    </row>
    <row r="843" spans="5:5" ht="14.25" customHeight="1" x14ac:dyDescent="0.35">
      <c r="E843" s="13"/>
    </row>
    <row r="844" spans="5:5" ht="14.25" customHeight="1" x14ac:dyDescent="0.35">
      <c r="E844" s="13"/>
    </row>
    <row r="845" spans="5:5" ht="14.25" customHeight="1" x14ac:dyDescent="0.35">
      <c r="E845" s="13"/>
    </row>
    <row r="846" spans="5:5" ht="14.25" customHeight="1" x14ac:dyDescent="0.35">
      <c r="E846" s="13"/>
    </row>
    <row r="847" spans="5:5" ht="14.25" customHeight="1" x14ac:dyDescent="0.35">
      <c r="E847" s="13"/>
    </row>
    <row r="848" spans="5:5" ht="14.25" customHeight="1" x14ac:dyDescent="0.35">
      <c r="E848" s="13"/>
    </row>
    <row r="849" spans="5:5" ht="14.25" customHeight="1" x14ac:dyDescent="0.35">
      <c r="E849" s="13"/>
    </row>
    <row r="850" spans="5:5" ht="14.25" customHeight="1" x14ac:dyDescent="0.35">
      <c r="E850" s="13"/>
    </row>
    <row r="851" spans="5:5" ht="14.25" customHeight="1" x14ac:dyDescent="0.35">
      <c r="E851" s="13"/>
    </row>
    <row r="852" spans="5:5" ht="14.25" customHeight="1" x14ac:dyDescent="0.35">
      <c r="E852" s="13"/>
    </row>
    <row r="853" spans="5:5" ht="14.25" customHeight="1" x14ac:dyDescent="0.35">
      <c r="E853" s="13"/>
    </row>
    <row r="854" spans="5:5" ht="14.25" customHeight="1" x14ac:dyDescent="0.35">
      <c r="E854" s="13"/>
    </row>
    <row r="855" spans="5:5" ht="14.25" customHeight="1" x14ac:dyDescent="0.35">
      <c r="E855" s="13"/>
    </row>
    <row r="856" spans="5:5" ht="14.25" customHeight="1" x14ac:dyDescent="0.35">
      <c r="E856" s="13"/>
    </row>
    <row r="857" spans="5:5" ht="14.25" customHeight="1" x14ac:dyDescent="0.35">
      <c r="E857" s="13"/>
    </row>
    <row r="858" spans="5:5" ht="14.25" customHeight="1" x14ac:dyDescent="0.35">
      <c r="E858" s="13"/>
    </row>
    <row r="859" spans="5:5" ht="14.25" customHeight="1" x14ac:dyDescent="0.35">
      <c r="E859" s="13"/>
    </row>
    <row r="860" spans="5:5" ht="14.25" customHeight="1" x14ac:dyDescent="0.35">
      <c r="E860" s="13"/>
    </row>
    <row r="861" spans="5:5" ht="14.25" customHeight="1" x14ac:dyDescent="0.35">
      <c r="E861" s="13"/>
    </row>
    <row r="862" spans="5:5" ht="14.25" customHeight="1" x14ac:dyDescent="0.35">
      <c r="E862" s="13"/>
    </row>
    <row r="863" spans="5:5" ht="14.25" customHeight="1" x14ac:dyDescent="0.35">
      <c r="E863" s="13"/>
    </row>
    <row r="864" spans="5:5" ht="14.25" customHeight="1" x14ac:dyDescent="0.35">
      <c r="E864" s="13"/>
    </row>
    <row r="865" spans="5:5" ht="14.25" customHeight="1" x14ac:dyDescent="0.35">
      <c r="E865" s="13"/>
    </row>
    <row r="866" spans="5:5" ht="14.25" customHeight="1" x14ac:dyDescent="0.35">
      <c r="E866" s="13"/>
    </row>
    <row r="867" spans="5:5" ht="14.25" customHeight="1" x14ac:dyDescent="0.35">
      <c r="E867" s="13"/>
    </row>
    <row r="868" spans="5:5" ht="14.25" customHeight="1" x14ac:dyDescent="0.35">
      <c r="E868" s="13"/>
    </row>
    <row r="869" spans="5:5" ht="14.25" customHeight="1" x14ac:dyDescent="0.35">
      <c r="E869" s="13"/>
    </row>
    <row r="870" spans="5:5" ht="14.25" customHeight="1" x14ac:dyDescent="0.35">
      <c r="E870" s="13"/>
    </row>
    <row r="871" spans="5:5" ht="14.25" customHeight="1" x14ac:dyDescent="0.35">
      <c r="E871" s="13"/>
    </row>
    <row r="872" spans="5:5" ht="14.25" customHeight="1" x14ac:dyDescent="0.35">
      <c r="E872" s="13"/>
    </row>
    <row r="873" spans="5:5" ht="14.25" customHeight="1" x14ac:dyDescent="0.35">
      <c r="E873" s="13"/>
    </row>
    <row r="874" spans="5:5" ht="14.25" customHeight="1" x14ac:dyDescent="0.35">
      <c r="E874" s="13"/>
    </row>
    <row r="875" spans="5:5" ht="14.25" customHeight="1" x14ac:dyDescent="0.35">
      <c r="E875" s="13"/>
    </row>
    <row r="876" spans="5:5" ht="14.25" customHeight="1" x14ac:dyDescent="0.35">
      <c r="E876" s="13"/>
    </row>
    <row r="877" spans="5:5" ht="14.25" customHeight="1" x14ac:dyDescent="0.35">
      <c r="E877" s="13"/>
    </row>
    <row r="878" spans="5:5" ht="14.25" customHeight="1" x14ac:dyDescent="0.35">
      <c r="E878" s="13"/>
    </row>
    <row r="879" spans="5:5" ht="14.25" customHeight="1" x14ac:dyDescent="0.35">
      <c r="E879" s="13"/>
    </row>
    <row r="880" spans="5:5" ht="14.25" customHeight="1" x14ac:dyDescent="0.35">
      <c r="E880" s="13"/>
    </row>
    <row r="881" spans="5:5" ht="14.25" customHeight="1" x14ac:dyDescent="0.35">
      <c r="E881" s="13"/>
    </row>
    <row r="882" spans="5:5" ht="14.25" customHeight="1" x14ac:dyDescent="0.35">
      <c r="E882" s="13"/>
    </row>
    <row r="883" spans="5:5" ht="14.25" customHeight="1" x14ac:dyDescent="0.35">
      <c r="E883" s="13"/>
    </row>
    <row r="884" spans="5:5" ht="14.25" customHeight="1" x14ac:dyDescent="0.35">
      <c r="E884" s="13"/>
    </row>
    <row r="885" spans="5:5" ht="14.25" customHeight="1" x14ac:dyDescent="0.35">
      <c r="E885" s="13"/>
    </row>
    <row r="886" spans="5:5" ht="14.25" customHeight="1" x14ac:dyDescent="0.35">
      <c r="E886" s="13"/>
    </row>
    <row r="887" spans="5:5" ht="14.25" customHeight="1" x14ac:dyDescent="0.35">
      <c r="E887" s="13"/>
    </row>
    <row r="888" spans="5:5" ht="14.25" customHeight="1" x14ac:dyDescent="0.35">
      <c r="E888" s="13"/>
    </row>
    <row r="889" spans="5:5" ht="14.25" customHeight="1" x14ac:dyDescent="0.35">
      <c r="E889" s="13"/>
    </row>
    <row r="890" spans="5:5" ht="14.25" customHeight="1" x14ac:dyDescent="0.35">
      <c r="E890" s="13"/>
    </row>
    <row r="891" spans="5:5" ht="14.25" customHeight="1" x14ac:dyDescent="0.35">
      <c r="E891" s="13"/>
    </row>
    <row r="892" spans="5:5" ht="14.25" customHeight="1" x14ac:dyDescent="0.35">
      <c r="E892" s="13"/>
    </row>
    <row r="893" spans="5:5" ht="14.25" customHeight="1" x14ac:dyDescent="0.35">
      <c r="E893" s="13"/>
    </row>
    <row r="894" spans="5:5" ht="14.25" customHeight="1" x14ac:dyDescent="0.35">
      <c r="E894" s="13"/>
    </row>
    <row r="895" spans="5:5" ht="14.25" customHeight="1" x14ac:dyDescent="0.35">
      <c r="E895" s="13"/>
    </row>
    <row r="896" spans="5:5" ht="14.25" customHeight="1" x14ac:dyDescent="0.35">
      <c r="E896" s="13"/>
    </row>
    <row r="897" spans="5:5" ht="14.25" customHeight="1" x14ac:dyDescent="0.35">
      <c r="E897" s="13"/>
    </row>
    <row r="898" spans="5:5" ht="14.25" customHeight="1" x14ac:dyDescent="0.35">
      <c r="E898" s="13"/>
    </row>
    <row r="899" spans="5:5" ht="14.25" customHeight="1" x14ac:dyDescent="0.35">
      <c r="E899" s="13"/>
    </row>
    <row r="900" spans="5:5" ht="14.25" customHeight="1" x14ac:dyDescent="0.35">
      <c r="E900" s="13"/>
    </row>
    <row r="901" spans="5:5" ht="14.25" customHeight="1" x14ac:dyDescent="0.35">
      <c r="E901" s="13"/>
    </row>
    <row r="902" spans="5:5" ht="14.25" customHeight="1" x14ac:dyDescent="0.35">
      <c r="E902" s="13"/>
    </row>
    <row r="903" spans="5:5" ht="14.25" customHeight="1" x14ac:dyDescent="0.35">
      <c r="E903" s="13"/>
    </row>
    <row r="904" spans="5:5" ht="14.25" customHeight="1" x14ac:dyDescent="0.35">
      <c r="E904" s="13"/>
    </row>
    <row r="905" spans="5:5" ht="14.25" customHeight="1" x14ac:dyDescent="0.35">
      <c r="E905" s="13"/>
    </row>
    <row r="906" spans="5:5" ht="14.25" customHeight="1" x14ac:dyDescent="0.35">
      <c r="E906" s="13"/>
    </row>
    <row r="907" spans="5:5" ht="14.25" customHeight="1" x14ac:dyDescent="0.35">
      <c r="E907" s="13"/>
    </row>
    <row r="908" spans="5:5" ht="14.25" customHeight="1" x14ac:dyDescent="0.35">
      <c r="E908" s="13"/>
    </row>
    <row r="909" spans="5:5" ht="14.25" customHeight="1" x14ac:dyDescent="0.35">
      <c r="E909" s="13"/>
    </row>
    <row r="910" spans="5:5" ht="14.25" customHeight="1" x14ac:dyDescent="0.35">
      <c r="E910" s="13"/>
    </row>
    <row r="911" spans="5:5" ht="14.25" customHeight="1" x14ac:dyDescent="0.35">
      <c r="E911" s="13"/>
    </row>
    <row r="912" spans="5:5" ht="14.25" customHeight="1" x14ac:dyDescent="0.35">
      <c r="E912" s="13"/>
    </row>
    <row r="913" spans="5:5" ht="14.25" customHeight="1" x14ac:dyDescent="0.35">
      <c r="E913" s="13"/>
    </row>
    <row r="914" spans="5:5" ht="14.25" customHeight="1" x14ac:dyDescent="0.35">
      <c r="E914" s="13"/>
    </row>
    <row r="915" spans="5:5" ht="14.25" customHeight="1" x14ac:dyDescent="0.35">
      <c r="E915" s="13"/>
    </row>
    <row r="916" spans="5:5" ht="14.25" customHeight="1" x14ac:dyDescent="0.35">
      <c r="E916" s="13"/>
    </row>
    <row r="917" spans="5:5" ht="14.25" customHeight="1" x14ac:dyDescent="0.35">
      <c r="E917" s="13"/>
    </row>
    <row r="918" spans="5:5" ht="14.25" customHeight="1" x14ac:dyDescent="0.35">
      <c r="E918" s="13"/>
    </row>
    <row r="919" spans="5:5" ht="14.25" customHeight="1" x14ac:dyDescent="0.35">
      <c r="E919" s="13"/>
    </row>
    <row r="920" spans="5:5" ht="14.25" customHeight="1" x14ac:dyDescent="0.35">
      <c r="E920" s="13"/>
    </row>
    <row r="921" spans="5:5" ht="14.25" customHeight="1" x14ac:dyDescent="0.35">
      <c r="E921" s="13"/>
    </row>
    <row r="922" spans="5:5" ht="14.25" customHeight="1" x14ac:dyDescent="0.35">
      <c r="E922" s="13"/>
    </row>
    <row r="923" spans="5:5" ht="14.25" customHeight="1" x14ac:dyDescent="0.35">
      <c r="E923" s="13"/>
    </row>
    <row r="924" spans="5:5" ht="14.25" customHeight="1" x14ac:dyDescent="0.35">
      <c r="E924" s="13"/>
    </row>
    <row r="925" spans="5:5" ht="14.25" customHeight="1" x14ac:dyDescent="0.35">
      <c r="E925" s="13"/>
    </row>
    <row r="926" spans="5:5" ht="14.25" customHeight="1" x14ac:dyDescent="0.35">
      <c r="E926" s="13"/>
    </row>
    <row r="927" spans="5:5" ht="14.25" customHeight="1" x14ac:dyDescent="0.35">
      <c r="E927" s="13"/>
    </row>
    <row r="928" spans="5:5" ht="14.25" customHeight="1" x14ac:dyDescent="0.35">
      <c r="E928" s="13"/>
    </row>
    <row r="929" spans="5:5" ht="14.25" customHeight="1" x14ac:dyDescent="0.35">
      <c r="E929" s="13"/>
    </row>
    <row r="930" spans="5:5" ht="14.25" customHeight="1" x14ac:dyDescent="0.35">
      <c r="E930" s="13"/>
    </row>
    <row r="931" spans="5:5" ht="14.25" customHeight="1" x14ac:dyDescent="0.35">
      <c r="E931" s="13"/>
    </row>
    <row r="932" spans="5:5" ht="14.25" customHeight="1" x14ac:dyDescent="0.35">
      <c r="E932" s="13"/>
    </row>
    <row r="933" spans="5:5" ht="14.25" customHeight="1" x14ac:dyDescent="0.35">
      <c r="E933" s="13"/>
    </row>
    <row r="934" spans="5:5" ht="14.25" customHeight="1" x14ac:dyDescent="0.35">
      <c r="E934" s="13"/>
    </row>
    <row r="935" spans="5:5" ht="14.25" customHeight="1" x14ac:dyDescent="0.35">
      <c r="E935" s="13"/>
    </row>
    <row r="936" spans="5:5" ht="14.25" customHeight="1" x14ac:dyDescent="0.35">
      <c r="E936" s="13"/>
    </row>
    <row r="937" spans="5:5" ht="14.25" customHeight="1" x14ac:dyDescent="0.35">
      <c r="E937" s="13"/>
    </row>
    <row r="938" spans="5:5" ht="14.25" customHeight="1" x14ac:dyDescent="0.35">
      <c r="E938" s="13"/>
    </row>
    <row r="939" spans="5:5" ht="14.25" customHeight="1" x14ac:dyDescent="0.35">
      <c r="E939" s="13"/>
    </row>
    <row r="940" spans="5:5" ht="14.25" customHeight="1" x14ac:dyDescent="0.35">
      <c r="E940" s="13"/>
    </row>
    <row r="941" spans="5:5" ht="14.25" customHeight="1" x14ac:dyDescent="0.35">
      <c r="E941" s="13"/>
    </row>
    <row r="942" spans="5:5" ht="14.25" customHeight="1" x14ac:dyDescent="0.35">
      <c r="E942" s="13"/>
    </row>
    <row r="943" spans="5:5" ht="14.25" customHeight="1" x14ac:dyDescent="0.35">
      <c r="E943" s="13"/>
    </row>
    <row r="944" spans="5:5" ht="14.25" customHeight="1" x14ac:dyDescent="0.35">
      <c r="E944" s="13"/>
    </row>
    <row r="945" spans="5:5" ht="14.25" customHeight="1" x14ac:dyDescent="0.35">
      <c r="E945" s="13"/>
    </row>
    <row r="946" spans="5:5" ht="14.25" customHeight="1" x14ac:dyDescent="0.35">
      <c r="E946" s="13"/>
    </row>
    <row r="947" spans="5:5" ht="14.25" customHeight="1" x14ac:dyDescent="0.35">
      <c r="E947" s="13"/>
    </row>
    <row r="948" spans="5:5" ht="14.25" customHeight="1" x14ac:dyDescent="0.35">
      <c r="E948" s="13"/>
    </row>
    <row r="949" spans="5:5" ht="14.25" customHeight="1" x14ac:dyDescent="0.35">
      <c r="E949" s="13"/>
    </row>
    <row r="950" spans="5:5" ht="14.25" customHeight="1" x14ac:dyDescent="0.35">
      <c r="E950" s="13"/>
    </row>
    <row r="951" spans="5:5" ht="14.25" customHeight="1" x14ac:dyDescent="0.35">
      <c r="E951" s="13"/>
    </row>
    <row r="952" spans="5:5" ht="14.25" customHeight="1" x14ac:dyDescent="0.35">
      <c r="E952" s="13"/>
    </row>
    <row r="953" spans="5:5" ht="14.25" customHeight="1" x14ac:dyDescent="0.35">
      <c r="E953" s="13"/>
    </row>
    <row r="954" spans="5:5" ht="14.25" customHeight="1" x14ac:dyDescent="0.35">
      <c r="E954" s="13"/>
    </row>
    <row r="955" spans="5:5" ht="14.25" customHeight="1" x14ac:dyDescent="0.35">
      <c r="E955" s="13"/>
    </row>
    <row r="956" spans="5:5" ht="14.25" customHeight="1" x14ac:dyDescent="0.35">
      <c r="E956" s="13"/>
    </row>
    <row r="957" spans="5:5" ht="14.25" customHeight="1" x14ac:dyDescent="0.35">
      <c r="E957" s="13"/>
    </row>
    <row r="958" spans="5:5" ht="14.25" customHeight="1" x14ac:dyDescent="0.35">
      <c r="E958" s="13"/>
    </row>
    <row r="959" spans="5:5" ht="14.25" customHeight="1" x14ac:dyDescent="0.35">
      <c r="E959" s="13"/>
    </row>
    <row r="960" spans="5:5" ht="14.25" customHeight="1" x14ac:dyDescent="0.35">
      <c r="E960" s="13"/>
    </row>
    <row r="961" spans="5:5" ht="14.25" customHeight="1" x14ac:dyDescent="0.35">
      <c r="E961" s="13"/>
    </row>
    <row r="962" spans="5:5" ht="14.25" customHeight="1" x14ac:dyDescent="0.35">
      <c r="E962" s="13"/>
    </row>
    <row r="963" spans="5:5" ht="14.25" customHeight="1" x14ac:dyDescent="0.35">
      <c r="E963" s="13"/>
    </row>
    <row r="964" spans="5:5" ht="14.25" customHeight="1" x14ac:dyDescent="0.35">
      <c r="E964" s="13"/>
    </row>
    <row r="965" spans="5:5" ht="14.25" customHeight="1" x14ac:dyDescent="0.35">
      <c r="E965" s="13"/>
    </row>
    <row r="966" spans="5:5" ht="14.25" customHeight="1" x14ac:dyDescent="0.35">
      <c r="E966" s="13"/>
    </row>
    <row r="967" spans="5:5" ht="14.25" customHeight="1" x14ac:dyDescent="0.35">
      <c r="E967" s="13"/>
    </row>
    <row r="968" spans="5:5" ht="14.25" customHeight="1" x14ac:dyDescent="0.35">
      <c r="E968" s="13"/>
    </row>
    <row r="969" spans="5:5" ht="14.25" customHeight="1" x14ac:dyDescent="0.35">
      <c r="E969" s="13"/>
    </row>
    <row r="970" spans="5:5" ht="14.25" customHeight="1" x14ac:dyDescent="0.35">
      <c r="E970" s="13"/>
    </row>
    <row r="971" spans="5:5" ht="14.25" customHeight="1" x14ac:dyDescent="0.35">
      <c r="E971" s="13"/>
    </row>
    <row r="972" spans="5:5" ht="14.25" customHeight="1" x14ac:dyDescent="0.35">
      <c r="E972" s="13"/>
    </row>
    <row r="973" spans="5:5" ht="14.25" customHeight="1" x14ac:dyDescent="0.35">
      <c r="E973" s="13"/>
    </row>
    <row r="974" spans="5:5" ht="14.25" customHeight="1" x14ac:dyDescent="0.35">
      <c r="E974" s="13"/>
    </row>
    <row r="975" spans="5:5" ht="14.25" customHeight="1" x14ac:dyDescent="0.35">
      <c r="E975" s="13"/>
    </row>
    <row r="976" spans="5:5" ht="14.25" customHeight="1" x14ac:dyDescent="0.35">
      <c r="E976" s="13"/>
    </row>
    <row r="977" spans="5:5" ht="14.25" customHeight="1" x14ac:dyDescent="0.35">
      <c r="E977" s="13"/>
    </row>
    <row r="978" spans="5:5" ht="14.25" customHeight="1" x14ac:dyDescent="0.35">
      <c r="E978" s="13"/>
    </row>
    <row r="979" spans="5:5" ht="14.25" customHeight="1" x14ac:dyDescent="0.35">
      <c r="E979" s="13"/>
    </row>
    <row r="980" spans="5:5" ht="14.25" customHeight="1" x14ac:dyDescent="0.35">
      <c r="E980" s="13"/>
    </row>
    <row r="981" spans="5:5" ht="14.25" customHeight="1" x14ac:dyDescent="0.35">
      <c r="E981" s="13"/>
    </row>
    <row r="982" spans="5:5" ht="14.25" customHeight="1" x14ac:dyDescent="0.35">
      <c r="E982" s="13"/>
    </row>
    <row r="983" spans="5:5" ht="14.25" customHeight="1" x14ac:dyDescent="0.35">
      <c r="E983" s="13"/>
    </row>
    <row r="984" spans="5:5" ht="14.25" customHeight="1" x14ac:dyDescent="0.35">
      <c r="E984" s="13"/>
    </row>
    <row r="985" spans="5:5" ht="14.25" customHeight="1" x14ac:dyDescent="0.35">
      <c r="E985" s="13"/>
    </row>
    <row r="986" spans="5:5" ht="14.25" customHeight="1" x14ac:dyDescent="0.35">
      <c r="E986" s="13"/>
    </row>
    <row r="987" spans="5:5" ht="14.25" customHeight="1" x14ac:dyDescent="0.35">
      <c r="E987" s="13"/>
    </row>
    <row r="988" spans="5:5" ht="14.25" customHeight="1" x14ac:dyDescent="0.35">
      <c r="E988" s="13"/>
    </row>
    <row r="989" spans="5:5" ht="14.25" customHeight="1" x14ac:dyDescent="0.35">
      <c r="E989" s="13"/>
    </row>
    <row r="990" spans="5:5" ht="14.25" customHeight="1" x14ac:dyDescent="0.35">
      <c r="E990" s="13"/>
    </row>
    <row r="991" spans="5:5" ht="14.25" customHeight="1" x14ac:dyDescent="0.35">
      <c r="E991" s="13"/>
    </row>
    <row r="992" spans="5:5" ht="14.25" customHeight="1" x14ac:dyDescent="0.35">
      <c r="E992" s="13"/>
    </row>
    <row r="993" spans="5:5" ht="14.25" customHeight="1" x14ac:dyDescent="0.35">
      <c r="E993" s="13"/>
    </row>
    <row r="994" spans="5:5" ht="14.25" customHeight="1" x14ac:dyDescent="0.35">
      <c r="E994" s="13"/>
    </row>
    <row r="995" spans="5:5" ht="14.25" customHeight="1" x14ac:dyDescent="0.35">
      <c r="E995" s="13"/>
    </row>
    <row r="996" spans="5:5" ht="14.25" customHeight="1" x14ac:dyDescent="0.35">
      <c r="E996" s="13"/>
    </row>
    <row r="997" spans="5:5" ht="14.25" customHeight="1" x14ac:dyDescent="0.35">
      <c r="E997" s="13"/>
    </row>
    <row r="998" spans="5:5" ht="14.25" customHeight="1" x14ac:dyDescent="0.35">
      <c r="E998" s="13"/>
    </row>
    <row r="999" spans="5:5" ht="14.25" customHeight="1" x14ac:dyDescent="0.35">
      <c r="E999" s="13"/>
    </row>
    <row r="1000" spans="5:5" ht="14.25" customHeight="1" x14ac:dyDescent="0.35">
      <c r="E1000" s="13"/>
    </row>
  </sheetData>
  <mergeCells count="1">
    <mergeCell ref="C7:E7"/>
  </mergeCells>
  <pageMargins left="0.7" right="0.7" top="0.75" bottom="0.75" header="0" footer="0"/>
  <pageSetup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1:Q1000"/>
  <sheetViews>
    <sheetView workbookViewId="0"/>
  </sheetViews>
  <sheetFormatPr defaultColWidth="14.453125" defaultRowHeight="15" customHeight="1" x14ac:dyDescent="0.35"/>
  <cols>
    <col min="1" max="1" width="8.7265625" customWidth="1"/>
    <col min="2" max="2" width="18.453125" customWidth="1"/>
    <col min="3" max="26" width="8.7265625" customWidth="1"/>
  </cols>
  <sheetData>
    <row r="1" spans="2:17" ht="14.25" customHeight="1" x14ac:dyDescent="0.35">
      <c r="B1" s="37" t="s">
        <v>1639</v>
      </c>
      <c r="C1" s="37"/>
      <c r="D1" s="37"/>
      <c r="E1" s="37"/>
      <c r="F1" s="37"/>
      <c r="G1" s="37"/>
      <c r="H1" s="37"/>
      <c r="I1" s="37"/>
      <c r="J1" s="37"/>
      <c r="K1" s="37"/>
      <c r="L1" s="37"/>
      <c r="M1" s="37"/>
      <c r="N1" s="37"/>
      <c r="O1" s="37"/>
    </row>
    <row r="2" spans="2:17" ht="14.25" customHeight="1" x14ac:dyDescent="0.35">
      <c r="B2" s="37"/>
      <c r="C2" s="37"/>
      <c r="D2" s="37" t="s">
        <v>64</v>
      </c>
      <c r="E2" s="37" t="s">
        <v>1569</v>
      </c>
      <c r="F2" s="37" t="s">
        <v>94</v>
      </c>
      <c r="G2" s="37"/>
      <c r="H2" s="37"/>
      <c r="I2" s="37" t="s">
        <v>64</v>
      </c>
      <c r="J2" s="37" t="s">
        <v>1569</v>
      </c>
      <c r="K2" s="37" t="s">
        <v>94</v>
      </c>
      <c r="L2" s="37"/>
      <c r="M2" s="37" t="s">
        <v>64</v>
      </c>
      <c r="N2" s="37" t="s">
        <v>1569</v>
      </c>
      <c r="O2" s="37" t="s">
        <v>94</v>
      </c>
    </row>
    <row r="3" spans="2:17" ht="14.25" customHeight="1" x14ac:dyDescent="0.35">
      <c r="B3" s="41"/>
      <c r="C3" s="41" t="s">
        <v>1640</v>
      </c>
      <c r="D3" s="41" t="s">
        <v>1641</v>
      </c>
      <c r="E3" s="41" t="s">
        <v>1641</v>
      </c>
      <c r="F3" s="41" t="s">
        <v>1641</v>
      </c>
      <c r="G3" s="41"/>
      <c r="H3" s="41" t="s">
        <v>1642</v>
      </c>
      <c r="I3" s="41" t="s">
        <v>1643</v>
      </c>
      <c r="J3" s="41" t="s">
        <v>1643</v>
      </c>
      <c r="K3" s="41" t="s">
        <v>1643</v>
      </c>
      <c r="L3" s="41"/>
      <c r="M3" s="41" t="s">
        <v>1643</v>
      </c>
      <c r="N3" s="41" t="s">
        <v>1643</v>
      </c>
      <c r="O3" s="41" t="s">
        <v>1643</v>
      </c>
    </row>
    <row r="4" spans="2:17" ht="14.25" customHeight="1" x14ac:dyDescent="0.35">
      <c r="B4" s="11" t="s">
        <v>150</v>
      </c>
      <c r="C4" s="11">
        <v>77</v>
      </c>
      <c r="D4" s="11">
        <v>30</v>
      </c>
      <c r="H4" s="11">
        <v>25</v>
      </c>
      <c r="I4" s="11">
        <f t="shared" ref="I4:K4" si="0">D4*0.002326</f>
        <v>6.9779999999999995E-2</v>
      </c>
      <c r="J4" s="11">
        <f t="shared" si="0"/>
        <v>0</v>
      </c>
      <c r="K4" s="11">
        <f t="shared" si="0"/>
        <v>0</v>
      </c>
      <c r="M4" s="11">
        <f t="shared" ref="M4:M12" si="1">I4*0.9/0.94</f>
        <v>6.6810638297872343E-2</v>
      </c>
      <c r="N4" s="11">
        <f t="shared" ref="N4:N12" si="2">J4</f>
        <v>0</v>
      </c>
      <c r="O4" s="11">
        <f t="shared" ref="O4:O12" si="3">K4*0.8/0.9</f>
        <v>0</v>
      </c>
    </row>
    <row r="5" spans="2:17" ht="14.25" customHeight="1" x14ac:dyDescent="0.35">
      <c r="B5" s="11" t="s">
        <v>1416</v>
      </c>
      <c r="C5" s="11">
        <v>77</v>
      </c>
      <c r="D5" s="11">
        <v>50</v>
      </c>
      <c r="H5" s="11">
        <v>25</v>
      </c>
      <c r="I5" s="11">
        <f t="shared" ref="I5:K5" si="4">D5*0.002326</f>
        <v>0.1163</v>
      </c>
      <c r="J5" s="11">
        <f t="shared" si="4"/>
        <v>0</v>
      </c>
      <c r="K5" s="11">
        <f t="shared" si="4"/>
        <v>0</v>
      </c>
      <c r="M5" s="11">
        <f t="shared" si="1"/>
        <v>0.11135106382978724</v>
      </c>
      <c r="N5" s="11">
        <f t="shared" si="2"/>
        <v>0</v>
      </c>
      <c r="O5" s="11">
        <f t="shared" si="3"/>
        <v>0</v>
      </c>
    </row>
    <row r="6" spans="2:17" ht="14.25" customHeight="1" x14ac:dyDescent="0.35">
      <c r="B6" s="11" t="s">
        <v>1419</v>
      </c>
      <c r="C6" s="11">
        <v>77</v>
      </c>
      <c r="D6" s="11">
        <v>125</v>
      </c>
      <c r="H6" s="11">
        <v>25</v>
      </c>
      <c r="I6" s="11">
        <f t="shared" ref="I6:K6" si="5">D6*0.002326</f>
        <v>0.29075000000000001</v>
      </c>
      <c r="J6" s="11">
        <f t="shared" si="5"/>
        <v>0</v>
      </c>
      <c r="K6" s="11">
        <f t="shared" si="5"/>
        <v>0</v>
      </c>
      <c r="M6" s="11">
        <f t="shared" si="1"/>
        <v>0.27837765957446808</v>
      </c>
      <c r="N6" s="11">
        <f t="shared" si="2"/>
        <v>0</v>
      </c>
      <c r="O6" s="11">
        <f t="shared" si="3"/>
        <v>0</v>
      </c>
    </row>
    <row r="7" spans="2:17" ht="14.25" customHeight="1" x14ac:dyDescent="0.35">
      <c r="B7" s="11" t="s">
        <v>1424</v>
      </c>
      <c r="C7" s="11">
        <v>77</v>
      </c>
      <c r="D7" s="11">
        <v>50</v>
      </c>
      <c r="H7" s="11">
        <v>25</v>
      </c>
      <c r="I7" s="11">
        <f t="shared" ref="I7:K7" si="6">D7*0.002326</f>
        <v>0.1163</v>
      </c>
      <c r="J7" s="11">
        <f t="shared" si="6"/>
        <v>0</v>
      </c>
      <c r="K7" s="11">
        <f t="shared" si="6"/>
        <v>0</v>
      </c>
      <c r="M7" s="11">
        <f t="shared" si="1"/>
        <v>0.11135106382978724</v>
      </c>
      <c r="N7" s="11">
        <f t="shared" si="2"/>
        <v>0</v>
      </c>
      <c r="O7" s="11">
        <f t="shared" si="3"/>
        <v>0</v>
      </c>
    </row>
    <row r="8" spans="2:17" ht="14.25" customHeight="1" x14ac:dyDescent="0.35">
      <c r="B8" s="11" t="s">
        <v>1427</v>
      </c>
      <c r="C8" s="11">
        <v>77</v>
      </c>
      <c r="D8" s="11">
        <v>60</v>
      </c>
      <c r="H8" s="11">
        <v>25</v>
      </c>
      <c r="I8" s="11">
        <f t="shared" ref="I8:K8" si="7">D8*0.002326</f>
        <v>0.13955999999999999</v>
      </c>
      <c r="J8" s="11">
        <f t="shared" si="7"/>
        <v>0</v>
      </c>
      <c r="K8" s="11">
        <f t="shared" si="7"/>
        <v>0</v>
      </c>
      <c r="M8" s="11">
        <f t="shared" si="1"/>
        <v>0.13362127659574469</v>
      </c>
      <c r="N8" s="11">
        <f t="shared" si="2"/>
        <v>0</v>
      </c>
      <c r="O8" s="11">
        <f t="shared" si="3"/>
        <v>0</v>
      </c>
    </row>
    <row r="9" spans="2:17" ht="14.25" customHeight="1" x14ac:dyDescent="0.35">
      <c r="B9" s="11" t="s">
        <v>1430</v>
      </c>
      <c r="C9" s="11">
        <v>77</v>
      </c>
      <c r="D9" s="11">
        <v>75</v>
      </c>
      <c r="H9" s="11">
        <v>25</v>
      </c>
      <c r="I9" s="11">
        <f t="shared" ref="I9:K9" si="8">D9*0.002326</f>
        <v>0.17444999999999999</v>
      </c>
      <c r="J9" s="11">
        <f t="shared" si="8"/>
        <v>0</v>
      </c>
      <c r="K9" s="11">
        <f t="shared" si="8"/>
        <v>0</v>
      </c>
      <c r="M9" s="11">
        <f t="shared" si="1"/>
        <v>0.16702659574468087</v>
      </c>
      <c r="N9" s="11">
        <f t="shared" si="2"/>
        <v>0</v>
      </c>
      <c r="O9" s="11">
        <f t="shared" si="3"/>
        <v>0</v>
      </c>
    </row>
    <row r="10" spans="2:17" ht="14.25" customHeight="1" x14ac:dyDescent="0.35">
      <c r="B10" s="11" t="s">
        <v>1432</v>
      </c>
      <c r="C10" s="11">
        <v>180</v>
      </c>
      <c r="F10" s="11">
        <v>2475</v>
      </c>
      <c r="H10" s="11">
        <v>85</v>
      </c>
      <c r="I10" s="11">
        <f t="shared" ref="I10:K10" si="9">D10*0.002326</f>
        <v>0</v>
      </c>
      <c r="J10" s="11">
        <f t="shared" si="9"/>
        <v>0</v>
      </c>
      <c r="K10" s="11">
        <f t="shared" si="9"/>
        <v>5.75685</v>
      </c>
      <c r="M10" s="11">
        <f t="shared" si="1"/>
        <v>0</v>
      </c>
      <c r="N10" s="11">
        <f t="shared" si="2"/>
        <v>0</v>
      </c>
      <c r="O10" s="11">
        <f t="shared" si="3"/>
        <v>5.1171999999999995</v>
      </c>
    </row>
    <row r="11" spans="2:17" ht="14.25" customHeight="1" x14ac:dyDescent="0.35">
      <c r="B11" s="11" t="s">
        <v>1436</v>
      </c>
      <c r="C11" s="11">
        <v>77</v>
      </c>
      <c r="D11" s="11">
        <v>125</v>
      </c>
      <c r="H11" s="11">
        <v>25</v>
      </c>
      <c r="I11" s="11">
        <f t="shared" ref="I11:K11" si="10">D11*0.002326</f>
        <v>0.29075000000000001</v>
      </c>
      <c r="J11" s="11">
        <f t="shared" si="10"/>
        <v>0</v>
      </c>
      <c r="K11" s="11">
        <f t="shared" si="10"/>
        <v>0</v>
      </c>
      <c r="M11" s="11">
        <f t="shared" si="1"/>
        <v>0.27837765957446808</v>
      </c>
      <c r="N11" s="11">
        <f t="shared" si="2"/>
        <v>0</v>
      </c>
      <c r="O11" s="11">
        <f t="shared" si="3"/>
        <v>0</v>
      </c>
    </row>
    <row r="12" spans="2:17" ht="14.25" customHeight="1" x14ac:dyDescent="0.35">
      <c r="B12" s="11" t="s">
        <v>1439</v>
      </c>
      <c r="C12" s="11">
        <v>77</v>
      </c>
      <c r="D12" s="11">
        <v>60</v>
      </c>
      <c r="H12" s="11">
        <v>25</v>
      </c>
      <c r="I12" s="11">
        <f t="shared" ref="I12:K12" si="11">D12*0.002326</f>
        <v>0.13955999999999999</v>
      </c>
      <c r="J12" s="11">
        <f t="shared" si="11"/>
        <v>0</v>
      </c>
      <c r="K12" s="11">
        <f t="shared" si="11"/>
        <v>0</v>
      </c>
      <c r="M12" s="11">
        <f t="shared" si="1"/>
        <v>0.13362127659574469</v>
      </c>
      <c r="N12" s="11">
        <f t="shared" si="2"/>
        <v>0</v>
      </c>
      <c r="O12" s="11">
        <f t="shared" si="3"/>
        <v>0</v>
      </c>
    </row>
    <row r="13" spans="2:17" ht="14.25" customHeight="1" x14ac:dyDescent="0.35"/>
    <row r="14" spans="2:17" ht="14.25" customHeight="1" x14ac:dyDescent="0.35">
      <c r="B14" s="11" t="s">
        <v>1644</v>
      </c>
      <c r="I14" s="11">
        <f>SUM(I4:K12)</f>
        <v>7.0943000000000005</v>
      </c>
      <c r="M14" s="11">
        <f>SUM(M4:O12)</f>
        <v>6.3977372340425518</v>
      </c>
    </row>
    <row r="15" spans="2:17" ht="14.25" customHeight="1" x14ac:dyDescent="0.35"/>
    <row r="16" spans="2:17" ht="14.25" customHeight="1" x14ac:dyDescent="0.35">
      <c r="B16" s="42"/>
      <c r="C16" s="42"/>
      <c r="D16" s="42"/>
      <c r="E16" s="42"/>
      <c r="F16" s="42"/>
      <c r="G16" s="42"/>
      <c r="H16" s="42"/>
      <c r="I16" s="42"/>
      <c r="J16" s="42"/>
      <c r="K16" s="42"/>
      <c r="L16" s="42"/>
      <c r="M16" s="42"/>
      <c r="N16" s="42"/>
      <c r="O16" s="42"/>
      <c r="P16" s="42"/>
      <c r="Q16" s="42"/>
    </row>
    <row r="17" spans="2:17" ht="14.25" customHeight="1" x14ac:dyDescent="0.35">
      <c r="B17" s="42"/>
      <c r="C17" s="42"/>
      <c r="D17" s="42" t="s">
        <v>64</v>
      </c>
      <c r="E17" s="42" t="s">
        <v>1569</v>
      </c>
      <c r="F17" s="42" t="s">
        <v>94</v>
      </c>
      <c r="G17" s="42"/>
      <c r="H17" s="42"/>
      <c r="I17" s="42" t="s">
        <v>64</v>
      </c>
      <c r="J17" s="42" t="s">
        <v>1569</v>
      </c>
      <c r="K17" s="42" t="s">
        <v>94</v>
      </c>
      <c r="L17" s="42"/>
      <c r="M17" s="42" t="s">
        <v>64</v>
      </c>
      <c r="N17" s="42" t="s">
        <v>1569</v>
      </c>
      <c r="O17" s="42" t="s">
        <v>94</v>
      </c>
      <c r="P17" s="42"/>
      <c r="Q17" s="42"/>
    </row>
    <row r="18" spans="2:17" ht="14.25" customHeight="1" x14ac:dyDescent="0.35">
      <c r="B18" s="42"/>
      <c r="C18" s="42" t="s">
        <v>1640</v>
      </c>
      <c r="D18" s="42" t="s">
        <v>1641</v>
      </c>
      <c r="E18" s="42" t="s">
        <v>1641</v>
      </c>
      <c r="F18" s="42" t="s">
        <v>1641</v>
      </c>
      <c r="G18" s="42"/>
      <c r="H18" s="42" t="s">
        <v>1642</v>
      </c>
      <c r="I18" s="42" t="s">
        <v>1643</v>
      </c>
      <c r="J18" s="42" t="s">
        <v>1643</v>
      </c>
      <c r="K18" s="42" t="s">
        <v>1643</v>
      </c>
      <c r="L18" s="42"/>
      <c r="M18" s="42" t="s">
        <v>1643</v>
      </c>
      <c r="N18" s="42" t="s">
        <v>1643</v>
      </c>
      <c r="O18" s="42" t="s">
        <v>1643</v>
      </c>
      <c r="P18" s="42"/>
      <c r="Q18" s="42"/>
    </row>
    <row r="19" spans="2:17" ht="14.25" customHeight="1" x14ac:dyDescent="0.35">
      <c r="B19" s="42" t="s">
        <v>1645</v>
      </c>
      <c r="C19" s="42">
        <v>75</v>
      </c>
      <c r="D19" s="42">
        <f>80/1.25</f>
        <v>64</v>
      </c>
      <c r="E19" s="42"/>
      <c r="F19" s="42"/>
      <c r="G19" s="42"/>
      <c r="H19" s="42">
        <v>25</v>
      </c>
      <c r="I19" s="42">
        <f t="shared" ref="I19:K19" si="12">D19*0.002326</f>
        <v>0.148864</v>
      </c>
      <c r="J19" s="42">
        <f t="shared" si="12"/>
        <v>0</v>
      </c>
      <c r="K19" s="42">
        <f t="shared" si="12"/>
        <v>0</v>
      </c>
      <c r="L19" s="42"/>
      <c r="M19" s="42">
        <f t="shared" ref="M19:M25" si="13">I19*0.9/0.94</f>
        <v>0.14252936170212768</v>
      </c>
      <c r="N19" s="42">
        <f t="shared" ref="N19:N25" si="14">J19</f>
        <v>0</v>
      </c>
      <c r="O19" s="42">
        <f t="shared" ref="O19:O25" si="15">K19*0.82/0.85</f>
        <v>0</v>
      </c>
      <c r="P19" s="42"/>
      <c r="Q19" s="42"/>
    </row>
    <row r="20" spans="2:17" ht="14.25" customHeight="1" x14ac:dyDescent="0.35">
      <c r="B20" s="42" t="s">
        <v>1646</v>
      </c>
      <c r="C20" s="42">
        <v>370</v>
      </c>
      <c r="D20" s="42">
        <f>900/1.25</f>
        <v>720</v>
      </c>
      <c r="E20" s="42"/>
      <c r="F20" s="42">
        <f>2300/1.25</f>
        <v>1840</v>
      </c>
      <c r="G20" s="42"/>
      <c r="H20" s="42">
        <v>205</v>
      </c>
      <c r="I20" s="42">
        <f t="shared" ref="I20:K20" si="16">D20*0.002326</f>
        <v>1.67472</v>
      </c>
      <c r="J20" s="42">
        <f t="shared" si="16"/>
        <v>0</v>
      </c>
      <c r="K20" s="42">
        <f t="shared" si="16"/>
        <v>4.2798400000000001</v>
      </c>
      <c r="L20" s="42"/>
      <c r="M20" s="42">
        <f t="shared" si="13"/>
        <v>1.6034553191489362</v>
      </c>
      <c r="N20" s="42">
        <f t="shared" si="14"/>
        <v>0</v>
      </c>
      <c r="O20" s="42">
        <f t="shared" si="15"/>
        <v>4.1287868235294116</v>
      </c>
      <c r="P20" s="42"/>
      <c r="Q20" s="42"/>
    </row>
    <row r="21" spans="2:17" ht="14.25" customHeight="1" x14ac:dyDescent="0.35">
      <c r="B21" s="42" t="s">
        <v>1647</v>
      </c>
      <c r="C21" s="42">
        <v>420</v>
      </c>
      <c r="D21" s="42"/>
      <c r="E21" s="42"/>
      <c r="F21" s="42">
        <f>4070/1.25</f>
        <v>3256</v>
      </c>
      <c r="G21" s="42"/>
      <c r="H21" s="42">
        <v>215</v>
      </c>
      <c r="I21" s="42">
        <f t="shared" ref="I21:K21" si="17">D21*0.002326</f>
        <v>0</v>
      </c>
      <c r="J21" s="42">
        <f t="shared" si="17"/>
        <v>0</v>
      </c>
      <c r="K21" s="42">
        <f t="shared" si="17"/>
        <v>7.5734560000000002</v>
      </c>
      <c r="L21" s="42"/>
      <c r="M21" s="42">
        <f t="shared" si="13"/>
        <v>0</v>
      </c>
      <c r="N21" s="42">
        <f t="shared" si="14"/>
        <v>0</v>
      </c>
      <c r="O21" s="42">
        <f t="shared" si="15"/>
        <v>7.3061575529411762</v>
      </c>
      <c r="P21" s="42"/>
      <c r="Q21" s="42"/>
    </row>
    <row r="22" spans="2:17" ht="14.25" customHeight="1" x14ac:dyDescent="0.35">
      <c r="B22" s="42" t="s">
        <v>1648</v>
      </c>
      <c r="C22" s="42"/>
      <c r="D22" s="42">
        <f>950/1.25</f>
        <v>760</v>
      </c>
      <c r="E22" s="42"/>
      <c r="F22" s="42"/>
      <c r="G22" s="42"/>
      <c r="H22" s="42"/>
      <c r="I22" s="42">
        <f t="shared" ref="I22:K22" si="18">D22*0.002326</f>
        <v>1.76776</v>
      </c>
      <c r="J22" s="42">
        <f t="shared" si="18"/>
        <v>0</v>
      </c>
      <c r="K22" s="42">
        <f t="shared" si="18"/>
        <v>0</v>
      </c>
      <c r="L22" s="42"/>
      <c r="M22" s="42">
        <f t="shared" si="13"/>
        <v>1.6925361702127659</v>
      </c>
      <c r="N22" s="42">
        <f t="shared" si="14"/>
        <v>0</v>
      </c>
      <c r="O22" s="42">
        <f t="shared" si="15"/>
        <v>0</v>
      </c>
      <c r="P22" s="42"/>
      <c r="Q22" s="42"/>
    </row>
    <row r="23" spans="2:17" ht="14.25" customHeight="1" x14ac:dyDescent="0.35">
      <c r="B23" s="42" t="s">
        <v>1649</v>
      </c>
      <c r="C23" s="42">
        <v>375</v>
      </c>
      <c r="D23" s="42">
        <f>500/1.25</f>
        <v>400</v>
      </c>
      <c r="E23" s="42"/>
      <c r="F23" s="42">
        <f>1260/1.25</f>
        <v>1008</v>
      </c>
      <c r="G23" s="42"/>
      <c r="H23" s="42">
        <v>190</v>
      </c>
      <c r="I23" s="42">
        <f t="shared" ref="I23:K23" si="19">D23*0.002326</f>
        <v>0.9304</v>
      </c>
      <c r="J23" s="42">
        <f t="shared" si="19"/>
        <v>0</v>
      </c>
      <c r="K23" s="42">
        <f t="shared" si="19"/>
        <v>2.344608</v>
      </c>
      <c r="L23" s="42"/>
      <c r="M23" s="42">
        <f t="shared" si="13"/>
        <v>0.89080851063829791</v>
      </c>
      <c r="N23" s="42">
        <f t="shared" si="14"/>
        <v>0</v>
      </c>
      <c r="O23" s="42">
        <f t="shared" si="15"/>
        <v>2.2618571294117644</v>
      </c>
      <c r="P23" s="42"/>
      <c r="Q23" s="42"/>
    </row>
    <row r="24" spans="2:17" ht="14.25" customHeight="1" x14ac:dyDescent="0.35">
      <c r="B24" s="42" t="s">
        <v>1650</v>
      </c>
      <c r="C24" s="42">
        <v>350</v>
      </c>
      <c r="D24" s="42"/>
      <c r="E24" s="42">
        <f>500/1.25</f>
        <v>400</v>
      </c>
      <c r="F24" s="42"/>
      <c r="G24" s="42"/>
      <c r="H24" s="42">
        <v>177</v>
      </c>
      <c r="I24" s="42">
        <f t="shared" ref="I24:K24" si="20">D24*0.002326</f>
        <v>0</v>
      </c>
      <c r="J24" s="42">
        <f t="shared" si="20"/>
        <v>0.9304</v>
      </c>
      <c r="K24" s="42">
        <f t="shared" si="20"/>
        <v>0</v>
      </c>
      <c r="L24" s="42"/>
      <c r="M24" s="42">
        <f t="shared" si="13"/>
        <v>0</v>
      </c>
      <c r="N24" s="42">
        <f t="shared" si="14"/>
        <v>0.9304</v>
      </c>
      <c r="O24" s="42">
        <f t="shared" si="15"/>
        <v>0</v>
      </c>
      <c r="P24" s="42"/>
      <c r="Q24" s="42"/>
    </row>
    <row r="25" spans="2:17" ht="14.25" customHeight="1" x14ac:dyDescent="0.35">
      <c r="B25" s="42" t="s">
        <v>271</v>
      </c>
      <c r="C25" s="42">
        <v>75</v>
      </c>
      <c r="D25" s="42">
        <f>225/1.25</f>
        <v>180</v>
      </c>
      <c r="E25" s="42"/>
      <c r="F25" s="42"/>
      <c r="G25" s="42"/>
      <c r="H25" s="42">
        <v>25</v>
      </c>
      <c r="I25" s="42">
        <f t="shared" ref="I25:K25" si="21">D25*0.002326</f>
        <v>0.41868</v>
      </c>
      <c r="J25" s="42">
        <f t="shared" si="21"/>
        <v>0</v>
      </c>
      <c r="K25" s="42">
        <f t="shared" si="21"/>
        <v>0</v>
      </c>
      <c r="L25" s="42"/>
      <c r="M25" s="42">
        <f t="shared" si="13"/>
        <v>0.40086382978723406</v>
      </c>
      <c r="N25" s="42">
        <f t="shared" si="14"/>
        <v>0</v>
      </c>
      <c r="O25" s="42">
        <f t="shared" si="15"/>
        <v>0</v>
      </c>
      <c r="P25" s="42"/>
      <c r="Q25" s="42"/>
    </row>
    <row r="26" spans="2:17" ht="14.25" customHeight="1" x14ac:dyDescent="0.35">
      <c r="B26" s="42"/>
      <c r="C26" s="42"/>
      <c r="D26" s="42"/>
      <c r="E26" s="42"/>
      <c r="F26" s="42"/>
      <c r="G26" s="42"/>
      <c r="H26" s="42"/>
      <c r="I26" s="42"/>
      <c r="J26" s="42"/>
      <c r="K26" s="42"/>
      <c r="L26" s="42"/>
      <c r="M26" s="42"/>
      <c r="N26" s="42"/>
      <c r="O26" s="42"/>
      <c r="P26" s="42"/>
      <c r="Q26" s="42"/>
    </row>
    <row r="27" spans="2:17" ht="14.25" customHeight="1" x14ac:dyDescent="0.35">
      <c r="B27" s="42"/>
      <c r="C27" s="42"/>
      <c r="D27" s="42"/>
      <c r="E27" s="42"/>
      <c r="F27" s="42"/>
      <c r="G27" s="42"/>
      <c r="H27" s="42"/>
      <c r="I27" s="42">
        <f>SUM(I17:K25)</f>
        <v>20.068727999999997</v>
      </c>
      <c r="J27" s="42"/>
      <c r="K27" s="42"/>
      <c r="L27" s="42"/>
      <c r="M27" s="42">
        <f>SUM(M17:O25)</f>
        <v>19.357394697371713</v>
      </c>
      <c r="N27" s="42"/>
      <c r="O27" s="42"/>
      <c r="P27" s="42"/>
      <c r="Q27" s="42"/>
    </row>
    <row r="28" spans="2:17" ht="14.25" customHeight="1" x14ac:dyDescent="0.35">
      <c r="B28" s="42"/>
      <c r="C28" s="42"/>
      <c r="D28" s="42"/>
      <c r="E28" s="42"/>
      <c r="F28" s="42"/>
      <c r="G28" s="42"/>
      <c r="H28" s="42"/>
      <c r="I28" s="42"/>
      <c r="J28" s="42"/>
      <c r="K28" s="42"/>
      <c r="L28" s="42"/>
      <c r="M28" s="42"/>
      <c r="N28" s="42"/>
      <c r="O28" s="42"/>
      <c r="P28" s="42"/>
      <c r="Q28" s="42"/>
    </row>
    <row r="29" spans="2:17" ht="14.25" customHeight="1" x14ac:dyDescent="0.35"/>
    <row r="30" spans="2:17" ht="14.25" customHeight="1" x14ac:dyDescent="0.35"/>
    <row r="31" spans="2:17" ht="14.25" customHeight="1" x14ac:dyDescent="0.35"/>
    <row r="32" spans="2:17" ht="14.25" customHeight="1" x14ac:dyDescent="0.35"/>
    <row r="33" ht="14.25" customHeight="1" x14ac:dyDescent="0.35"/>
    <row r="34" ht="14.25" customHeight="1" x14ac:dyDescent="0.35"/>
    <row r="35" ht="14.25" customHeight="1" x14ac:dyDescent="0.35"/>
    <row r="36" ht="14.25" customHeight="1" x14ac:dyDescent="0.35"/>
    <row r="37" ht="14.25" customHeight="1" x14ac:dyDescent="0.35"/>
    <row r="38" ht="14.25" customHeight="1" x14ac:dyDescent="0.35"/>
    <row r="39" ht="14.25" customHeight="1" x14ac:dyDescent="0.35"/>
    <row r="40" ht="14.25" customHeight="1" x14ac:dyDescent="0.35"/>
    <row r="41" ht="14.25" customHeight="1" x14ac:dyDescent="0.35"/>
    <row r="42" ht="14.25" customHeight="1" x14ac:dyDescent="0.35"/>
    <row r="43" ht="14.25" customHeight="1" x14ac:dyDescent="0.35"/>
    <row r="44" ht="14.25" customHeight="1" x14ac:dyDescent="0.35"/>
    <row r="45" ht="14.25" customHeight="1" x14ac:dyDescent="0.35"/>
    <row r="46" ht="14.25" customHeight="1" x14ac:dyDescent="0.35"/>
    <row r="47" ht="14.25" customHeight="1" x14ac:dyDescent="0.35"/>
    <row r="48" ht="14.25" customHeight="1" x14ac:dyDescent="0.35"/>
    <row r="49" ht="14.25" customHeight="1" x14ac:dyDescent="0.35"/>
    <row r="50" ht="14.25" customHeight="1" x14ac:dyDescent="0.35"/>
    <row r="51" ht="14.25" customHeight="1" x14ac:dyDescent="0.35"/>
    <row r="52" ht="14.25" customHeight="1" x14ac:dyDescent="0.35"/>
    <row r="53" ht="14.25" customHeight="1" x14ac:dyDescent="0.35"/>
    <row r="54" ht="14.25" customHeight="1" x14ac:dyDescent="0.35"/>
    <row r="55" ht="14.25" customHeight="1" x14ac:dyDescent="0.35"/>
    <row r="56" ht="14.25" customHeight="1" x14ac:dyDescent="0.35"/>
    <row r="57" ht="14.25" customHeight="1" x14ac:dyDescent="0.35"/>
    <row r="58" ht="14.25" customHeight="1" x14ac:dyDescent="0.35"/>
    <row r="59" ht="14.25" customHeight="1" x14ac:dyDescent="0.35"/>
    <row r="60" ht="14.25" customHeight="1" x14ac:dyDescent="0.35"/>
    <row r="61" ht="14.25" customHeight="1" x14ac:dyDescent="0.35"/>
    <row r="62" ht="14.25" customHeight="1" x14ac:dyDescent="0.35"/>
    <row r="63" ht="14.25" customHeight="1" x14ac:dyDescent="0.35"/>
    <row r="64" ht="14.25" customHeight="1" x14ac:dyDescent="0.35"/>
    <row r="65" ht="14.25" customHeight="1" x14ac:dyDescent="0.35"/>
    <row r="66" ht="14.25" customHeight="1" x14ac:dyDescent="0.35"/>
    <row r="67" ht="14.25" customHeight="1" x14ac:dyDescent="0.35"/>
    <row r="68" ht="14.25" customHeight="1" x14ac:dyDescent="0.35"/>
    <row r="69" ht="14.25" customHeight="1" x14ac:dyDescent="0.35"/>
    <row r="70" ht="14.25" customHeight="1" x14ac:dyDescent="0.35"/>
    <row r="71" ht="14.25" customHeight="1" x14ac:dyDescent="0.35"/>
    <row r="72" ht="14.25" customHeight="1" x14ac:dyDescent="0.35"/>
    <row r="73" ht="14.25" customHeight="1" x14ac:dyDescent="0.35"/>
    <row r="74" ht="14.25" customHeight="1" x14ac:dyDescent="0.35"/>
    <row r="75" ht="14.25" customHeight="1" x14ac:dyDescent="0.35"/>
    <row r="76" ht="14.25" customHeight="1" x14ac:dyDescent="0.35"/>
    <row r="77" ht="14.25" customHeight="1" x14ac:dyDescent="0.35"/>
    <row r="78" ht="14.25" customHeight="1" x14ac:dyDescent="0.35"/>
    <row r="79" ht="14.25" customHeight="1" x14ac:dyDescent="0.35"/>
    <row r="80" ht="14.25" customHeight="1" x14ac:dyDescent="0.35"/>
    <row r="81" ht="14.25" customHeight="1" x14ac:dyDescent="0.35"/>
    <row r="82" ht="14.25" customHeight="1" x14ac:dyDescent="0.35"/>
    <row r="83" ht="14.25" customHeight="1" x14ac:dyDescent="0.35"/>
    <row r="84" ht="14.25" customHeight="1" x14ac:dyDescent="0.35"/>
    <row r="85" ht="14.25" customHeight="1" x14ac:dyDescent="0.35"/>
    <row r="86" ht="14.25" customHeight="1" x14ac:dyDescent="0.35"/>
    <row r="87" ht="14.25" customHeight="1" x14ac:dyDescent="0.35"/>
    <row r="88" ht="14.25" customHeight="1" x14ac:dyDescent="0.35"/>
    <row r="89" ht="14.25" customHeight="1" x14ac:dyDescent="0.35"/>
    <row r="90" ht="14.25" customHeight="1" x14ac:dyDescent="0.35"/>
    <row r="91" ht="14.25" customHeight="1" x14ac:dyDescent="0.35"/>
    <row r="92" ht="14.25" customHeight="1" x14ac:dyDescent="0.35"/>
    <row r="93" ht="14.25" customHeight="1" x14ac:dyDescent="0.35"/>
    <row r="94" ht="14.25" customHeight="1" x14ac:dyDescent="0.35"/>
    <row r="95" ht="14.25" customHeight="1" x14ac:dyDescent="0.35"/>
    <row r="96" ht="14.25" customHeight="1" x14ac:dyDescent="0.35"/>
    <row r="97" ht="14.25" customHeight="1" x14ac:dyDescent="0.35"/>
    <row r="98" ht="14.25" customHeight="1" x14ac:dyDescent="0.35"/>
    <row r="99" ht="14.25" customHeight="1" x14ac:dyDescent="0.35"/>
    <row r="100" ht="14.25" customHeight="1" x14ac:dyDescent="0.35"/>
    <row r="101" ht="14.25" customHeight="1" x14ac:dyDescent="0.35"/>
    <row r="102" ht="14.25" customHeight="1" x14ac:dyDescent="0.35"/>
    <row r="103" ht="14.25" customHeight="1" x14ac:dyDescent="0.35"/>
    <row r="104" ht="14.25" customHeight="1" x14ac:dyDescent="0.35"/>
    <row r="105" ht="14.25" customHeight="1" x14ac:dyDescent="0.35"/>
    <row r="106" ht="14.25" customHeight="1" x14ac:dyDescent="0.35"/>
    <row r="107" ht="14.25" customHeight="1" x14ac:dyDescent="0.35"/>
    <row r="108" ht="14.25" customHeight="1" x14ac:dyDescent="0.35"/>
    <row r="109" ht="14.25" customHeight="1" x14ac:dyDescent="0.35"/>
    <row r="110" ht="14.25" customHeight="1" x14ac:dyDescent="0.35"/>
    <row r="111" ht="14.25" customHeight="1" x14ac:dyDescent="0.35"/>
    <row r="112" ht="14.25" customHeight="1" x14ac:dyDescent="0.35"/>
    <row r="113" ht="14.25" customHeight="1" x14ac:dyDescent="0.35"/>
    <row r="114" ht="14.25" customHeight="1" x14ac:dyDescent="0.35"/>
    <row r="115" ht="14.25" customHeight="1" x14ac:dyDescent="0.35"/>
    <row r="116" ht="14.25" customHeight="1" x14ac:dyDescent="0.35"/>
    <row r="117" ht="14.25" customHeight="1" x14ac:dyDescent="0.35"/>
    <row r="118" ht="14.25" customHeight="1" x14ac:dyDescent="0.35"/>
    <row r="119" ht="14.25" customHeight="1" x14ac:dyDescent="0.35"/>
    <row r="120" ht="14.25" customHeight="1" x14ac:dyDescent="0.35"/>
    <row r="121" ht="14.25" customHeight="1" x14ac:dyDescent="0.35"/>
    <row r="122" ht="14.25" customHeight="1" x14ac:dyDescent="0.35"/>
    <row r="123" ht="14.25" customHeight="1" x14ac:dyDescent="0.35"/>
    <row r="124" ht="14.25" customHeight="1" x14ac:dyDescent="0.35"/>
    <row r="125" ht="14.25" customHeight="1" x14ac:dyDescent="0.35"/>
    <row r="126" ht="14.25" customHeight="1" x14ac:dyDescent="0.35"/>
    <row r="127" ht="14.25" customHeight="1" x14ac:dyDescent="0.35"/>
    <row r="128" ht="14.25" customHeight="1" x14ac:dyDescent="0.35"/>
    <row r="129" ht="14.25" customHeight="1" x14ac:dyDescent="0.35"/>
    <row r="130" ht="14.25" customHeight="1" x14ac:dyDescent="0.35"/>
    <row r="131" ht="14.25" customHeight="1" x14ac:dyDescent="0.35"/>
    <row r="132" ht="14.25" customHeight="1" x14ac:dyDescent="0.35"/>
    <row r="133" ht="14.25" customHeight="1" x14ac:dyDescent="0.35"/>
    <row r="134" ht="14.25" customHeight="1" x14ac:dyDescent="0.35"/>
    <row r="135" ht="14.25" customHeight="1" x14ac:dyDescent="0.35"/>
    <row r="136" ht="14.25" customHeight="1" x14ac:dyDescent="0.35"/>
    <row r="137" ht="14.25" customHeight="1" x14ac:dyDescent="0.35"/>
    <row r="138" ht="14.25" customHeight="1" x14ac:dyDescent="0.35"/>
    <row r="139" ht="14.25" customHeight="1" x14ac:dyDescent="0.35"/>
    <row r="140" ht="14.25" customHeight="1" x14ac:dyDescent="0.35"/>
    <row r="141" ht="14.25" customHeight="1" x14ac:dyDescent="0.35"/>
    <row r="142" ht="14.25" customHeight="1" x14ac:dyDescent="0.35"/>
    <row r="143" ht="14.25" customHeight="1" x14ac:dyDescent="0.35"/>
    <row r="144" ht="14.25" customHeight="1" x14ac:dyDescent="0.35"/>
    <row r="145" ht="14.25" customHeight="1" x14ac:dyDescent="0.35"/>
    <row r="146" ht="14.25" customHeight="1" x14ac:dyDescent="0.35"/>
    <row r="147" ht="14.25" customHeight="1" x14ac:dyDescent="0.35"/>
    <row r="148" ht="14.25" customHeight="1" x14ac:dyDescent="0.35"/>
    <row r="149" ht="14.25" customHeight="1" x14ac:dyDescent="0.35"/>
    <row r="150" ht="14.25" customHeight="1" x14ac:dyDescent="0.35"/>
    <row r="151" ht="14.25" customHeight="1" x14ac:dyDescent="0.35"/>
    <row r="152" ht="14.25" customHeight="1" x14ac:dyDescent="0.35"/>
    <row r="153" ht="14.25" customHeight="1" x14ac:dyDescent="0.35"/>
    <row r="154" ht="14.25" customHeight="1" x14ac:dyDescent="0.35"/>
    <row r="155" ht="14.25" customHeight="1" x14ac:dyDescent="0.35"/>
    <row r="156" ht="14.25" customHeight="1" x14ac:dyDescent="0.35"/>
    <row r="157" ht="14.25" customHeight="1" x14ac:dyDescent="0.35"/>
    <row r="158" ht="14.25" customHeight="1" x14ac:dyDescent="0.35"/>
    <row r="159" ht="14.25" customHeight="1" x14ac:dyDescent="0.35"/>
    <row r="160" ht="14.25" customHeight="1" x14ac:dyDescent="0.35"/>
    <row r="161" ht="14.25" customHeight="1" x14ac:dyDescent="0.35"/>
    <row r="162" ht="14.25" customHeight="1" x14ac:dyDescent="0.35"/>
    <row r="163" ht="14.25" customHeight="1" x14ac:dyDescent="0.35"/>
    <row r="164" ht="14.25" customHeight="1" x14ac:dyDescent="0.35"/>
    <row r="165" ht="14.25" customHeight="1" x14ac:dyDescent="0.35"/>
    <row r="166" ht="14.25" customHeight="1" x14ac:dyDescent="0.35"/>
    <row r="167" ht="14.25" customHeight="1" x14ac:dyDescent="0.35"/>
    <row r="168" ht="14.25" customHeight="1" x14ac:dyDescent="0.35"/>
    <row r="169" ht="14.25" customHeight="1" x14ac:dyDescent="0.35"/>
    <row r="170" ht="14.25" customHeight="1" x14ac:dyDescent="0.35"/>
    <row r="171" ht="14.25" customHeight="1" x14ac:dyDescent="0.35"/>
    <row r="172" ht="14.25" customHeight="1" x14ac:dyDescent="0.35"/>
    <row r="173" ht="14.25" customHeight="1" x14ac:dyDescent="0.35"/>
    <row r="174" ht="14.25" customHeight="1" x14ac:dyDescent="0.35"/>
    <row r="175" ht="14.25" customHeight="1" x14ac:dyDescent="0.35"/>
    <row r="176" ht="14.25" customHeight="1" x14ac:dyDescent="0.35"/>
    <row r="177" ht="14.25" customHeight="1" x14ac:dyDescent="0.35"/>
    <row r="178" ht="14.25" customHeight="1" x14ac:dyDescent="0.35"/>
    <row r="179" ht="14.25" customHeight="1" x14ac:dyDescent="0.35"/>
    <row r="180" ht="14.25" customHeight="1" x14ac:dyDescent="0.35"/>
    <row r="181" ht="14.25" customHeight="1" x14ac:dyDescent="0.35"/>
    <row r="182" ht="14.25" customHeight="1" x14ac:dyDescent="0.35"/>
    <row r="183" ht="14.25" customHeight="1" x14ac:dyDescent="0.35"/>
    <row r="184" ht="14.25" customHeight="1" x14ac:dyDescent="0.35"/>
    <row r="185" ht="14.25" customHeight="1" x14ac:dyDescent="0.35"/>
    <row r="186" ht="14.25" customHeight="1" x14ac:dyDescent="0.35"/>
    <row r="187" ht="14.25" customHeight="1" x14ac:dyDescent="0.35"/>
    <row r="188" ht="14.25" customHeight="1" x14ac:dyDescent="0.35"/>
    <row r="189" ht="14.25" customHeight="1" x14ac:dyDescent="0.35"/>
    <row r="190" ht="14.25" customHeight="1" x14ac:dyDescent="0.35"/>
    <row r="191" ht="14.25" customHeight="1" x14ac:dyDescent="0.35"/>
    <row r="192" ht="14.25" customHeight="1" x14ac:dyDescent="0.35"/>
    <row r="193" ht="14.25" customHeight="1" x14ac:dyDescent="0.35"/>
    <row r="194" ht="14.25" customHeight="1" x14ac:dyDescent="0.35"/>
    <row r="195" ht="14.25" customHeight="1" x14ac:dyDescent="0.35"/>
    <row r="196" ht="14.25" customHeight="1" x14ac:dyDescent="0.35"/>
    <row r="197" ht="14.25" customHeight="1" x14ac:dyDescent="0.35"/>
    <row r="198" ht="14.25" customHeight="1" x14ac:dyDescent="0.35"/>
    <row r="199" ht="14.25" customHeight="1" x14ac:dyDescent="0.35"/>
    <row r="200" ht="14.25" customHeight="1" x14ac:dyDescent="0.35"/>
    <row r="201" ht="14.25" customHeight="1" x14ac:dyDescent="0.35"/>
    <row r="202" ht="14.25" customHeight="1" x14ac:dyDescent="0.35"/>
    <row r="203" ht="14.25" customHeight="1" x14ac:dyDescent="0.35"/>
    <row r="204" ht="14.25" customHeight="1" x14ac:dyDescent="0.35"/>
    <row r="205" ht="14.25" customHeight="1" x14ac:dyDescent="0.35"/>
    <row r="206" ht="14.25" customHeight="1" x14ac:dyDescent="0.35"/>
    <row r="207" ht="14.25" customHeight="1" x14ac:dyDescent="0.35"/>
    <row r="208" ht="14.25" customHeight="1" x14ac:dyDescent="0.35"/>
    <row r="209" ht="14.25" customHeight="1" x14ac:dyDescent="0.35"/>
    <row r="210" ht="14.25" customHeight="1" x14ac:dyDescent="0.35"/>
    <row r="211" ht="14.25" customHeight="1" x14ac:dyDescent="0.35"/>
    <row r="212" ht="14.25" customHeight="1" x14ac:dyDescent="0.35"/>
    <row r="213" ht="14.25" customHeight="1" x14ac:dyDescent="0.35"/>
    <row r="214" ht="14.25" customHeight="1" x14ac:dyDescent="0.35"/>
    <row r="215" ht="14.25" customHeight="1" x14ac:dyDescent="0.35"/>
    <row r="216" ht="14.25" customHeight="1" x14ac:dyDescent="0.35"/>
    <row r="217" ht="14.25" customHeight="1" x14ac:dyDescent="0.35"/>
    <row r="218" ht="14.25" customHeight="1" x14ac:dyDescent="0.35"/>
    <row r="219" ht="14.25" customHeight="1" x14ac:dyDescent="0.35"/>
    <row r="220" ht="14.25" customHeight="1" x14ac:dyDescent="0.35"/>
    <row r="221" ht="14.25" customHeight="1" x14ac:dyDescent="0.35"/>
    <row r="222" ht="14.25" customHeight="1" x14ac:dyDescent="0.35"/>
    <row r="223" ht="14.25" customHeight="1" x14ac:dyDescent="0.35"/>
    <row r="224" ht="14.25" customHeight="1" x14ac:dyDescent="0.35"/>
    <row r="225" ht="14.25" customHeight="1" x14ac:dyDescent="0.35"/>
    <row r="226" ht="14.25" customHeight="1" x14ac:dyDescent="0.35"/>
    <row r="227" ht="14.25" customHeight="1" x14ac:dyDescent="0.35"/>
    <row r="228" ht="14.25" customHeight="1" x14ac:dyDescent="0.35"/>
    <row r="229" ht="14.25" customHeight="1" x14ac:dyDescent="0.35"/>
    <row r="230" ht="14.25" customHeight="1" x14ac:dyDescent="0.35"/>
    <row r="231" ht="14.25" customHeight="1" x14ac:dyDescent="0.35"/>
    <row r="232" ht="14.25" customHeight="1" x14ac:dyDescent="0.35"/>
    <row r="233" ht="14.25" customHeight="1" x14ac:dyDescent="0.35"/>
    <row r="234" ht="14.25" customHeight="1" x14ac:dyDescent="0.35"/>
    <row r="235" ht="14.25" customHeight="1" x14ac:dyDescent="0.35"/>
    <row r="236" ht="14.25" customHeight="1" x14ac:dyDescent="0.35"/>
    <row r="237" ht="14.25" customHeight="1" x14ac:dyDescent="0.35"/>
    <row r="238" ht="14.25" customHeight="1" x14ac:dyDescent="0.35"/>
    <row r="239" ht="14.25" customHeight="1" x14ac:dyDescent="0.35"/>
    <row r="240" ht="14.25" customHeight="1" x14ac:dyDescent="0.35"/>
    <row r="241" ht="14.25" customHeight="1" x14ac:dyDescent="0.35"/>
    <row r="242" ht="14.25" customHeight="1" x14ac:dyDescent="0.35"/>
    <row r="243" ht="14.25" customHeight="1" x14ac:dyDescent="0.35"/>
    <row r="244" ht="14.25" customHeight="1" x14ac:dyDescent="0.35"/>
    <row r="245" ht="14.25" customHeight="1" x14ac:dyDescent="0.35"/>
    <row r="246" ht="14.25" customHeight="1" x14ac:dyDescent="0.35"/>
    <row r="247" ht="14.25" customHeight="1" x14ac:dyDescent="0.35"/>
    <row r="248" ht="14.25" customHeight="1" x14ac:dyDescent="0.35"/>
    <row r="249" ht="14.25" customHeight="1" x14ac:dyDescent="0.35"/>
    <row r="250" ht="14.25" customHeight="1" x14ac:dyDescent="0.35"/>
    <row r="251" ht="14.25" customHeight="1" x14ac:dyDescent="0.35"/>
    <row r="252" ht="14.25" customHeight="1" x14ac:dyDescent="0.35"/>
    <row r="253" ht="14.25" customHeight="1" x14ac:dyDescent="0.35"/>
    <row r="254" ht="14.25" customHeight="1" x14ac:dyDescent="0.35"/>
    <row r="255" ht="14.25" customHeight="1" x14ac:dyDescent="0.35"/>
    <row r="256" ht="14.25" customHeight="1" x14ac:dyDescent="0.35"/>
    <row r="257" ht="14.25" customHeight="1" x14ac:dyDescent="0.35"/>
    <row r="258" ht="14.25" customHeight="1" x14ac:dyDescent="0.35"/>
    <row r="259" ht="14.25" customHeight="1" x14ac:dyDescent="0.35"/>
    <row r="260" ht="14.25" customHeight="1" x14ac:dyDescent="0.35"/>
    <row r="261" ht="14.25" customHeight="1" x14ac:dyDescent="0.35"/>
    <row r="262" ht="14.25" customHeight="1" x14ac:dyDescent="0.35"/>
    <row r="263" ht="14.25" customHeight="1" x14ac:dyDescent="0.35"/>
    <row r="264" ht="14.25" customHeight="1" x14ac:dyDescent="0.35"/>
    <row r="265" ht="14.25" customHeight="1" x14ac:dyDescent="0.35"/>
    <row r="266" ht="14.25" customHeight="1" x14ac:dyDescent="0.35"/>
    <row r="267" ht="14.25" customHeight="1" x14ac:dyDescent="0.35"/>
    <row r="268" ht="14.25" customHeight="1" x14ac:dyDescent="0.35"/>
    <row r="269" ht="14.25" customHeight="1" x14ac:dyDescent="0.35"/>
    <row r="270" ht="14.25" customHeight="1" x14ac:dyDescent="0.35"/>
    <row r="271" ht="14.25" customHeight="1" x14ac:dyDescent="0.35"/>
    <row r="272" ht="14.25" customHeight="1" x14ac:dyDescent="0.35"/>
    <row r="273" ht="14.25" customHeight="1" x14ac:dyDescent="0.35"/>
    <row r="274" ht="14.25" customHeight="1" x14ac:dyDescent="0.35"/>
    <row r="275" ht="14.25" customHeight="1" x14ac:dyDescent="0.35"/>
    <row r="276" ht="14.25" customHeight="1" x14ac:dyDescent="0.35"/>
    <row r="277" ht="14.25" customHeight="1" x14ac:dyDescent="0.35"/>
    <row r="278" ht="14.25" customHeight="1" x14ac:dyDescent="0.35"/>
    <row r="279" ht="14.25" customHeight="1" x14ac:dyDescent="0.35"/>
    <row r="280" ht="14.25" customHeight="1" x14ac:dyDescent="0.35"/>
    <row r="281" ht="14.25" customHeight="1" x14ac:dyDescent="0.35"/>
    <row r="282" ht="14.25" customHeight="1" x14ac:dyDescent="0.35"/>
    <row r="283" ht="14.25" customHeight="1" x14ac:dyDescent="0.35"/>
    <row r="284" ht="14.25" customHeight="1" x14ac:dyDescent="0.35"/>
    <row r="285" ht="14.25" customHeight="1" x14ac:dyDescent="0.35"/>
    <row r="286" ht="14.25" customHeight="1" x14ac:dyDescent="0.35"/>
    <row r="287" ht="14.25" customHeight="1" x14ac:dyDescent="0.35"/>
    <row r="288" ht="14.25" customHeight="1" x14ac:dyDescent="0.35"/>
    <row r="289" ht="14.25" customHeight="1" x14ac:dyDescent="0.35"/>
    <row r="290" ht="14.25" customHeight="1" x14ac:dyDescent="0.35"/>
    <row r="291" ht="14.25" customHeight="1" x14ac:dyDescent="0.35"/>
    <row r="292" ht="14.25" customHeight="1" x14ac:dyDescent="0.35"/>
    <row r="293" ht="14.25" customHeight="1" x14ac:dyDescent="0.35"/>
    <row r="294" ht="14.25" customHeight="1" x14ac:dyDescent="0.35"/>
    <row r="295" ht="14.25" customHeight="1" x14ac:dyDescent="0.35"/>
    <row r="296" ht="14.25" customHeight="1" x14ac:dyDescent="0.35"/>
    <row r="297" ht="14.25" customHeight="1" x14ac:dyDescent="0.35"/>
    <row r="298" ht="14.25" customHeight="1" x14ac:dyDescent="0.35"/>
    <row r="299" ht="14.25" customHeight="1" x14ac:dyDescent="0.35"/>
    <row r="300" ht="14.25" customHeight="1" x14ac:dyDescent="0.35"/>
    <row r="301" ht="14.25" customHeight="1" x14ac:dyDescent="0.35"/>
    <row r="302" ht="14.25" customHeight="1" x14ac:dyDescent="0.35"/>
    <row r="303" ht="14.25" customHeight="1" x14ac:dyDescent="0.35"/>
    <row r="304" ht="14.25" customHeight="1" x14ac:dyDescent="0.35"/>
    <row r="305" ht="14.25" customHeight="1" x14ac:dyDescent="0.35"/>
    <row r="306" ht="14.25" customHeight="1" x14ac:dyDescent="0.35"/>
    <row r="307" ht="14.25" customHeight="1" x14ac:dyDescent="0.35"/>
    <row r="308" ht="14.25" customHeight="1" x14ac:dyDescent="0.35"/>
    <row r="309" ht="14.25" customHeight="1" x14ac:dyDescent="0.35"/>
    <row r="310" ht="14.25" customHeight="1" x14ac:dyDescent="0.35"/>
    <row r="311" ht="14.25" customHeight="1" x14ac:dyDescent="0.35"/>
    <row r="312" ht="14.25" customHeight="1" x14ac:dyDescent="0.35"/>
    <row r="313" ht="14.25" customHeight="1" x14ac:dyDescent="0.35"/>
    <row r="314" ht="14.25" customHeight="1" x14ac:dyDescent="0.35"/>
    <row r="315" ht="14.25" customHeight="1" x14ac:dyDescent="0.35"/>
    <row r="316" ht="14.25" customHeight="1" x14ac:dyDescent="0.35"/>
    <row r="317" ht="14.25" customHeight="1" x14ac:dyDescent="0.35"/>
    <row r="318" ht="14.25" customHeight="1" x14ac:dyDescent="0.35"/>
    <row r="319" ht="14.25" customHeight="1" x14ac:dyDescent="0.35"/>
    <row r="320" ht="14.25" customHeight="1" x14ac:dyDescent="0.35"/>
    <row r="321" ht="14.25" customHeight="1" x14ac:dyDescent="0.35"/>
    <row r="322" ht="14.25" customHeight="1" x14ac:dyDescent="0.35"/>
    <row r="323" ht="14.25" customHeight="1" x14ac:dyDescent="0.35"/>
    <row r="324" ht="14.25" customHeight="1" x14ac:dyDescent="0.35"/>
    <row r="325" ht="14.25" customHeight="1" x14ac:dyDescent="0.35"/>
    <row r="326" ht="14.25" customHeight="1" x14ac:dyDescent="0.35"/>
    <row r="327" ht="14.25" customHeight="1" x14ac:dyDescent="0.35"/>
    <row r="328" ht="14.25" customHeight="1" x14ac:dyDescent="0.35"/>
    <row r="329" ht="14.25" customHeight="1" x14ac:dyDescent="0.35"/>
    <row r="330" ht="14.25" customHeight="1" x14ac:dyDescent="0.35"/>
    <row r="331" ht="14.25" customHeight="1" x14ac:dyDescent="0.35"/>
    <row r="332" ht="14.25" customHeight="1" x14ac:dyDescent="0.35"/>
    <row r="333" ht="14.25" customHeight="1" x14ac:dyDescent="0.35"/>
    <row r="334" ht="14.25" customHeight="1" x14ac:dyDescent="0.35"/>
    <row r="335" ht="14.25" customHeight="1" x14ac:dyDescent="0.35"/>
    <row r="336" ht="14.25" customHeight="1" x14ac:dyDescent="0.35"/>
    <row r="337" ht="14.25" customHeight="1" x14ac:dyDescent="0.35"/>
    <row r="338" ht="14.25" customHeight="1" x14ac:dyDescent="0.35"/>
    <row r="339" ht="14.25" customHeight="1" x14ac:dyDescent="0.35"/>
    <row r="340" ht="14.25" customHeight="1" x14ac:dyDescent="0.35"/>
    <row r="341" ht="14.25" customHeight="1" x14ac:dyDescent="0.35"/>
    <row r="342" ht="14.25" customHeight="1" x14ac:dyDescent="0.35"/>
    <row r="343" ht="14.25" customHeight="1" x14ac:dyDescent="0.35"/>
    <row r="344" ht="14.25" customHeight="1" x14ac:dyDescent="0.35"/>
    <row r="345" ht="14.25" customHeight="1" x14ac:dyDescent="0.35"/>
    <row r="346" ht="14.25" customHeight="1" x14ac:dyDescent="0.35"/>
    <row r="347" ht="14.25" customHeight="1" x14ac:dyDescent="0.35"/>
    <row r="348" ht="14.25" customHeight="1" x14ac:dyDescent="0.35"/>
    <row r="349" ht="14.25" customHeight="1" x14ac:dyDescent="0.35"/>
    <row r="350" ht="14.25" customHeight="1" x14ac:dyDescent="0.35"/>
    <row r="351" ht="14.25" customHeight="1" x14ac:dyDescent="0.35"/>
    <row r="352" ht="14.25" customHeight="1" x14ac:dyDescent="0.35"/>
    <row r="353" ht="14.25" customHeight="1" x14ac:dyDescent="0.35"/>
    <row r="354" ht="14.25" customHeight="1" x14ac:dyDescent="0.35"/>
    <row r="355" ht="14.25" customHeight="1" x14ac:dyDescent="0.35"/>
    <row r="356" ht="14.25" customHeight="1" x14ac:dyDescent="0.35"/>
    <row r="357" ht="14.25" customHeight="1" x14ac:dyDescent="0.35"/>
    <row r="358" ht="14.25" customHeight="1" x14ac:dyDescent="0.35"/>
    <row r="359" ht="14.25" customHeight="1" x14ac:dyDescent="0.35"/>
    <row r="360" ht="14.25" customHeight="1" x14ac:dyDescent="0.35"/>
    <row r="361" ht="14.25" customHeight="1" x14ac:dyDescent="0.35"/>
    <row r="362" ht="14.25" customHeight="1" x14ac:dyDescent="0.35"/>
    <row r="363" ht="14.25" customHeight="1" x14ac:dyDescent="0.35"/>
    <row r="364" ht="14.25" customHeight="1" x14ac:dyDescent="0.35"/>
    <row r="365" ht="14.25" customHeight="1" x14ac:dyDescent="0.35"/>
    <row r="366" ht="14.25" customHeight="1" x14ac:dyDescent="0.35"/>
    <row r="367" ht="14.25" customHeight="1" x14ac:dyDescent="0.35"/>
    <row r="368" ht="14.25" customHeight="1" x14ac:dyDescent="0.35"/>
    <row r="369" ht="14.25" customHeight="1" x14ac:dyDescent="0.35"/>
    <row r="370" ht="14.25" customHeight="1" x14ac:dyDescent="0.35"/>
    <row r="371" ht="14.25" customHeight="1" x14ac:dyDescent="0.35"/>
    <row r="372" ht="14.25" customHeight="1" x14ac:dyDescent="0.35"/>
    <row r="373" ht="14.25" customHeight="1" x14ac:dyDescent="0.35"/>
    <row r="374" ht="14.25" customHeight="1" x14ac:dyDescent="0.35"/>
    <row r="375" ht="14.25" customHeight="1" x14ac:dyDescent="0.35"/>
    <row r="376" ht="14.25" customHeight="1" x14ac:dyDescent="0.35"/>
    <row r="377" ht="14.25" customHeight="1" x14ac:dyDescent="0.35"/>
    <row r="378" ht="14.25" customHeight="1" x14ac:dyDescent="0.35"/>
    <row r="379" ht="14.25" customHeight="1" x14ac:dyDescent="0.35"/>
    <row r="380" ht="14.25" customHeight="1" x14ac:dyDescent="0.35"/>
    <row r="381" ht="14.25" customHeight="1" x14ac:dyDescent="0.35"/>
    <row r="382" ht="14.25" customHeight="1" x14ac:dyDescent="0.35"/>
    <row r="383" ht="14.25" customHeight="1" x14ac:dyDescent="0.35"/>
    <row r="384" ht="14.25" customHeight="1" x14ac:dyDescent="0.35"/>
    <row r="385" ht="14.25" customHeight="1" x14ac:dyDescent="0.35"/>
    <row r="386" ht="14.25" customHeight="1" x14ac:dyDescent="0.35"/>
    <row r="387" ht="14.25" customHeight="1" x14ac:dyDescent="0.35"/>
    <row r="388" ht="14.25" customHeight="1" x14ac:dyDescent="0.35"/>
    <row r="389" ht="14.25" customHeight="1" x14ac:dyDescent="0.35"/>
    <row r="390" ht="14.25" customHeight="1" x14ac:dyDescent="0.35"/>
    <row r="391" ht="14.25" customHeight="1" x14ac:dyDescent="0.35"/>
    <row r="392" ht="14.25" customHeight="1" x14ac:dyDescent="0.35"/>
    <row r="393" ht="14.25" customHeight="1" x14ac:dyDescent="0.35"/>
    <row r="394" ht="14.25" customHeight="1" x14ac:dyDescent="0.35"/>
    <row r="395" ht="14.25" customHeight="1" x14ac:dyDescent="0.35"/>
    <row r="396" ht="14.25" customHeight="1" x14ac:dyDescent="0.35"/>
    <row r="397" ht="14.25" customHeight="1" x14ac:dyDescent="0.35"/>
    <row r="398" ht="14.25" customHeight="1" x14ac:dyDescent="0.35"/>
    <row r="399" ht="14.25" customHeight="1" x14ac:dyDescent="0.35"/>
    <row r="400" ht="14.25" customHeight="1" x14ac:dyDescent="0.35"/>
    <row r="401" ht="14.25" customHeight="1" x14ac:dyDescent="0.35"/>
    <row r="402" ht="14.25" customHeight="1" x14ac:dyDescent="0.35"/>
    <row r="403" ht="14.25" customHeight="1" x14ac:dyDescent="0.35"/>
    <row r="404" ht="14.25" customHeight="1" x14ac:dyDescent="0.35"/>
    <row r="405" ht="14.25" customHeight="1" x14ac:dyDescent="0.35"/>
    <row r="406" ht="14.25" customHeight="1" x14ac:dyDescent="0.35"/>
    <row r="407" ht="14.25" customHeight="1" x14ac:dyDescent="0.35"/>
    <row r="408" ht="14.25" customHeight="1" x14ac:dyDescent="0.35"/>
    <row r="409" ht="14.25" customHeight="1" x14ac:dyDescent="0.35"/>
    <row r="410" ht="14.25" customHeight="1" x14ac:dyDescent="0.35"/>
    <row r="411" ht="14.25" customHeight="1" x14ac:dyDescent="0.35"/>
    <row r="412" ht="14.25" customHeight="1" x14ac:dyDescent="0.35"/>
    <row r="413" ht="14.25" customHeight="1" x14ac:dyDescent="0.35"/>
    <row r="414" ht="14.25" customHeight="1" x14ac:dyDescent="0.35"/>
    <row r="415" ht="14.25" customHeight="1" x14ac:dyDescent="0.35"/>
    <row r="416" ht="14.25" customHeight="1" x14ac:dyDescent="0.35"/>
    <row r="417" ht="14.25" customHeight="1" x14ac:dyDescent="0.35"/>
    <row r="418" ht="14.25" customHeight="1" x14ac:dyDescent="0.35"/>
    <row r="419" ht="14.25" customHeight="1" x14ac:dyDescent="0.35"/>
    <row r="420" ht="14.25" customHeight="1" x14ac:dyDescent="0.35"/>
    <row r="421" ht="14.25" customHeight="1" x14ac:dyDescent="0.35"/>
    <row r="422" ht="14.25" customHeight="1" x14ac:dyDescent="0.35"/>
    <row r="423" ht="14.25" customHeight="1" x14ac:dyDescent="0.35"/>
    <row r="424" ht="14.25" customHeight="1" x14ac:dyDescent="0.35"/>
    <row r="425" ht="14.25" customHeight="1" x14ac:dyDescent="0.35"/>
    <row r="426" ht="14.25" customHeight="1" x14ac:dyDescent="0.35"/>
    <row r="427" ht="14.25" customHeight="1" x14ac:dyDescent="0.35"/>
    <row r="428" ht="14.25" customHeight="1" x14ac:dyDescent="0.35"/>
    <row r="429" ht="14.25" customHeight="1" x14ac:dyDescent="0.35"/>
    <row r="430" ht="14.25" customHeight="1" x14ac:dyDescent="0.35"/>
    <row r="431" ht="14.25" customHeight="1" x14ac:dyDescent="0.35"/>
    <row r="432" ht="14.25" customHeight="1" x14ac:dyDescent="0.35"/>
    <row r="433" ht="14.25" customHeight="1" x14ac:dyDescent="0.35"/>
    <row r="434" ht="14.25" customHeight="1" x14ac:dyDescent="0.35"/>
    <row r="435" ht="14.25" customHeight="1" x14ac:dyDescent="0.35"/>
    <row r="436" ht="14.25" customHeight="1" x14ac:dyDescent="0.35"/>
    <row r="437" ht="14.25" customHeight="1" x14ac:dyDescent="0.35"/>
    <row r="438" ht="14.25" customHeight="1" x14ac:dyDescent="0.35"/>
    <row r="439" ht="14.25" customHeight="1" x14ac:dyDescent="0.35"/>
    <row r="440" ht="14.25" customHeight="1" x14ac:dyDescent="0.35"/>
    <row r="441" ht="14.25" customHeight="1" x14ac:dyDescent="0.35"/>
    <row r="442" ht="14.25" customHeight="1" x14ac:dyDescent="0.35"/>
    <row r="443" ht="14.25" customHeight="1" x14ac:dyDescent="0.35"/>
    <row r="444" ht="14.25" customHeight="1" x14ac:dyDescent="0.35"/>
    <row r="445" ht="14.25" customHeight="1" x14ac:dyDescent="0.35"/>
    <row r="446" ht="14.25" customHeight="1" x14ac:dyDescent="0.35"/>
    <row r="447" ht="14.25" customHeight="1" x14ac:dyDescent="0.35"/>
    <row r="448" ht="14.25" customHeight="1" x14ac:dyDescent="0.35"/>
    <row r="449" ht="14.25" customHeight="1" x14ac:dyDescent="0.35"/>
    <row r="450" ht="14.25" customHeight="1" x14ac:dyDescent="0.35"/>
    <row r="451" ht="14.25" customHeight="1" x14ac:dyDescent="0.35"/>
    <row r="452" ht="14.25" customHeight="1" x14ac:dyDescent="0.35"/>
    <row r="453" ht="14.25" customHeight="1" x14ac:dyDescent="0.35"/>
    <row r="454" ht="14.25" customHeight="1" x14ac:dyDescent="0.35"/>
    <row r="455" ht="14.25" customHeight="1" x14ac:dyDescent="0.35"/>
    <row r="456" ht="14.25" customHeight="1" x14ac:dyDescent="0.35"/>
    <row r="457" ht="14.25" customHeight="1" x14ac:dyDescent="0.35"/>
    <row r="458" ht="14.25" customHeight="1" x14ac:dyDescent="0.35"/>
    <row r="459" ht="14.25" customHeight="1" x14ac:dyDescent="0.35"/>
    <row r="460" ht="14.25" customHeight="1" x14ac:dyDescent="0.35"/>
    <row r="461" ht="14.25" customHeight="1" x14ac:dyDescent="0.35"/>
    <row r="462" ht="14.25" customHeight="1" x14ac:dyDescent="0.35"/>
    <row r="463" ht="14.25" customHeight="1" x14ac:dyDescent="0.35"/>
    <row r="464" ht="14.25" customHeight="1" x14ac:dyDescent="0.35"/>
    <row r="465" ht="14.25" customHeight="1" x14ac:dyDescent="0.35"/>
    <row r="466" ht="14.25" customHeight="1" x14ac:dyDescent="0.35"/>
    <row r="467" ht="14.25" customHeight="1" x14ac:dyDescent="0.35"/>
    <row r="468" ht="14.25" customHeight="1" x14ac:dyDescent="0.35"/>
    <row r="469" ht="14.25" customHeight="1" x14ac:dyDescent="0.35"/>
    <row r="470" ht="14.25" customHeight="1" x14ac:dyDescent="0.35"/>
    <row r="471" ht="14.25" customHeight="1" x14ac:dyDescent="0.35"/>
    <row r="472" ht="14.25" customHeight="1" x14ac:dyDescent="0.35"/>
    <row r="473" ht="14.25" customHeight="1" x14ac:dyDescent="0.35"/>
    <row r="474" ht="14.25" customHeight="1" x14ac:dyDescent="0.35"/>
    <row r="475" ht="14.25" customHeight="1" x14ac:dyDescent="0.35"/>
    <row r="476" ht="14.25" customHeight="1" x14ac:dyDescent="0.35"/>
    <row r="477" ht="14.25" customHeight="1" x14ac:dyDescent="0.35"/>
    <row r="478" ht="14.25" customHeight="1" x14ac:dyDescent="0.35"/>
    <row r="479" ht="14.25" customHeight="1" x14ac:dyDescent="0.35"/>
    <row r="480" ht="14.25" customHeight="1" x14ac:dyDescent="0.35"/>
    <row r="481" ht="14.25" customHeight="1" x14ac:dyDescent="0.35"/>
    <row r="482" ht="14.25" customHeight="1" x14ac:dyDescent="0.35"/>
    <row r="483" ht="14.25" customHeight="1" x14ac:dyDescent="0.35"/>
    <row r="484" ht="14.25" customHeight="1" x14ac:dyDescent="0.35"/>
    <row r="485" ht="14.25" customHeight="1" x14ac:dyDescent="0.35"/>
    <row r="486" ht="14.25" customHeight="1" x14ac:dyDescent="0.35"/>
    <row r="487" ht="14.25" customHeight="1" x14ac:dyDescent="0.35"/>
    <row r="488" ht="14.25" customHeight="1" x14ac:dyDescent="0.35"/>
    <row r="489" ht="14.25" customHeight="1" x14ac:dyDescent="0.35"/>
    <row r="490" ht="14.25" customHeight="1" x14ac:dyDescent="0.35"/>
    <row r="491" ht="14.25" customHeight="1" x14ac:dyDescent="0.35"/>
    <row r="492" ht="14.25" customHeight="1" x14ac:dyDescent="0.35"/>
    <row r="493" ht="14.25" customHeight="1" x14ac:dyDescent="0.35"/>
    <row r="494" ht="14.25" customHeight="1" x14ac:dyDescent="0.35"/>
    <row r="495" ht="14.25" customHeight="1" x14ac:dyDescent="0.35"/>
    <row r="496" ht="14.25" customHeight="1" x14ac:dyDescent="0.35"/>
    <row r="497" ht="14.25" customHeight="1" x14ac:dyDescent="0.35"/>
    <row r="498" ht="14.25" customHeight="1" x14ac:dyDescent="0.35"/>
    <row r="499" ht="14.25" customHeight="1" x14ac:dyDescent="0.35"/>
    <row r="500" ht="14.25" customHeight="1" x14ac:dyDescent="0.35"/>
    <row r="501" ht="14.25" customHeight="1" x14ac:dyDescent="0.35"/>
    <row r="502" ht="14.25" customHeight="1" x14ac:dyDescent="0.35"/>
    <row r="503" ht="14.25" customHeight="1" x14ac:dyDescent="0.35"/>
    <row r="504" ht="14.25" customHeight="1" x14ac:dyDescent="0.35"/>
    <row r="505" ht="14.25" customHeight="1" x14ac:dyDescent="0.35"/>
    <row r="506" ht="14.25" customHeight="1" x14ac:dyDescent="0.35"/>
    <row r="507" ht="14.25" customHeight="1" x14ac:dyDescent="0.35"/>
    <row r="508" ht="14.25" customHeight="1" x14ac:dyDescent="0.35"/>
    <row r="509" ht="14.25" customHeight="1" x14ac:dyDescent="0.35"/>
    <row r="510" ht="14.25" customHeight="1" x14ac:dyDescent="0.35"/>
    <row r="511" ht="14.25" customHeight="1" x14ac:dyDescent="0.35"/>
    <row r="512" ht="14.25" customHeight="1" x14ac:dyDescent="0.35"/>
    <row r="513" ht="14.25" customHeight="1" x14ac:dyDescent="0.35"/>
    <row r="514" ht="14.25" customHeight="1" x14ac:dyDescent="0.35"/>
    <row r="515" ht="14.25" customHeight="1" x14ac:dyDescent="0.35"/>
    <row r="516" ht="14.25" customHeight="1" x14ac:dyDescent="0.35"/>
    <row r="517" ht="14.25" customHeight="1" x14ac:dyDescent="0.35"/>
    <row r="518" ht="14.25" customHeight="1" x14ac:dyDescent="0.35"/>
    <row r="519" ht="14.25" customHeight="1" x14ac:dyDescent="0.35"/>
    <row r="520" ht="14.25" customHeight="1" x14ac:dyDescent="0.35"/>
    <row r="521" ht="14.25" customHeight="1" x14ac:dyDescent="0.35"/>
    <row r="522" ht="14.25" customHeight="1" x14ac:dyDescent="0.35"/>
    <row r="523" ht="14.25" customHeight="1" x14ac:dyDescent="0.35"/>
    <row r="524" ht="14.25" customHeight="1" x14ac:dyDescent="0.35"/>
    <row r="525" ht="14.25" customHeight="1" x14ac:dyDescent="0.35"/>
    <row r="526" ht="14.25" customHeight="1" x14ac:dyDescent="0.35"/>
    <row r="527" ht="14.25" customHeight="1" x14ac:dyDescent="0.35"/>
    <row r="528" ht="14.25" customHeight="1" x14ac:dyDescent="0.35"/>
    <row r="529" ht="14.25" customHeight="1" x14ac:dyDescent="0.35"/>
    <row r="530" ht="14.25" customHeight="1" x14ac:dyDescent="0.35"/>
    <row r="531" ht="14.25" customHeight="1" x14ac:dyDescent="0.35"/>
    <row r="532" ht="14.25" customHeight="1" x14ac:dyDescent="0.35"/>
    <row r="533" ht="14.25" customHeight="1" x14ac:dyDescent="0.35"/>
    <row r="534" ht="14.25" customHeight="1" x14ac:dyDescent="0.35"/>
    <row r="535" ht="14.25" customHeight="1" x14ac:dyDescent="0.35"/>
    <row r="536" ht="14.25" customHeight="1" x14ac:dyDescent="0.35"/>
    <row r="537" ht="14.25" customHeight="1" x14ac:dyDescent="0.35"/>
    <row r="538" ht="14.25" customHeight="1" x14ac:dyDescent="0.35"/>
    <row r="539" ht="14.25" customHeight="1" x14ac:dyDescent="0.35"/>
    <row r="540" ht="14.25" customHeight="1" x14ac:dyDescent="0.35"/>
    <row r="541" ht="14.25" customHeight="1" x14ac:dyDescent="0.35"/>
    <row r="542" ht="14.25" customHeight="1" x14ac:dyDescent="0.35"/>
    <row r="543" ht="14.25" customHeight="1" x14ac:dyDescent="0.35"/>
    <row r="544" ht="14.25" customHeight="1" x14ac:dyDescent="0.35"/>
    <row r="545" ht="14.25" customHeight="1" x14ac:dyDescent="0.35"/>
    <row r="546" ht="14.25" customHeight="1" x14ac:dyDescent="0.35"/>
    <row r="547" ht="14.25" customHeight="1" x14ac:dyDescent="0.35"/>
    <row r="548" ht="14.25" customHeight="1" x14ac:dyDescent="0.35"/>
    <row r="549" ht="14.25" customHeight="1" x14ac:dyDescent="0.35"/>
    <row r="550" ht="14.25" customHeight="1" x14ac:dyDescent="0.35"/>
    <row r="551" ht="14.25" customHeight="1" x14ac:dyDescent="0.35"/>
    <row r="552" ht="14.25" customHeight="1" x14ac:dyDescent="0.35"/>
    <row r="553" ht="14.25" customHeight="1" x14ac:dyDescent="0.35"/>
    <row r="554" ht="14.25" customHeight="1" x14ac:dyDescent="0.35"/>
    <row r="555" ht="14.25" customHeight="1" x14ac:dyDescent="0.35"/>
    <row r="556" ht="14.25" customHeight="1" x14ac:dyDescent="0.35"/>
    <row r="557" ht="14.25" customHeight="1" x14ac:dyDescent="0.35"/>
    <row r="558" ht="14.25" customHeight="1" x14ac:dyDescent="0.35"/>
    <row r="559" ht="14.25" customHeight="1" x14ac:dyDescent="0.35"/>
    <row r="560" ht="14.25" customHeight="1" x14ac:dyDescent="0.35"/>
    <row r="561" ht="14.25" customHeight="1" x14ac:dyDescent="0.35"/>
    <row r="562" ht="14.25" customHeight="1" x14ac:dyDescent="0.35"/>
    <row r="563" ht="14.25" customHeight="1" x14ac:dyDescent="0.35"/>
    <row r="564" ht="14.25" customHeight="1" x14ac:dyDescent="0.35"/>
    <row r="565" ht="14.25" customHeight="1" x14ac:dyDescent="0.35"/>
    <row r="566" ht="14.25" customHeight="1" x14ac:dyDescent="0.35"/>
    <row r="567" ht="14.25" customHeight="1" x14ac:dyDescent="0.35"/>
    <row r="568" ht="14.25" customHeight="1" x14ac:dyDescent="0.35"/>
    <row r="569" ht="14.25" customHeight="1" x14ac:dyDescent="0.35"/>
    <row r="570" ht="14.25" customHeight="1" x14ac:dyDescent="0.35"/>
    <row r="571" ht="14.25" customHeight="1" x14ac:dyDescent="0.35"/>
    <row r="572" ht="14.25" customHeight="1" x14ac:dyDescent="0.35"/>
    <row r="573" ht="14.25" customHeight="1" x14ac:dyDescent="0.35"/>
    <row r="574" ht="14.25" customHeight="1" x14ac:dyDescent="0.35"/>
    <row r="575" ht="14.25" customHeight="1" x14ac:dyDescent="0.35"/>
    <row r="576" ht="14.25" customHeight="1" x14ac:dyDescent="0.35"/>
    <row r="577" ht="14.25" customHeight="1" x14ac:dyDescent="0.35"/>
    <row r="578" ht="14.25" customHeight="1" x14ac:dyDescent="0.35"/>
    <row r="579" ht="14.25" customHeight="1" x14ac:dyDescent="0.35"/>
    <row r="580" ht="14.25" customHeight="1" x14ac:dyDescent="0.35"/>
    <row r="581" ht="14.25" customHeight="1" x14ac:dyDescent="0.35"/>
    <row r="582" ht="14.25" customHeight="1" x14ac:dyDescent="0.35"/>
    <row r="583" ht="14.25" customHeight="1" x14ac:dyDescent="0.35"/>
    <row r="584" ht="14.25" customHeight="1" x14ac:dyDescent="0.35"/>
    <row r="585" ht="14.25" customHeight="1" x14ac:dyDescent="0.35"/>
    <row r="586" ht="14.25" customHeight="1" x14ac:dyDescent="0.35"/>
    <row r="587" ht="14.25" customHeight="1" x14ac:dyDescent="0.35"/>
    <row r="588" ht="14.25" customHeight="1" x14ac:dyDescent="0.35"/>
    <row r="589" ht="14.25" customHeight="1" x14ac:dyDescent="0.35"/>
    <row r="590" ht="14.25" customHeight="1" x14ac:dyDescent="0.35"/>
    <row r="591" ht="14.25" customHeight="1" x14ac:dyDescent="0.35"/>
    <row r="592" ht="14.25" customHeight="1" x14ac:dyDescent="0.35"/>
    <row r="593" ht="14.25" customHeight="1" x14ac:dyDescent="0.35"/>
    <row r="594" ht="14.25" customHeight="1" x14ac:dyDescent="0.35"/>
    <row r="595" ht="14.25" customHeight="1" x14ac:dyDescent="0.35"/>
    <row r="596" ht="14.25" customHeight="1" x14ac:dyDescent="0.35"/>
    <row r="597" ht="14.25" customHeight="1" x14ac:dyDescent="0.35"/>
    <row r="598" ht="14.25" customHeight="1" x14ac:dyDescent="0.35"/>
    <row r="599" ht="14.25" customHeight="1" x14ac:dyDescent="0.35"/>
    <row r="600" ht="14.25" customHeight="1" x14ac:dyDescent="0.35"/>
    <row r="601" ht="14.25" customHeight="1" x14ac:dyDescent="0.35"/>
    <row r="602" ht="14.25" customHeight="1" x14ac:dyDescent="0.35"/>
    <row r="603" ht="14.25" customHeight="1" x14ac:dyDescent="0.35"/>
    <row r="604" ht="14.25" customHeight="1" x14ac:dyDescent="0.35"/>
    <row r="605" ht="14.25" customHeight="1" x14ac:dyDescent="0.35"/>
    <row r="606" ht="14.25" customHeight="1" x14ac:dyDescent="0.35"/>
    <row r="607" ht="14.25" customHeight="1" x14ac:dyDescent="0.35"/>
    <row r="608" ht="14.25" customHeight="1" x14ac:dyDescent="0.35"/>
    <row r="609" ht="14.25" customHeight="1" x14ac:dyDescent="0.35"/>
    <row r="610" ht="14.25" customHeight="1" x14ac:dyDescent="0.35"/>
    <row r="611" ht="14.25" customHeight="1" x14ac:dyDescent="0.35"/>
    <row r="612" ht="14.25" customHeight="1" x14ac:dyDescent="0.35"/>
    <row r="613" ht="14.25" customHeight="1" x14ac:dyDescent="0.35"/>
    <row r="614" ht="14.25" customHeight="1" x14ac:dyDescent="0.35"/>
    <row r="615" ht="14.25" customHeight="1" x14ac:dyDescent="0.35"/>
    <row r="616" ht="14.25" customHeight="1" x14ac:dyDescent="0.35"/>
    <row r="617" ht="14.25" customHeight="1" x14ac:dyDescent="0.35"/>
    <row r="618" ht="14.25" customHeight="1" x14ac:dyDescent="0.35"/>
    <row r="619" ht="14.25" customHeight="1" x14ac:dyDescent="0.35"/>
    <row r="620" ht="14.25" customHeight="1" x14ac:dyDescent="0.35"/>
    <row r="621" ht="14.25" customHeight="1" x14ac:dyDescent="0.35"/>
    <row r="622" ht="14.25" customHeight="1" x14ac:dyDescent="0.35"/>
    <row r="623" ht="14.25" customHeight="1" x14ac:dyDescent="0.35"/>
    <row r="624" ht="14.25" customHeight="1" x14ac:dyDescent="0.35"/>
    <row r="625" ht="14.25" customHeight="1" x14ac:dyDescent="0.35"/>
    <row r="626" ht="14.25" customHeight="1" x14ac:dyDescent="0.35"/>
    <row r="627" ht="14.25" customHeight="1" x14ac:dyDescent="0.35"/>
    <row r="628" ht="14.25" customHeight="1" x14ac:dyDescent="0.35"/>
    <row r="629" ht="14.25" customHeight="1" x14ac:dyDescent="0.35"/>
    <row r="630" ht="14.25" customHeight="1" x14ac:dyDescent="0.35"/>
    <row r="631" ht="14.25" customHeight="1" x14ac:dyDescent="0.35"/>
    <row r="632" ht="14.25" customHeight="1" x14ac:dyDescent="0.35"/>
    <row r="633" ht="14.25" customHeight="1" x14ac:dyDescent="0.35"/>
    <row r="634" ht="14.25" customHeight="1" x14ac:dyDescent="0.35"/>
    <row r="635" ht="14.25" customHeight="1" x14ac:dyDescent="0.35"/>
    <row r="636" ht="14.25" customHeight="1" x14ac:dyDescent="0.35"/>
    <row r="637" ht="14.25" customHeight="1" x14ac:dyDescent="0.35"/>
    <row r="638" ht="14.25" customHeight="1" x14ac:dyDescent="0.35"/>
    <row r="639" ht="14.25" customHeight="1" x14ac:dyDescent="0.35"/>
    <row r="640" ht="14.25" customHeight="1" x14ac:dyDescent="0.35"/>
    <row r="641" ht="14.25" customHeight="1" x14ac:dyDescent="0.35"/>
    <row r="642" ht="14.25" customHeight="1" x14ac:dyDescent="0.35"/>
    <row r="643" ht="14.25" customHeight="1" x14ac:dyDescent="0.35"/>
    <row r="644" ht="14.25" customHeight="1" x14ac:dyDescent="0.35"/>
    <row r="645" ht="14.25" customHeight="1" x14ac:dyDescent="0.35"/>
    <row r="646" ht="14.25" customHeight="1" x14ac:dyDescent="0.35"/>
    <row r="647" ht="14.25" customHeight="1" x14ac:dyDescent="0.35"/>
    <row r="648" ht="14.25" customHeight="1" x14ac:dyDescent="0.35"/>
    <row r="649" ht="14.25" customHeight="1" x14ac:dyDescent="0.35"/>
    <row r="650" ht="14.25" customHeight="1" x14ac:dyDescent="0.35"/>
    <row r="651" ht="14.25" customHeight="1" x14ac:dyDescent="0.35"/>
    <row r="652" ht="14.25" customHeight="1" x14ac:dyDescent="0.35"/>
    <row r="653" ht="14.25" customHeight="1" x14ac:dyDescent="0.35"/>
    <row r="654" ht="14.25" customHeight="1" x14ac:dyDescent="0.35"/>
    <row r="655" ht="14.25" customHeight="1" x14ac:dyDescent="0.35"/>
    <row r="656" ht="14.25" customHeight="1" x14ac:dyDescent="0.35"/>
    <row r="657" ht="14.25" customHeight="1" x14ac:dyDescent="0.35"/>
    <row r="658" ht="14.25" customHeight="1" x14ac:dyDescent="0.35"/>
    <row r="659" ht="14.25" customHeight="1" x14ac:dyDescent="0.35"/>
    <row r="660" ht="14.25" customHeight="1" x14ac:dyDescent="0.35"/>
    <row r="661" ht="14.25" customHeight="1" x14ac:dyDescent="0.35"/>
    <row r="662" ht="14.25" customHeight="1" x14ac:dyDescent="0.35"/>
    <row r="663" ht="14.25" customHeight="1" x14ac:dyDescent="0.35"/>
    <row r="664" ht="14.25" customHeight="1" x14ac:dyDescent="0.35"/>
    <row r="665" ht="14.25" customHeight="1" x14ac:dyDescent="0.35"/>
    <row r="666" ht="14.25" customHeight="1" x14ac:dyDescent="0.35"/>
    <row r="667" ht="14.25" customHeight="1" x14ac:dyDescent="0.35"/>
    <row r="668" ht="14.25" customHeight="1" x14ac:dyDescent="0.35"/>
    <row r="669" ht="14.25" customHeight="1" x14ac:dyDescent="0.35"/>
    <row r="670" ht="14.25" customHeight="1" x14ac:dyDescent="0.35"/>
    <row r="671" ht="14.25" customHeight="1" x14ac:dyDescent="0.35"/>
    <row r="672" ht="14.25" customHeight="1" x14ac:dyDescent="0.35"/>
    <row r="673" ht="14.25" customHeight="1" x14ac:dyDescent="0.35"/>
    <row r="674" ht="14.25" customHeight="1" x14ac:dyDescent="0.35"/>
    <row r="675" ht="14.25" customHeight="1" x14ac:dyDescent="0.35"/>
    <row r="676" ht="14.25" customHeight="1" x14ac:dyDescent="0.35"/>
    <row r="677" ht="14.25" customHeight="1" x14ac:dyDescent="0.35"/>
    <row r="678" ht="14.25" customHeight="1" x14ac:dyDescent="0.35"/>
    <row r="679" ht="14.25" customHeight="1" x14ac:dyDescent="0.35"/>
    <row r="680" ht="14.25" customHeight="1" x14ac:dyDescent="0.35"/>
    <row r="681" ht="14.25" customHeight="1" x14ac:dyDescent="0.35"/>
    <row r="682" ht="14.25" customHeight="1" x14ac:dyDescent="0.35"/>
    <row r="683" ht="14.25" customHeight="1" x14ac:dyDescent="0.35"/>
    <row r="684" ht="14.25" customHeight="1" x14ac:dyDescent="0.35"/>
    <row r="685" ht="14.25" customHeight="1" x14ac:dyDescent="0.35"/>
    <row r="686" ht="14.25" customHeight="1" x14ac:dyDescent="0.35"/>
    <row r="687" ht="14.25" customHeight="1" x14ac:dyDescent="0.35"/>
    <row r="688" ht="14.25" customHeight="1" x14ac:dyDescent="0.35"/>
    <row r="689" ht="14.25" customHeight="1" x14ac:dyDescent="0.35"/>
    <row r="690" ht="14.25" customHeight="1" x14ac:dyDescent="0.35"/>
    <row r="691" ht="14.25" customHeight="1" x14ac:dyDescent="0.35"/>
    <row r="692" ht="14.25" customHeight="1" x14ac:dyDescent="0.35"/>
    <row r="693" ht="14.25" customHeight="1" x14ac:dyDescent="0.35"/>
    <row r="694" ht="14.25" customHeight="1" x14ac:dyDescent="0.35"/>
    <row r="695" ht="14.25" customHeight="1" x14ac:dyDescent="0.35"/>
    <row r="696" ht="14.25" customHeight="1" x14ac:dyDescent="0.35"/>
    <row r="697" ht="14.25" customHeight="1" x14ac:dyDescent="0.35"/>
    <row r="698" ht="14.25" customHeight="1" x14ac:dyDescent="0.35"/>
    <row r="699" ht="14.25" customHeight="1" x14ac:dyDescent="0.35"/>
    <row r="700" ht="14.25" customHeight="1" x14ac:dyDescent="0.35"/>
    <row r="701" ht="14.25" customHeight="1" x14ac:dyDescent="0.35"/>
    <row r="702" ht="14.25" customHeight="1" x14ac:dyDescent="0.35"/>
    <row r="703" ht="14.25" customHeight="1" x14ac:dyDescent="0.35"/>
    <row r="704" ht="14.25" customHeight="1" x14ac:dyDescent="0.35"/>
    <row r="705" ht="14.25" customHeight="1" x14ac:dyDescent="0.35"/>
    <row r="706" ht="14.25" customHeight="1" x14ac:dyDescent="0.35"/>
    <row r="707" ht="14.25" customHeight="1" x14ac:dyDescent="0.35"/>
    <row r="708" ht="14.25" customHeight="1" x14ac:dyDescent="0.35"/>
    <row r="709" ht="14.25" customHeight="1" x14ac:dyDescent="0.35"/>
    <row r="710" ht="14.25" customHeight="1" x14ac:dyDescent="0.35"/>
    <row r="711" ht="14.25" customHeight="1" x14ac:dyDescent="0.35"/>
    <row r="712" ht="14.25" customHeight="1" x14ac:dyDescent="0.35"/>
    <row r="713" ht="14.25" customHeight="1" x14ac:dyDescent="0.35"/>
    <row r="714" ht="14.25" customHeight="1" x14ac:dyDescent="0.35"/>
    <row r="715" ht="14.25" customHeight="1" x14ac:dyDescent="0.35"/>
    <row r="716" ht="14.25" customHeight="1" x14ac:dyDescent="0.35"/>
    <row r="717" ht="14.25" customHeight="1" x14ac:dyDescent="0.35"/>
    <row r="718" ht="14.25" customHeight="1" x14ac:dyDescent="0.35"/>
    <row r="719" ht="14.25" customHeight="1" x14ac:dyDescent="0.35"/>
    <row r="720" ht="14.25" customHeight="1" x14ac:dyDescent="0.35"/>
    <row r="721" ht="14.25" customHeight="1" x14ac:dyDescent="0.35"/>
    <row r="722" ht="14.25" customHeight="1" x14ac:dyDescent="0.35"/>
    <row r="723" ht="14.25" customHeight="1" x14ac:dyDescent="0.35"/>
    <row r="724" ht="14.25" customHeight="1" x14ac:dyDescent="0.35"/>
    <row r="725" ht="14.25" customHeight="1" x14ac:dyDescent="0.35"/>
    <row r="726" ht="14.25" customHeight="1" x14ac:dyDescent="0.35"/>
    <row r="727" ht="14.25" customHeight="1" x14ac:dyDescent="0.35"/>
    <row r="728" ht="14.25" customHeight="1" x14ac:dyDescent="0.35"/>
    <row r="729" ht="14.25" customHeight="1" x14ac:dyDescent="0.35"/>
    <row r="730" ht="14.25" customHeight="1" x14ac:dyDescent="0.35"/>
    <row r="731" ht="14.25" customHeight="1" x14ac:dyDescent="0.35"/>
    <row r="732" ht="14.25" customHeight="1" x14ac:dyDescent="0.35"/>
    <row r="733" ht="14.25" customHeight="1" x14ac:dyDescent="0.35"/>
    <row r="734" ht="14.25" customHeight="1" x14ac:dyDescent="0.35"/>
    <row r="735" ht="14.25" customHeight="1" x14ac:dyDescent="0.35"/>
    <row r="736" ht="14.25" customHeight="1" x14ac:dyDescent="0.35"/>
    <row r="737" ht="14.25" customHeight="1" x14ac:dyDescent="0.35"/>
    <row r="738" ht="14.25" customHeight="1" x14ac:dyDescent="0.35"/>
    <row r="739" ht="14.25" customHeight="1" x14ac:dyDescent="0.35"/>
    <row r="740" ht="14.25" customHeight="1" x14ac:dyDescent="0.35"/>
    <row r="741" ht="14.25" customHeight="1" x14ac:dyDescent="0.35"/>
    <row r="742" ht="14.25" customHeight="1" x14ac:dyDescent="0.35"/>
    <row r="743" ht="14.25" customHeight="1" x14ac:dyDescent="0.35"/>
    <row r="744" ht="14.25" customHeight="1" x14ac:dyDescent="0.35"/>
    <row r="745" ht="14.25" customHeight="1" x14ac:dyDescent="0.35"/>
    <row r="746" ht="14.25" customHeight="1" x14ac:dyDescent="0.35"/>
    <row r="747" ht="14.25" customHeight="1" x14ac:dyDescent="0.35"/>
    <row r="748" ht="14.25" customHeight="1" x14ac:dyDescent="0.35"/>
    <row r="749" ht="14.25" customHeight="1" x14ac:dyDescent="0.35"/>
    <row r="750" ht="14.25" customHeight="1" x14ac:dyDescent="0.35"/>
    <row r="751" ht="14.25" customHeight="1" x14ac:dyDescent="0.35"/>
    <row r="752" ht="14.25" customHeight="1" x14ac:dyDescent="0.35"/>
    <row r="753" ht="14.25" customHeight="1" x14ac:dyDescent="0.35"/>
    <row r="754" ht="14.25" customHeight="1" x14ac:dyDescent="0.35"/>
    <row r="755" ht="14.25" customHeight="1" x14ac:dyDescent="0.35"/>
    <row r="756" ht="14.25" customHeight="1" x14ac:dyDescent="0.35"/>
    <row r="757" ht="14.25" customHeight="1" x14ac:dyDescent="0.35"/>
    <row r="758" ht="14.25" customHeight="1" x14ac:dyDescent="0.35"/>
    <row r="759" ht="14.25" customHeight="1" x14ac:dyDescent="0.35"/>
    <row r="760" ht="14.25" customHeight="1" x14ac:dyDescent="0.35"/>
    <row r="761" ht="14.25" customHeight="1" x14ac:dyDescent="0.35"/>
    <row r="762" ht="14.25" customHeight="1" x14ac:dyDescent="0.35"/>
    <row r="763" ht="14.25" customHeight="1" x14ac:dyDescent="0.35"/>
    <row r="764" ht="14.25" customHeight="1" x14ac:dyDescent="0.35"/>
    <row r="765" ht="14.25" customHeight="1" x14ac:dyDescent="0.35"/>
    <row r="766" ht="14.25" customHeight="1" x14ac:dyDescent="0.35"/>
    <row r="767" ht="14.25" customHeight="1" x14ac:dyDescent="0.35"/>
    <row r="768" ht="14.25" customHeight="1" x14ac:dyDescent="0.35"/>
    <row r="769" ht="14.25" customHeight="1" x14ac:dyDescent="0.35"/>
    <row r="770" ht="14.25" customHeight="1" x14ac:dyDescent="0.35"/>
    <row r="771" ht="14.25" customHeight="1" x14ac:dyDescent="0.35"/>
    <row r="772" ht="14.25" customHeight="1" x14ac:dyDescent="0.35"/>
    <row r="773" ht="14.25" customHeight="1" x14ac:dyDescent="0.35"/>
    <row r="774" ht="14.25" customHeight="1" x14ac:dyDescent="0.35"/>
    <row r="775" ht="14.25" customHeight="1" x14ac:dyDescent="0.35"/>
    <row r="776" ht="14.25" customHeight="1" x14ac:dyDescent="0.35"/>
    <row r="777" ht="14.25" customHeight="1" x14ac:dyDescent="0.35"/>
    <row r="778" ht="14.25" customHeight="1" x14ac:dyDescent="0.35"/>
    <row r="779" ht="14.25" customHeight="1" x14ac:dyDescent="0.35"/>
    <row r="780" ht="14.25" customHeight="1" x14ac:dyDescent="0.35"/>
    <row r="781" ht="14.25" customHeight="1" x14ac:dyDescent="0.35"/>
    <row r="782" ht="14.25" customHeight="1" x14ac:dyDescent="0.35"/>
    <row r="783" ht="14.25" customHeight="1" x14ac:dyDescent="0.35"/>
    <row r="784" ht="14.25" customHeight="1" x14ac:dyDescent="0.35"/>
    <row r="785" ht="14.25" customHeight="1" x14ac:dyDescent="0.35"/>
    <row r="786" ht="14.25" customHeight="1" x14ac:dyDescent="0.35"/>
    <row r="787" ht="14.25" customHeight="1" x14ac:dyDescent="0.35"/>
    <row r="788" ht="14.25" customHeight="1" x14ac:dyDescent="0.35"/>
    <row r="789" ht="14.25" customHeight="1" x14ac:dyDescent="0.35"/>
    <row r="790" ht="14.25" customHeight="1" x14ac:dyDescent="0.35"/>
    <row r="791" ht="14.25" customHeight="1" x14ac:dyDescent="0.35"/>
    <row r="792" ht="14.25" customHeight="1" x14ac:dyDescent="0.35"/>
    <row r="793" ht="14.25" customHeight="1" x14ac:dyDescent="0.35"/>
    <row r="794" ht="14.25" customHeight="1" x14ac:dyDescent="0.35"/>
    <row r="795" ht="14.25" customHeight="1" x14ac:dyDescent="0.35"/>
    <row r="796" ht="14.25" customHeight="1" x14ac:dyDescent="0.35"/>
    <row r="797" ht="14.25" customHeight="1" x14ac:dyDescent="0.35"/>
    <row r="798" ht="14.25" customHeight="1" x14ac:dyDescent="0.35"/>
    <row r="799" ht="14.25" customHeight="1" x14ac:dyDescent="0.35"/>
    <row r="800" ht="14.25" customHeight="1" x14ac:dyDescent="0.35"/>
    <row r="801" ht="14.25" customHeight="1" x14ac:dyDescent="0.35"/>
    <row r="802" ht="14.25" customHeight="1" x14ac:dyDescent="0.35"/>
    <row r="803" ht="14.25" customHeight="1" x14ac:dyDescent="0.35"/>
    <row r="804" ht="14.25" customHeight="1" x14ac:dyDescent="0.35"/>
    <row r="805" ht="14.25" customHeight="1" x14ac:dyDescent="0.35"/>
    <row r="806" ht="14.25" customHeight="1" x14ac:dyDescent="0.35"/>
    <row r="807" ht="14.25" customHeight="1" x14ac:dyDescent="0.35"/>
    <row r="808" ht="14.25" customHeight="1" x14ac:dyDescent="0.35"/>
    <row r="809" ht="14.25" customHeight="1" x14ac:dyDescent="0.35"/>
    <row r="810" ht="14.25" customHeight="1" x14ac:dyDescent="0.35"/>
    <row r="811" ht="14.25" customHeight="1" x14ac:dyDescent="0.35"/>
    <row r="812" ht="14.25" customHeight="1" x14ac:dyDescent="0.35"/>
    <row r="813" ht="14.25" customHeight="1" x14ac:dyDescent="0.35"/>
    <row r="814" ht="14.25" customHeight="1" x14ac:dyDescent="0.35"/>
    <row r="815" ht="14.25" customHeight="1" x14ac:dyDescent="0.35"/>
    <row r="816" ht="14.25" customHeight="1" x14ac:dyDescent="0.35"/>
    <row r="817" ht="14.25" customHeight="1" x14ac:dyDescent="0.35"/>
    <row r="818" ht="14.25" customHeight="1" x14ac:dyDescent="0.35"/>
    <row r="819" ht="14.25" customHeight="1" x14ac:dyDescent="0.35"/>
    <row r="820" ht="14.25" customHeight="1" x14ac:dyDescent="0.35"/>
    <row r="821" ht="14.25" customHeight="1" x14ac:dyDescent="0.35"/>
    <row r="822" ht="14.25" customHeight="1" x14ac:dyDescent="0.35"/>
    <row r="823" ht="14.25" customHeight="1" x14ac:dyDescent="0.35"/>
    <row r="824" ht="14.25" customHeight="1" x14ac:dyDescent="0.35"/>
    <row r="825" ht="14.25" customHeight="1" x14ac:dyDescent="0.35"/>
    <row r="826" ht="14.25" customHeight="1" x14ac:dyDescent="0.35"/>
    <row r="827" ht="14.25" customHeight="1" x14ac:dyDescent="0.35"/>
    <row r="828" ht="14.25" customHeight="1" x14ac:dyDescent="0.35"/>
    <row r="829" ht="14.25" customHeight="1" x14ac:dyDescent="0.35"/>
    <row r="830" ht="14.25" customHeight="1" x14ac:dyDescent="0.35"/>
    <row r="831" ht="14.25" customHeight="1" x14ac:dyDescent="0.35"/>
    <row r="832" ht="14.25" customHeight="1" x14ac:dyDescent="0.35"/>
    <row r="833" ht="14.25" customHeight="1" x14ac:dyDescent="0.35"/>
    <row r="834" ht="14.25" customHeight="1" x14ac:dyDescent="0.35"/>
    <row r="835" ht="14.25" customHeight="1" x14ac:dyDescent="0.35"/>
    <row r="836" ht="14.25" customHeight="1" x14ac:dyDescent="0.35"/>
    <row r="837" ht="14.25" customHeight="1" x14ac:dyDescent="0.35"/>
    <row r="838" ht="14.25" customHeight="1" x14ac:dyDescent="0.35"/>
    <row r="839" ht="14.25" customHeight="1" x14ac:dyDescent="0.35"/>
    <row r="840" ht="14.25" customHeight="1" x14ac:dyDescent="0.35"/>
    <row r="841" ht="14.25" customHeight="1" x14ac:dyDescent="0.35"/>
    <row r="842" ht="14.25" customHeight="1" x14ac:dyDescent="0.35"/>
    <row r="843" ht="14.25" customHeight="1" x14ac:dyDescent="0.35"/>
    <row r="844" ht="14.25" customHeight="1" x14ac:dyDescent="0.35"/>
    <row r="845" ht="14.25" customHeight="1" x14ac:dyDescent="0.35"/>
    <row r="846" ht="14.25" customHeight="1" x14ac:dyDescent="0.35"/>
    <row r="847" ht="14.25" customHeight="1" x14ac:dyDescent="0.35"/>
    <row r="848" ht="14.25" customHeight="1" x14ac:dyDescent="0.35"/>
    <row r="849" ht="14.25" customHeight="1" x14ac:dyDescent="0.35"/>
    <row r="850" ht="14.25" customHeight="1" x14ac:dyDescent="0.35"/>
    <row r="851" ht="14.25" customHeight="1" x14ac:dyDescent="0.35"/>
    <row r="852" ht="14.25" customHeight="1" x14ac:dyDescent="0.35"/>
    <row r="853" ht="14.25" customHeight="1" x14ac:dyDescent="0.35"/>
    <row r="854" ht="14.25" customHeight="1" x14ac:dyDescent="0.35"/>
    <row r="855" ht="14.25" customHeight="1" x14ac:dyDescent="0.35"/>
    <row r="856" ht="14.25" customHeight="1" x14ac:dyDescent="0.35"/>
    <row r="857" ht="14.25" customHeight="1" x14ac:dyDescent="0.35"/>
    <row r="858" ht="14.25" customHeight="1" x14ac:dyDescent="0.35"/>
    <row r="859" ht="14.25" customHeight="1" x14ac:dyDescent="0.35"/>
    <row r="860" ht="14.25" customHeight="1" x14ac:dyDescent="0.35"/>
    <row r="861" ht="14.25" customHeight="1" x14ac:dyDescent="0.35"/>
    <row r="862" ht="14.25" customHeight="1" x14ac:dyDescent="0.35"/>
    <row r="863" ht="14.25" customHeight="1" x14ac:dyDescent="0.35"/>
    <row r="864" ht="14.25" customHeight="1" x14ac:dyDescent="0.35"/>
    <row r="865" ht="14.25" customHeight="1" x14ac:dyDescent="0.35"/>
    <row r="866" ht="14.25" customHeight="1" x14ac:dyDescent="0.35"/>
    <row r="867" ht="14.25" customHeight="1" x14ac:dyDescent="0.35"/>
    <row r="868" ht="14.25" customHeight="1" x14ac:dyDescent="0.35"/>
    <row r="869" ht="14.25" customHeight="1" x14ac:dyDescent="0.35"/>
    <row r="870" ht="14.25" customHeight="1" x14ac:dyDescent="0.35"/>
    <row r="871" ht="14.25" customHeight="1" x14ac:dyDescent="0.35"/>
    <row r="872" ht="14.25" customHeight="1" x14ac:dyDescent="0.35"/>
    <row r="873" ht="14.25" customHeight="1" x14ac:dyDescent="0.35"/>
    <row r="874" ht="14.25" customHeight="1" x14ac:dyDescent="0.35"/>
    <row r="875" ht="14.25" customHeight="1" x14ac:dyDescent="0.35"/>
    <row r="876" ht="14.25" customHeight="1" x14ac:dyDescent="0.35"/>
    <row r="877" ht="14.25" customHeight="1" x14ac:dyDescent="0.35"/>
    <row r="878" ht="14.25" customHeight="1" x14ac:dyDescent="0.35"/>
    <row r="879" ht="14.25" customHeight="1" x14ac:dyDescent="0.35"/>
    <row r="880" ht="14.25" customHeight="1" x14ac:dyDescent="0.35"/>
    <row r="881" ht="14.25" customHeight="1" x14ac:dyDescent="0.35"/>
    <row r="882" ht="14.25" customHeight="1" x14ac:dyDescent="0.35"/>
    <row r="883" ht="14.25" customHeight="1" x14ac:dyDescent="0.35"/>
    <row r="884" ht="14.25" customHeight="1" x14ac:dyDescent="0.35"/>
    <row r="885" ht="14.25" customHeight="1" x14ac:dyDescent="0.35"/>
    <row r="886" ht="14.25" customHeight="1" x14ac:dyDescent="0.35"/>
    <row r="887" ht="14.25" customHeight="1" x14ac:dyDescent="0.35"/>
    <row r="888" ht="14.25" customHeight="1" x14ac:dyDescent="0.35"/>
    <row r="889" ht="14.25" customHeight="1" x14ac:dyDescent="0.35"/>
    <row r="890" ht="14.25" customHeight="1" x14ac:dyDescent="0.35"/>
    <row r="891" ht="14.25" customHeight="1" x14ac:dyDescent="0.35"/>
    <row r="892" ht="14.25" customHeight="1" x14ac:dyDescent="0.35"/>
    <row r="893" ht="14.25" customHeight="1" x14ac:dyDescent="0.35"/>
    <row r="894" ht="14.25" customHeight="1" x14ac:dyDescent="0.35"/>
    <row r="895" ht="14.25" customHeight="1" x14ac:dyDescent="0.35"/>
    <row r="896" ht="14.25" customHeight="1" x14ac:dyDescent="0.35"/>
    <row r="897" ht="14.25" customHeight="1" x14ac:dyDescent="0.35"/>
    <row r="898" ht="14.25" customHeight="1" x14ac:dyDescent="0.35"/>
    <row r="899" ht="14.25" customHeight="1" x14ac:dyDescent="0.35"/>
    <row r="900" ht="14.25" customHeight="1" x14ac:dyDescent="0.35"/>
    <row r="901" ht="14.25" customHeight="1" x14ac:dyDescent="0.35"/>
    <row r="902" ht="14.25" customHeight="1" x14ac:dyDescent="0.35"/>
    <row r="903" ht="14.25" customHeight="1" x14ac:dyDescent="0.35"/>
    <row r="904" ht="14.25" customHeight="1" x14ac:dyDescent="0.35"/>
    <row r="905" ht="14.25" customHeight="1" x14ac:dyDescent="0.35"/>
    <row r="906" ht="14.25" customHeight="1" x14ac:dyDescent="0.35"/>
    <row r="907" ht="14.25" customHeight="1" x14ac:dyDescent="0.35"/>
    <row r="908" ht="14.25" customHeight="1" x14ac:dyDescent="0.35"/>
    <row r="909" ht="14.25" customHeight="1" x14ac:dyDescent="0.35"/>
    <row r="910" ht="14.25" customHeight="1" x14ac:dyDescent="0.35"/>
    <row r="911" ht="14.25" customHeight="1" x14ac:dyDescent="0.35"/>
    <row r="912" ht="14.25" customHeight="1" x14ac:dyDescent="0.35"/>
    <row r="913" ht="14.25" customHeight="1" x14ac:dyDescent="0.35"/>
    <row r="914" ht="14.25" customHeight="1" x14ac:dyDescent="0.35"/>
    <row r="915" ht="14.25" customHeight="1" x14ac:dyDescent="0.35"/>
    <row r="916" ht="14.25" customHeight="1" x14ac:dyDescent="0.35"/>
    <row r="917" ht="14.25" customHeight="1" x14ac:dyDescent="0.35"/>
    <row r="918" ht="14.25" customHeight="1" x14ac:dyDescent="0.35"/>
    <row r="919" ht="14.25" customHeight="1" x14ac:dyDescent="0.35"/>
    <row r="920" ht="14.25" customHeight="1" x14ac:dyDescent="0.35"/>
    <row r="921" ht="14.25" customHeight="1" x14ac:dyDescent="0.35"/>
    <row r="922" ht="14.25" customHeight="1" x14ac:dyDescent="0.35"/>
    <row r="923" ht="14.25" customHeight="1" x14ac:dyDescent="0.35"/>
    <row r="924" ht="14.25" customHeight="1" x14ac:dyDescent="0.35"/>
    <row r="925" ht="14.25" customHeight="1" x14ac:dyDescent="0.35"/>
    <row r="926" ht="14.25" customHeight="1" x14ac:dyDescent="0.35"/>
    <row r="927" ht="14.25" customHeight="1" x14ac:dyDescent="0.35"/>
    <row r="928" ht="14.25" customHeight="1" x14ac:dyDescent="0.35"/>
    <row r="929" ht="14.25" customHeight="1" x14ac:dyDescent="0.35"/>
    <row r="930" ht="14.25" customHeight="1" x14ac:dyDescent="0.35"/>
    <row r="931" ht="14.25" customHeight="1" x14ac:dyDescent="0.35"/>
    <row r="932" ht="14.25" customHeight="1" x14ac:dyDescent="0.35"/>
    <row r="933" ht="14.25" customHeight="1" x14ac:dyDescent="0.35"/>
    <row r="934" ht="14.25" customHeight="1" x14ac:dyDescent="0.35"/>
    <row r="935" ht="14.25" customHeight="1" x14ac:dyDescent="0.35"/>
    <row r="936" ht="14.25" customHeight="1" x14ac:dyDescent="0.35"/>
    <row r="937" ht="14.25" customHeight="1" x14ac:dyDescent="0.35"/>
    <row r="938" ht="14.25" customHeight="1" x14ac:dyDescent="0.35"/>
    <row r="939" ht="14.25" customHeight="1" x14ac:dyDescent="0.35"/>
    <row r="940" ht="14.25" customHeight="1" x14ac:dyDescent="0.35"/>
    <row r="941" ht="14.25" customHeight="1" x14ac:dyDescent="0.35"/>
    <row r="942" ht="14.25" customHeight="1" x14ac:dyDescent="0.35"/>
    <row r="943" ht="14.25" customHeight="1" x14ac:dyDescent="0.35"/>
    <row r="944" ht="14.25" customHeight="1" x14ac:dyDescent="0.35"/>
    <row r="945" ht="14.25" customHeight="1" x14ac:dyDescent="0.35"/>
    <row r="946" ht="14.25" customHeight="1" x14ac:dyDescent="0.35"/>
    <row r="947" ht="14.25" customHeight="1" x14ac:dyDescent="0.35"/>
    <row r="948" ht="14.25" customHeight="1" x14ac:dyDescent="0.35"/>
    <row r="949" ht="14.25" customHeight="1" x14ac:dyDescent="0.35"/>
    <row r="950" ht="14.25" customHeight="1" x14ac:dyDescent="0.35"/>
    <row r="951" ht="14.25" customHeight="1" x14ac:dyDescent="0.35"/>
    <row r="952" ht="14.25" customHeight="1" x14ac:dyDescent="0.35"/>
    <row r="953" ht="14.25" customHeight="1" x14ac:dyDescent="0.35"/>
    <row r="954" ht="14.25" customHeight="1" x14ac:dyDescent="0.35"/>
    <row r="955" ht="14.25" customHeight="1" x14ac:dyDescent="0.35"/>
    <row r="956" ht="14.25" customHeight="1" x14ac:dyDescent="0.35"/>
    <row r="957" ht="14.25" customHeight="1" x14ac:dyDescent="0.35"/>
    <row r="958" ht="14.25" customHeight="1" x14ac:dyDescent="0.35"/>
    <row r="959" ht="14.25" customHeight="1" x14ac:dyDescent="0.35"/>
    <row r="960" ht="14.25" customHeight="1" x14ac:dyDescent="0.35"/>
    <row r="961" ht="14.25" customHeight="1" x14ac:dyDescent="0.35"/>
    <row r="962" ht="14.25" customHeight="1" x14ac:dyDescent="0.35"/>
    <row r="963" ht="14.25" customHeight="1" x14ac:dyDescent="0.35"/>
    <row r="964" ht="14.25" customHeight="1" x14ac:dyDescent="0.35"/>
    <row r="965" ht="14.25" customHeight="1" x14ac:dyDescent="0.35"/>
    <row r="966" ht="14.25" customHeight="1" x14ac:dyDescent="0.35"/>
    <row r="967" ht="14.25" customHeight="1" x14ac:dyDescent="0.35"/>
    <row r="968" ht="14.25" customHeight="1" x14ac:dyDescent="0.35"/>
    <row r="969" ht="14.25" customHeight="1" x14ac:dyDescent="0.35"/>
    <row r="970" ht="14.25" customHeight="1" x14ac:dyDescent="0.35"/>
    <row r="971" ht="14.25" customHeight="1" x14ac:dyDescent="0.35"/>
    <row r="972" ht="14.25" customHeight="1" x14ac:dyDescent="0.35"/>
    <row r="973" ht="14.25" customHeight="1" x14ac:dyDescent="0.35"/>
    <row r="974" ht="14.25" customHeight="1" x14ac:dyDescent="0.35"/>
    <row r="975" ht="14.25" customHeight="1" x14ac:dyDescent="0.35"/>
    <row r="976" ht="14.25" customHeight="1" x14ac:dyDescent="0.35"/>
    <row r="977" ht="14.25" customHeight="1" x14ac:dyDescent="0.35"/>
    <row r="978" ht="14.25" customHeight="1" x14ac:dyDescent="0.35"/>
    <row r="979" ht="14.25" customHeight="1" x14ac:dyDescent="0.35"/>
    <row r="980" ht="14.25" customHeight="1" x14ac:dyDescent="0.35"/>
    <row r="981" ht="14.25" customHeight="1" x14ac:dyDescent="0.35"/>
    <row r="982" ht="14.25" customHeight="1" x14ac:dyDescent="0.35"/>
    <row r="983" ht="14.25" customHeight="1" x14ac:dyDescent="0.35"/>
    <row r="984" ht="14.25" customHeight="1" x14ac:dyDescent="0.35"/>
    <row r="985" ht="14.25" customHeight="1" x14ac:dyDescent="0.35"/>
    <row r="986" ht="14.25" customHeight="1" x14ac:dyDescent="0.35"/>
    <row r="987" ht="14.25" customHeight="1" x14ac:dyDescent="0.35"/>
    <row r="988" ht="14.25" customHeight="1" x14ac:dyDescent="0.35"/>
    <row r="989" ht="14.25" customHeight="1" x14ac:dyDescent="0.35"/>
    <row r="990" ht="14.25" customHeight="1" x14ac:dyDescent="0.35"/>
    <row r="991" ht="14.25" customHeight="1" x14ac:dyDescent="0.35"/>
    <row r="992" ht="14.25" customHeight="1" x14ac:dyDescent="0.35"/>
    <row r="993" ht="14.25" customHeight="1" x14ac:dyDescent="0.35"/>
    <row r="994" ht="14.25" customHeight="1" x14ac:dyDescent="0.35"/>
    <row r="995" ht="14.25" customHeight="1" x14ac:dyDescent="0.35"/>
    <row r="996" ht="14.25" customHeight="1" x14ac:dyDescent="0.35"/>
    <row r="997" ht="14.25" customHeight="1" x14ac:dyDescent="0.35"/>
    <row r="998" ht="14.25" customHeight="1" x14ac:dyDescent="0.35"/>
    <row r="999" ht="14.25" customHeight="1" x14ac:dyDescent="0.35"/>
    <row r="1000" ht="14.25" customHeight="1" x14ac:dyDescent="0.35"/>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Process-level data</vt:lpstr>
      <vt:lpstr>Sheet2</vt:lpstr>
      <vt:lpstr>PieChartV2</vt:lpstr>
      <vt:lpstr>Cases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Jibran</dc:creator>
  <cp:lastModifiedBy>Akash Kailas Patil</cp:lastModifiedBy>
  <dcterms:created xsi:type="dcterms:W3CDTF">2023-01-12T20:44:48Z</dcterms:created>
  <dcterms:modified xsi:type="dcterms:W3CDTF">2026-07-16T22:14:58Z</dcterms:modified>
</cp:coreProperties>
</file>